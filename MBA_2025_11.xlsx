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akas\Downloads\"/>
    </mc:Choice>
  </mc:AlternateContent>
  <xr:revisionPtr revIDLastSave="0" documentId="13_ncr:1_{9C2DD2BA-8973-4821-B582-40C5EC7A0064}" xr6:coauthVersionLast="47" xr6:coauthVersionMax="47" xr10:uidLastSave="{00000000-0000-0000-0000-000000000000}"/>
  <bookViews>
    <workbookView xWindow="-108" yWindow="-108" windowWidth="23256" windowHeight="12456" tabRatio="500" firstSheet="10" activeTab="15" xr2:uid="{00000000-000D-0000-FFFF-FFFF00000000}"/>
  </bookViews>
  <sheets>
    <sheet name="Cover" sheetId="1" r:id="rId1"/>
    <sheet name="Summary" sheetId="2" r:id="rId2"/>
    <sheet name="Inputs" sheetId="3" r:id="rId3"/>
    <sheet name="Hist_Quality" sheetId="4" r:id="rId4"/>
    <sheet name="Rev_Build" sheetId="5" r:id="rId5"/>
    <sheet name="Fin_Proj" sheetId="6" r:id="rId6"/>
    <sheet name="WACC" sheetId="7" r:id="rId7"/>
    <sheet name="DCF_FCFF" sheetId="8" r:id="rId8"/>
    <sheet name="DDM_NDCF" sheetId="9" r:id="rId9"/>
    <sheet name="Relative" sheetId="10" r:id="rId10"/>
    <sheet name="NAV_Asset" sheetId="11" r:id="rId11"/>
    <sheet name="EVA" sheetId="12" r:id="rId12"/>
    <sheet name="Scenario_DT" sheetId="13" r:id="rId13"/>
    <sheet name="Monte_Carlo" sheetId="14" r:id="rId14"/>
    <sheet name="Real_Options" sheetId="15" r:id="rId15"/>
    <sheet name="Checks" sheetId="16" r:id="rId1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0" i="16" l="1"/>
  <c r="F20" i="16" s="1"/>
  <c r="D19" i="16"/>
  <c r="C35" i="15"/>
  <c r="C38" i="15" s="1"/>
  <c r="C19" i="15"/>
  <c r="C17" i="15"/>
  <c r="C14" i="15"/>
  <c r="L531" i="14"/>
  <c r="Q531" i="14" s="1"/>
  <c r="K531" i="14"/>
  <c r="P531" i="14" s="1"/>
  <c r="J531" i="14"/>
  <c r="O531" i="14" s="1"/>
  <c r="I531" i="14"/>
  <c r="H531" i="14"/>
  <c r="L530" i="14"/>
  <c r="Q530" i="14" s="1"/>
  <c r="K530" i="14"/>
  <c r="P530" i="14" s="1"/>
  <c r="J530" i="14"/>
  <c r="O530" i="14" s="1"/>
  <c r="I530" i="14"/>
  <c r="H530" i="14"/>
  <c r="L529" i="14"/>
  <c r="Q529" i="14" s="1"/>
  <c r="K529" i="14"/>
  <c r="P529" i="14" s="1"/>
  <c r="J529" i="14"/>
  <c r="O529" i="14" s="1"/>
  <c r="I529" i="14"/>
  <c r="H529" i="14"/>
  <c r="L528" i="14"/>
  <c r="Q528" i="14" s="1"/>
  <c r="K528" i="14"/>
  <c r="P528" i="14" s="1"/>
  <c r="J528" i="14"/>
  <c r="O528" i="14" s="1"/>
  <c r="I528" i="14"/>
  <c r="H528" i="14"/>
  <c r="L527" i="14"/>
  <c r="Q527" i="14" s="1"/>
  <c r="K527" i="14"/>
  <c r="P527" i="14" s="1"/>
  <c r="J527" i="14"/>
  <c r="O527" i="14" s="1"/>
  <c r="I527" i="14"/>
  <c r="H527" i="14"/>
  <c r="L526" i="14"/>
  <c r="Q526" i="14" s="1"/>
  <c r="K526" i="14"/>
  <c r="P526" i="14" s="1"/>
  <c r="J526" i="14"/>
  <c r="O526" i="14" s="1"/>
  <c r="I526" i="14"/>
  <c r="H526" i="14"/>
  <c r="L525" i="14"/>
  <c r="Q525" i="14" s="1"/>
  <c r="K525" i="14"/>
  <c r="P525" i="14" s="1"/>
  <c r="J525" i="14"/>
  <c r="O525" i="14" s="1"/>
  <c r="I525" i="14"/>
  <c r="H525" i="14"/>
  <c r="L524" i="14"/>
  <c r="Q524" i="14" s="1"/>
  <c r="K524" i="14"/>
  <c r="P524" i="14" s="1"/>
  <c r="J524" i="14"/>
  <c r="O524" i="14" s="1"/>
  <c r="I524" i="14"/>
  <c r="H524" i="14"/>
  <c r="L523" i="14"/>
  <c r="Q523" i="14" s="1"/>
  <c r="K523" i="14"/>
  <c r="P523" i="14" s="1"/>
  <c r="J523" i="14"/>
  <c r="O523" i="14" s="1"/>
  <c r="I523" i="14"/>
  <c r="H523" i="14"/>
  <c r="L522" i="14"/>
  <c r="Q522" i="14" s="1"/>
  <c r="K522" i="14"/>
  <c r="P522" i="14" s="1"/>
  <c r="J522" i="14"/>
  <c r="O522" i="14" s="1"/>
  <c r="I522" i="14"/>
  <c r="H522" i="14"/>
  <c r="L521" i="14"/>
  <c r="Q521" i="14" s="1"/>
  <c r="K521" i="14"/>
  <c r="P521" i="14" s="1"/>
  <c r="J521" i="14"/>
  <c r="O521" i="14" s="1"/>
  <c r="I521" i="14"/>
  <c r="H521" i="14"/>
  <c r="L520" i="14"/>
  <c r="Q520" i="14" s="1"/>
  <c r="K520" i="14"/>
  <c r="P520" i="14" s="1"/>
  <c r="J520" i="14"/>
  <c r="O520" i="14" s="1"/>
  <c r="I520" i="14"/>
  <c r="H520" i="14"/>
  <c r="L519" i="14"/>
  <c r="Q519" i="14" s="1"/>
  <c r="K519" i="14"/>
  <c r="P519" i="14" s="1"/>
  <c r="J519" i="14"/>
  <c r="O519" i="14" s="1"/>
  <c r="I519" i="14"/>
  <c r="H519" i="14"/>
  <c r="L518" i="14"/>
  <c r="Q518" i="14" s="1"/>
  <c r="K518" i="14"/>
  <c r="P518" i="14" s="1"/>
  <c r="J518" i="14"/>
  <c r="O518" i="14" s="1"/>
  <c r="I518" i="14"/>
  <c r="H518" i="14"/>
  <c r="L517" i="14"/>
  <c r="Q517" i="14" s="1"/>
  <c r="K517" i="14"/>
  <c r="P517" i="14" s="1"/>
  <c r="J517" i="14"/>
  <c r="O517" i="14" s="1"/>
  <c r="I517" i="14"/>
  <c r="H517" i="14"/>
  <c r="L516" i="14"/>
  <c r="Q516" i="14" s="1"/>
  <c r="K516" i="14"/>
  <c r="P516" i="14" s="1"/>
  <c r="J516" i="14"/>
  <c r="O516" i="14" s="1"/>
  <c r="I516" i="14"/>
  <c r="H516" i="14"/>
  <c r="L515" i="14"/>
  <c r="Q515" i="14" s="1"/>
  <c r="K515" i="14"/>
  <c r="P515" i="14" s="1"/>
  <c r="J515" i="14"/>
  <c r="O515" i="14" s="1"/>
  <c r="I515" i="14"/>
  <c r="H515" i="14"/>
  <c r="L514" i="14"/>
  <c r="Q514" i="14" s="1"/>
  <c r="K514" i="14"/>
  <c r="P514" i="14" s="1"/>
  <c r="J514" i="14"/>
  <c r="O514" i="14" s="1"/>
  <c r="I514" i="14"/>
  <c r="H514" i="14"/>
  <c r="L513" i="14"/>
  <c r="Q513" i="14" s="1"/>
  <c r="K513" i="14"/>
  <c r="P513" i="14" s="1"/>
  <c r="J513" i="14"/>
  <c r="O513" i="14" s="1"/>
  <c r="I513" i="14"/>
  <c r="H513" i="14"/>
  <c r="L512" i="14"/>
  <c r="Q512" i="14" s="1"/>
  <c r="K512" i="14"/>
  <c r="P512" i="14" s="1"/>
  <c r="J512" i="14"/>
  <c r="O512" i="14" s="1"/>
  <c r="I512" i="14"/>
  <c r="H512" i="14"/>
  <c r="L511" i="14"/>
  <c r="Q511" i="14" s="1"/>
  <c r="K511" i="14"/>
  <c r="P511" i="14" s="1"/>
  <c r="J511" i="14"/>
  <c r="O511" i="14" s="1"/>
  <c r="I511" i="14"/>
  <c r="H511" i="14"/>
  <c r="L510" i="14"/>
  <c r="Q510" i="14" s="1"/>
  <c r="K510" i="14"/>
  <c r="P510" i="14" s="1"/>
  <c r="J510" i="14"/>
  <c r="O510" i="14" s="1"/>
  <c r="I510" i="14"/>
  <c r="H510" i="14"/>
  <c r="L509" i="14"/>
  <c r="Q509" i="14" s="1"/>
  <c r="K509" i="14"/>
  <c r="P509" i="14" s="1"/>
  <c r="J509" i="14"/>
  <c r="O509" i="14" s="1"/>
  <c r="I509" i="14"/>
  <c r="H509" i="14"/>
  <c r="L508" i="14"/>
  <c r="Q508" i="14" s="1"/>
  <c r="K508" i="14"/>
  <c r="P508" i="14" s="1"/>
  <c r="J508" i="14"/>
  <c r="O508" i="14" s="1"/>
  <c r="I508" i="14"/>
  <c r="H508" i="14"/>
  <c r="L507" i="14"/>
  <c r="Q507" i="14" s="1"/>
  <c r="K507" i="14"/>
  <c r="P507" i="14" s="1"/>
  <c r="J507" i="14"/>
  <c r="O507" i="14" s="1"/>
  <c r="I507" i="14"/>
  <c r="H507" i="14"/>
  <c r="L506" i="14"/>
  <c r="Q506" i="14" s="1"/>
  <c r="K506" i="14"/>
  <c r="P506" i="14" s="1"/>
  <c r="J506" i="14"/>
  <c r="O506" i="14" s="1"/>
  <c r="I506" i="14"/>
  <c r="H506" i="14"/>
  <c r="L505" i="14"/>
  <c r="Q505" i="14" s="1"/>
  <c r="K505" i="14"/>
  <c r="P505" i="14" s="1"/>
  <c r="J505" i="14"/>
  <c r="O505" i="14" s="1"/>
  <c r="I505" i="14"/>
  <c r="H505" i="14"/>
  <c r="L504" i="14"/>
  <c r="Q504" i="14" s="1"/>
  <c r="K504" i="14"/>
  <c r="P504" i="14" s="1"/>
  <c r="J504" i="14"/>
  <c r="O504" i="14" s="1"/>
  <c r="I504" i="14"/>
  <c r="H504" i="14"/>
  <c r="L503" i="14"/>
  <c r="Q503" i="14" s="1"/>
  <c r="K503" i="14"/>
  <c r="P503" i="14" s="1"/>
  <c r="J503" i="14"/>
  <c r="O503" i="14" s="1"/>
  <c r="I503" i="14"/>
  <c r="H503" i="14"/>
  <c r="L502" i="14"/>
  <c r="Q502" i="14" s="1"/>
  <c r="K502" i="14"/>
  <c r="P502" i="14" s="1"/>
  <c r="J502" i="14"/>
  <c r="O502" i="14" s="1"/>
  <c r="I502" i="14"/>
  <c r="H502" i="14"/>
  <c r="L501" i="14"/>
  <c r="Q501" i="14" s="1"/>
  <c r="K501" i="14"/>
  <c r="P501" i="14" s="1"/>
  <c r="J501" i="14"/>
  <c r="O501" i="14" s="1"/>
  <c r="I501" i="14"/>
  <c r="H501" i="14"/>
  <c r="L500" i="14"/>
  <c r="Q500" i="14" s="1"/>
  <c r="K500" i="14"/>
  <c r="P500" i="14" s="1"/>
  <c r="J500" i="14"/>
  <c r="O500" i="14" s="1"/>
  <c r="I500" i="14"/>
  <c r="H500" i="14"/>
  <c r="L499" i="14"/>
  <c r="Q499" i="14" s="1"/>
  <c r="K499" i="14"/>
  <c r="P499" i="14" s="1"/>
  <c r="J499" i="14"/>
  <c r="O499" i="14" s="1"/>
  <c r="I499" i="14"/>
  <c r="H499" i="14"/>
  <c r="L498" i="14"/>
  <c r="Q498" i="14" s="1"/>
  <c r="K498" i="14"/>
  <c r="P498" i="14" s="1"/>
  <c r="J498" i="14"/>
  <c r="O498" i="14" s="1"/>
  <c r="I498" i="14"/>
  <c r="H498" i="14"/>
  <c r="L497" i="14"/>
  <c r="Q497" i="14" s="1"/>
  <c r="K497" i="14"/>
  <c r="P497" i="14" s="1"/>
  <c r="J497" i="14"/>
  <c r="O497" i="14" s="1"/>
  <c r="I497" i="14"/>
  <c r="H497" i="14"/>
  <c r="N496" i="14"/>
  <c r="L496" i="14"/>
  <c r="Q496" i="14" s="1"/>
  <c r="K496" i="14"/>
  <c r="P496" i="14" s="1"/>
  <c r="J496" i="14"/>
  <c r="O496" i="14" s="1"/>
  <c r="I496" i="14"/>
  <c r="H496" i="14"/>
  <c r="M496" i="14" s="1"/>
  <c r="L495" i="14"/>
  <c r="Q495" i="14" s="1"/>
  <c r="K495" i="14"/>
  <c r="P495" i="14" s="1"/>
  <c r="J495" i="14"/>
  <c r="O495" i="14" s="1"/>
  <c r="I495" i="14"/>
  <c r="H495" i="14"/>
  <c r="L494" i="14"/>
  <c r="Q494" i="14" s="1"/>
  <c r="K494" i="14"/>
  <c r="P494" i="14" s="1"/>
  <c r="J494" i="14"/>
  <c r="O494" i="14" s="1"/>
  <c r="I494" i="14"/>
  <c r="H494" i="14"/>
  <c r="L493" i="14"/>
  <c r="Q493" i="14" s="1"/>
  <c r="K493" i="14"/>
  <c r="P493" i="14" s="1"/>
  <c r="J493" i="14"/>
  <c r="O493" i="14" s="1"/>
  <c r="I493" i="14"/>
  <c r="H493" i="14"/>
  <c r="L492" i="14"/>
  <c r="Q492" i="14" s="1"/>
  <c r="K492" i="14"/>
  <c r="P492" i="14" s="1"/>
  <c r="J492" i="14"/>
  <c r="O492" i="14" s="1"/>
  <c r="I492" i="14"/>
  <c r="H492" i="14"/>
  <c r="L491" i="14"/>
  <c r="Q491" i="14" s="1"/>
  <c r="K491" i="14"/>
  <c r="P491" i="14" s="1"/>
  <c r="J491" i="14"/>
  <c r="O491" i="14" s="1"/>
  <c r="I491" i="14"/>
  <c r="H491" i="14"/>
  <c r="L490" i="14"/>
  <c r="Q490" i="14" s="1"/>
  <c r="K490" i="14"/>
  <c r="P490" i="14" s="1"/>
  <c r="J490" i="14"/>
  <c r="O490" i="14" s="1"/>
  <c r="I490" i="14"/>
  <c r="H490" i="14"/>
  <c r="L489" i="14"/>
  <c r="Q489" i="14" s="1"/>
  <c r="K489" i="14"/>
  <c r="P489" i="14" s="1"/>
  <c r="J489" i="14"/>
  <c r="O489" i="14" s="1"/>
  <c r="I489" i="14"/>
  <c r="H489" i="14"/>
  <c r="L488" i="14"/>
  <c r="Q488" i="14" s="1"/>
  <c r="K488" i="14"/>
  <c r="P488" i="14" s="1"/>
  <c r="J488" i="14"/>
  <c r="O488" i="14" s="1"/>
  <c r="I488" i="14"/>
  <c r="H488" i="14"/>
  <c r="L487" i="14"/>
  <c r="Q487" i="14" s="1"/>
  <c r="K487" i="14"/>
  <c r="P487" i="14" s="1"/>
  <c r="J487" i="14"/>
  <c r="O487" i="14" s="1"/>
  <c r="I487" i="14"/>
  <c r="H487" i="14"/>
  <c r="L486" i="14"/>
  <c r="Q486" i="14" s="1"/>
  <c r="K486" i="14"/>
  <c r="P486" i="14" s="1"/>
  <c r="J486" i="14"/>
  <c r="O486" i="14" s="1"/>
  <c r="I486" i="14"/>
  <c r="H486" i="14"/>
  <c r="L485" i="14"/>
  <c r="Q485" i="14" s="1"/>
  <c r="K485" i="14"/>
  <c r="P485" i="14" s="1"/>
  <c r="J485" i="14"/>
  <c r="O485" i="14" s="1"/>
  <c r="I485" i="14"/>
  <c r="H485" i="14"/>
  <c r="L484" i="14"/>
  <c r="Q484" i="14" s="1"/>
  <c r="K484" i="14"/>
  <c r="P484" i="14" s="1"/>
  <c r="J484" i="14"/>
  <c r="O484" i="14" s="1"/>
  <c r="I484" i="14"/>
  <c r="H484" i="14"/>
  <c r="L483" i="14"/>
  <c r="Q483" i="14" s="1"/>
  <c r="K483" i="14"/>
  <c r="P483" i="14" s="1"/>
  <c r="J483" i="14"/>
  <c r="O483" i="14" s="1"/>
  <c r="I483" i="14"/>
  <c r="H483" i="14"/>
  <c r="L482" i="14"/>
  <c r="Q482" i="14" s="1"/>
  <c r="K482" i="14"/>
  <c r="P482" i="14" s="1"/>
  <c r="J482" i="14"/>
  <c r="O482" i="14" s="1"/>
  <c r="I482" i="14"/>
  <c r="H482" i="14"/>
  <c r="L481" i="14"/>
  <c r="Q481" i="14" s="1"/>
  <c r="K481" i="14"/>
  <c r="P481" i="14" s="1"/>
  <c r="J481" i="14"/>
  <c r="O481" i="14" s="1"/>
  <c r="I481" i="14"/>
  <c r="H481" i="14"/>
  <c r="L480" i="14"/>
  <c r="Q480" i="14" s="1"/>
  <c r="K480" i="14"/>
  <c r="P480" i="14" s="1"/>
  <c r="J480" i="14"/>
  <c r="O480" i="14" s="1"/>
  <c r="I480" i="14"/>
  <c r="H480" i="14"/>
  <c r="L479" i="14"/>
  <c r="Q479" i="14" s="1"/>
  <c r="K479" i="14"/>
  <c r="P479" i="14" s="1"/>
  <c r="J479" i="14"/>
  <c r="O479" i="14" s="1"/>
  <c r="I479" i="14"/>
  <c r="H479" i="14"/>
  <c r="L478" i="14"/>
  <c r="Q478" i="14" s="1"/>
  <c r="K478" i="14"/>
  <c r="P478" i="14" s="1"/>
  <c r="J478" i="14"/>
  <c r="O478" i="14" s="1"/>
  <c r="I478" i="14"/>
  <c r="H478" i="14"/>
  <c r="L477" i="14"/>
  <c r="Q477" i="14" s="1"/>
  <c r="K477" i="14"/>
  <c r="P477" i="14" s="1"/>
  <c r="J477" i="14"/>
  <c r="O477" i="14" s="1"/>
  <c r="I477" i="14"/>
  <c r="H477" i="14"/>
  <c r="L476" i="14"/>
  <c r="Q476" i="14" s="1"/>
  <c r="K476" i="14"/>
  <c r="P476" i="14" s="1"/>
  <c r="J476" i="14"/>
  <c r="O476" i="14" s="1"/>
  <c r="I476" i="14"/>
  <c r="H476" i="14"/>
  <c r="L475" i="14"/>
  <c r="Q475" i="14" s="1"/>
  <c r="K475" i="14"/>
  <c r="P475" i="14" s="1"/>
  <c r="J475" i="14"/>
  <c r="O475" i="14" s="1"/>
  <c r="I475" i="14"/>
  <c r="H475" i="14"/>
  <c r="L474" i="14"/>
  <c r="Q474" i="14" s="1"/>
  <c r="K474" i="14"/>
  <c r="P474" i="14" s="1"/>
  <c r="J474" i="14"/>
  <c r="O474" i="14" s="1"/>
  <c r="I474" i="14"/>
  <c r="H474" i="14"/>
  <c r="L473" i="14"/>
  <c r="Q473" i="14" s="1"/>
  <c r="K473" i="14"/>
  <c r="P473" i="14" s="1"/>
  <c r="J473" i="14"/>
  <c r="O473" i="14" s="1"/>
  <c r="I473" i="14"/>
  <c r="H473" i="14"/>
  <c r="L472" i="14"/>
  <c r="Q472" i="14" s="1"/>
  <c r="K472" i="14"/>
  <c r="P472" i="14" s="1"/>
  <c r="J472" i="14"/>
  <c r="O472" i="14" s="1"/>
  <c r="I472" i="14"/>
  <c r="H472" i="14"/>
  <c r="L471" i="14"/>
  <c r="Q471" i="14" s="1"/>
  <c r="K471" i="14"/>
  <c r="P471" i="14" s="1"/>
  <c r="J471" i="14"/>
  <c r="O471" i="14" s="1"/>
  <c r="I471" i="14"/>
  <c r="H471" i="14"/>
  <c r="L470" i="14"/>
  <c r="Q470" i="14" s="1"/>
  <c r="K470" i="14"/>
  <c r="P470" i="14" s="1"/>
  <c r="J470" i="14"/>
  <c r="O470" i="14" s="1"/>
  <c r="I470" i="14"/>
  <c r="H470" i="14"/>
  <c r="L469" i="14"/>
  <c r="Q469" i="14" s="1"/>
  <c r="K469" i="14"/>
  <c r="P469" i="14" s="1"/>
  <c r="J469" i="14"/>
  <c r="O469" i="14" s="1"/>
  <c r="I469" i="14"/>
  <c r="H469" i="14"/>
  <c r="L468" i="14"/>
  <c r="Q468" i="14" s="1"/>
  <c r="K468" i="14"/>
  <c r="P468" i="14" s="1"/>
  <c r="J468" i="14"/>
  <c r="O468" i="14" s="1"/>
  <c r="I468" i="14"/>
  <c r="H468" i="14"/>
  <c r="L467" i="14"/>
  <c r="Q467" i="14" s="1"/>
  <c r="K467" i="14"/>
  <c r="P467" i="14" s="1"/>
  <c r="J467" i="14"/>
  <c r="O467" i="14" s="1"/>
  <c r="I467" i="14"/>
  <c r="H467" i="14"/>
  <c r="L466" i="14"/>
  <c r="Q466" i="14" s="1"/>
  <c r="K466" i="14"/>
  <c r="P466" i="14" s="1"/>
  <c r="J466" i="14"/>
  <c r="O466" i="14" s="1"/>
  <c r="I466" i="14"/>
  <c r="H466" i="14"/>
  <c r="L465" i="14"/>
  <c r="Q465" i="14" s="1"/>
  <c r="K465" i="14"/>
  <c r="P465" i="14" s="1"/>
  <c r="J465" i="14"/>
  <c r="O465" i="14" s="1"/>
  <c r="I465" i="14"/>
  <c r="H465" i="14"/>
  <c r="L464" i="14"/>
  <c r="Q464" i="14" s="1"/>
  <c r="K464" i="14"/>
  <c r="P464" i="14" s="1"/>
  <c r="J464" i="14"/>
  <c r="O464" i="14" s="1"/>
  <c r="I464" i="14"/>
  <c r="H464" i="14"/>
  <c r="L463" i="14"/>
  <c r="Q463" i="14" s="1"/>
  <c r="K463" i="14"/>
  <c r="P463" i="14" s="1"/>
  <c r="J463" i="14"/>
  <c r="O463" i="14" s="1"/>
  <c r="I463" i="14"/>
  <c r="H463" i="14"/>
  <c r="L462" i="14"/>
  <c r="Q462" i="14" s="1"/>
  <c r="K462" i="14"/>
  <c r="P462" i="14" s="1"/>
  <c r="J462" i="14"/>
  <c r="O462" i="14" s="1"/>
  <c r="I462" i="14"/>
  <c r="H462" i="14"/>
  <c r="L461" i="14"/>
  <c r="Q461" i="14" s="1"/>
  <c r="K461" i="14"/>
  <c r="P461" i="14" s="1"/>
  <c r="J461" i="14"/>
  <c r="O461" i="14" s="1"/>
  <c r="I461" i="14"/>
  <c r="H461" i="14"/>
  <c r="L460" i="14"/>
  <c r="Q460" i="14" s="1"/>
  <c r="K460" i="14"/>
  <c r="P460" i="14" s="1"/>
  <c r="J460" i="14"/>
  <c r="O460" i="14" s="1"/>
  <c r="I460" i="14"/>
  <c r="H460" i="14"/>
  <c r="L459" i="14"/>
  <c r="Q459" i="14" s="1"/>
  <c r="K459" i="14"/>
  <c r="P459" i="14" s="1"/>
  <c r="J459" i="14"/>
  <c r="O459" i="14" s="1"/>
  <c r="I459" i="14"/>
  <c r="H459" i="14"/>
  <c r="L458" i="14"/>
  <c r="Q458" i="14" s="1"/>
  <c r="K458" i="14"/>
  <c r="P458" i="14" s="1"/>
  <c r="J458" i="14"/>
  <c r="O458" i="14" s="1"/>
  <c r="I458" i="14"/>
  <c r="H458" i="14"/>
  <c r="L457" i="14"/>
  <c r="Q457" i="14" s="1"/>
  <c r="K457" i="14"/>
  <c r="P457" i="14" s="1"/>
  <c r="J457" i="14"/>
  <c r="O457" i="14" s="1"/>
  <c r="I457" i="14"/>
  <c r="H457" i="14"/>
  <c r="L456" i="14"/>
  <c r="Q456" i="14" s="1"/>
  <c r="K456" i="14"/>
  <c r="P456" i="14" s="1"/>
  <c r="J456" i="14"/>
  <c r="O456" i="14" s="1"/>
  <c r="I456" i="14"/>
  <c r="H456" i="14"/>
  <c r="L455" i="14"/>
  <c r="Q455" i="14" s="1"/>
  <c r="K455" i="14"/>
  <c r="P455" i="14" s="1"/>
  <c r="J455" i="14"/>
  <c r="O455" i="14" s="1"/>
  <c r="I455" i="14"/>
  <c r="H455" i="14"/>
  <c r="L454" i="14"/>
  <c r="Q454" i="14" s="1"/>
  <c r="K454" i="14"/>
  <c r="P454" i="14" s="1"/>
  <c r="J454" i="14"/>
  <c r="O454" i="14" s="1"/>
  <c r="I454" i="14"/>
  <c r="H454" i="14"/>
  <c r="L453" i="14"/>
  <c r="Q453" i="14" s="1"/>
  <c r="K453" i="14"/>
  <c r="P453" i="14" s="1"/>
  <c r="J453" i="14"/>
  <c r="O453" i="14" s="1"/>
  <c r="I453" i="14"/>
  <c r="H453" i="14"/>
  <c r="L452" i="14"/>
  <c r="Q452" i="14" s="1"/>
  <c r="K452" i="14"/>
  <c r="P452" i="14" s="1"/>
  <c r="J452" i="14"/>
  <c r="O452" i="14" s="1"/>
  <c r="I452" i="14"/>
  <c r="H452" i="14"/>
  <c r="L451" i="14"/>
  <c r="Q451" i="14" s="1"/>
  <c r="K451" i="14"/>
  <c r="P451" i="14" s="1"/>
  <c r="J451" i="14"/>
  <c r="O451" i="14" s="1"/>
  <c r="I451" i="14"/>
  <c r="H451" i="14"/>
  <c r="L450" i="14"/>
  <c r="Q450" i="14" s="1"/>
  <c r="K450" i="14"/>
  <c r="P450" i="14" s="1"/>
  <c r="J450" i="14"/>
  <c r="O450" i="14" s="1"/>
  <c r="I450" i="14"/>
  <c r="H450" i="14"/>
  <c r="L449" i="14"/>
  <c r="Q449" i="14" s="1"/>
  <c r="K449" i="14"/>
  <c r="P449" i="14" s="1"/>
  <c r="J449" i="14"/>
  <c r="O449" i="14" s="1"/>
  <c r="I449" i="14"/>
  <c r="H449" i="14"/>
  <c r="L448" i="14"/>
  <c r="Q448" i="14" s="1"/>
  <c r="K448" i="14"/>
  <c r="P448" i="14" s="1"/>
  <c r="J448" i="14"/>
  <c r="O448" i="14" s="1"/>
  <c r="I448" i="14"/>
  <c r="H448" i="14"/>
  <c r="L447" i="14"/>
  <c r="Q447" i="14" s="1"/>
  <c r="K447" i="14"/>
  <c r="P447" i="14" s="1"/>
  <c r="J447" i="14"/>
  <c r="O447" i="14" s="1"/>
  <c r="I447" i="14"/>
  <c r="H447" i="14"/>
  <c r="L446" i="14"/>
  <c r="Q446" i="14" s="1"/>
  <c r="K446" i="14"/>
  <c r="P446" i="14" s="1"/>
  <c r="J446" i="14"/>
  <c r="O446" i="14" s="1"/>
  <c r="I446" i="14"/>
  <c r="H446" i="14"/>
  <c r="L445" i="14"/>
  <c r="Q445" i="14" s="1"/>
  <c r="K445" i="14"/>
  <c r="P445" i="14" s="1"/>
  <c r="J445" i="14"/>
  <c r="O445" i="14" s="1"/>
  <c r="I445" i="14"/>
  <c r="H445" i="14"/>
  <c r="L444" i="14"/>
  <c r="Q444" i="14" s="1"/>
  <c r="K444" i="14"/>
  <c r="P444" i="14" s="1"/>
  <c r="J444" i="14"/>
  <c r="O444" i="14" s="1"/>
  <c r="I444" i="14"/>
  <c r="H444" i="14"/>
  <c r="L443" i="14"/>
  <c r="Q443" i="14" s="1"/>
  <c r="K443" i="14"/>
  <c r="P443" i="14" s="1"/>
  <c r="J443" i="14"/>
  <c r="O443" i="14" s="1"/>
  <c r="I443" i="14"/>
  <c r="H443" i="14"/>
  <c r="L442" i="14"/>
  <c r="Q442" i="14" s="1"/>
  <c r="K442" i="14"/>
  <c r="P442" i="14" s="1"/>
  <c r="J442" i="14"/>
  <c r="O442" i="14" s="1"/>
  <c r="I442" i="14"/>
  <c r="H442" i="14"/>
  <c r="L441" i="14"/>
  <c r="Q441" i="14" s="1"/>
  <c r="K441" i="14"/>
  <c r="P441" i="14" s="1"/>
  <c r="J441" i="14"/>
  <c r="O441" i="14" s="1"/>
  <c r="I441" i="14"/>
  <c r="H441" i="14"/>
  <c r="O440" i="14"/>
  <c r="L440" i="14"/>
  <c r="Q440" i="14" s="1"/>
  <c r="K440" i="14"/>
  <c r="P440" i="14" s="1"/>
  <c r="J440" i="14"/>
  <c r="I440" i="14"/>
  <c r="H440" i="14"/>
  <c r="L439" i="14"/>
  <c r="Q439" i="14" s="1"/>
  <c r="K439" i="14"/>
  <c r="P439" i="14" s="1"/>
  <c r="J439" i="14"/>
  <c r="O439" i="14" s="1"/>
  <c r="I439" i="14"/>
  <c r="H439" i="14"/>
  <c r="L438" i="14"/>
  <c r="Q438" i="14" s="1"/>
  <c r="K438" i="14"/>
  <c r="P438" i="14" s="1"/>
  <c r="J438" i="14"/>
  <c r="O438" i="14" s="1"/>
  <c r="I438" i="14"/>
  <c r="H438" i="14"/>
  <c r="L437" i="14"/>
  <c r="Q437" i="14" s="1"/>
  <c r="K437" i="14"/>
  <c r="P437" i="14" s="1"/>
  <c r="J437" i="14"/>
  <c r="O437" i="14" s="1"/>
  <c r="I437" i="14"/>
  <c r="H437" i="14"/>
  <c r="L436" i="14"/>
  <c r="Q436" i="14" s="1"/>
  <c r="K436" i="14"/>
  <c r="P436" i="14" s="1"/>
  <c r="J436" i="14"/>
  <c r="O436" i="14" s="1"/>
  <c r="I436" i="14"/>
  <c r="H436" i="14"/>
  <c r="L435" i="14"/>
  <c r="Q435" i="14" s="1"/>
  <c r="K435" i="14"/>
  <c r="P435" i="14" s="1"/>
  <c r="J435" i="14"/>
  <c r="O435" i="14" s="1"/>
  <c r="I435" i="14"/>
  <c r="H435" i="14"/>
  <c r="L434" i="14"/>
  <c r="Q434" i="14" s="1"/>
  <c r="K434" i="14"/>
  <c r="P434" i="14" s="1"/>
  <c r="J434" i="14"/>
  <c r="O434" i="14" s="1"/>
  <c r="I434" i="14"/>
  <c r="H434" i="14"/>
  <c r="L433" i="14"/>
  <c r="Q433" i="14" s="1"/>
  <c r="K433" i="14"/>
  <c r="P433" i="14" s="1"/>
  <c r="J433" i="14"/>
  <c r="O433" i="14" s="1"/>
  <c r="I433" i="14"/>
  <c r="H433" i="14"/>
  <c r="L432" i="14"/>
  <c r="Q432" i="14" s="1"/>
  <c r="K432" i="14"/>
  <c r="P432" i="14" s="1"/>
  <c r="J432" i="14"/>
  <c r="O432" i="14" s="1"/>
  <c r="I432" i="14"/>
  <c r="H432" i="14"/>
  <c r="L431" i="14"/>
  <c r="Q431" i="14" s="1"/>
  <c r="K431" i="14"/>
  <c r="P431" i="14" s="1"/>
  <c r="J431" i="14"/>
  <c r="O431" i="14" s="1"/>
  <c r="I431" i="14"/>
  <c r="H431" i="14"/>
  <c r="L430" i="14"/>
  <c r="Q430" i="14" s="1"/>
  <c r="K430" i="14"/>
  <c r="P430" i="14" s="1"/>
  <c r="J430" i="14"/>
  <c r="O430" i="14" s="1"/>
  <c r="I430" i="14"/>
  <c r="H430" i="14"/>
  <c r="L429" i="14"/>
  <c r="Q429" i="14" s="1"/>
  <c r="K429" i="14"/>
  <c r="P429" i="14" s="1"/>
  <c r="J429" i="14"/>
  <c r="O429" i="14" s="1"/>
  <c r="I429" i="14"/>
  <c r="H429" i="14"/>
  <c r="L428" i="14"/>
  <c r="Q428" i="14" s="1"/>
  <c r="K428" i="14"/>
  <c r="P428" i="14" s="1"/>
  <c r="J428" i="14"/>
  <c r="O428" i="14" s="1"/>
  <c r="I428" i="14"/>
  <c r="H428" i="14"/>
  <c r="L427" i="14"/>
  <c r="Q427" i="14" s="1"/>
  <c r="K427" i="14"/>
  <c r="P427" i="14" s="1"/>
  <c r="J427" i="14"/>
  <c r="O427" i="14" s="1"/>
  <c r="I427" i="14"/>
  <c r="H427" i="14"/>
  <c r="L426" i="14"/>
  <c r="Q426" i="14" s="1"/>
  <c r="K426" i="14"/>
  <c r="P426" i="14" s="1"/>
  <c r="J426" i="14"/>
  <c r="O426" i="14" s="1"/>
  <c r="I426" i="14"/>
  <c r="H426" i="14"/>
  <c r="L425" i="14"/>
  <c r="Q425" i="14" s="1"/>
  <c r="K425" i="14"/>
  <c r="P425" i="14" s="1"/>
  <c r="J425" i="14"/>
  <c r="O425" i="14" s="1"/>
  <c r="I425" i="14"/>
  <c r="H425" i="14"/>
  <c r="L424" i="14"/>
  <c r="Q424" i="14" s="1"/>
  <c r="K424" i="14"/>
  <c r="P424" i="14" s="1"/>
  <c r="J424" i="14"/>
  <c r="O424" i="14" s="1"/>
  <c r="I424" i="14"/>
  <c r="H424" i="14"/>
  <c r="L423" i="14"/>
  <c r="Q423" i="14" s="1"/>
  <c r="K423" i="14"/>
  <c r="P423" i="14" s="1"/>
  <c r="J423" i="14"/>
  <c r="O423" i="14" s="1"/>
  <c r="I423" i="14"/>
  <c r="H423" i="14"/>
  <c r="L422" i="14"/>
  <c r="Q422" i="14" s="1"/>
  <c r="K422" i="14"/>
  <c r="P422" i="14" s="1"/>
  <c r="J422" i="14"/>
  <c r="O422" i="14" s="1"/>
  <c r="I422" i="14"/>
  <c r="H422" i="14"/>
  <c r="L421" i="14"/>
  <c r="Q421" i="14" s="1"/>
  <c r="K421" i="14"/>
  <c r="P421" i="14" s="1"/>
  <c r="J421" i="14"/>
  <c r="O421" i="14" s="1"/>
  <c r="I421" i="14"/>
  <c r="H421" i="14"/>
  <c r="L420" i="14"/>
  <c r="Q420" i="14" s="1"/>
  <c r="K420" i="14"/>
  <c r="P420" i="14" s="1"/>
  <c r="J420" i="14"/>
  <c r="O420" i="14" s="1"/>
  <c r="I420" i="14"/>
  <c r="H420" i="14"/>
  <c r="L419" i="14"/>
  <c r="Q419" i="14" s="1"/>
  <c r="K419" i="14"/>
  <c r="P419" i="14" s="1"/>
  <c r="J419" i="14"/>
  <c r="O419" i="14" s="1"/>
  <c r="I419" i="14"/>
  <c r="H419" i="14"/>
  <c r="L418" i="14"/>
  <c r="Q418" i="14" s="1"/>
  <c r="K418" i="14"/>
  <c r="P418" i="14" s="1"/>
  <c r="J418" i="14"/>
  <c r="O418" i="14" s="1"/>
  <c r="I418" i="14"/>
  <c r="H418" i="14"/>
  <c r="L417" i="14"/>
  <c r="Q417" i="14" s="1"/>
  <c r="K417" i="14"/>
  <c r="P417" i="14" s="1"/>
  <c r="J417" i="14"/>
  <c r="O417" i="14" s="1"/>
  <c r="I417" i="14"/>
  <c r="H417" i="14"/>
  <c r="L416" i="14"/>
  <c r="Q416" i="14" s="1"/>
  <c r="K416" i="14"/>
  <c r="P416" i="14" s="1"/>
  <c r="J416" i="14"/>
  <c r="O416" i="14" s="1"/>
  <c r="I416" i="14"/>
  <c r="H416" i="14"/>
  <c r="L415" i="14"/>
  <c r="Q415" i="14" s="1"/>
  <c r="K415" i="14"/>
  <c r="P415" i="14" s="1"/>
  <c r="J415" i="14"/>
  <c r="O415" i="14" s="1"/>
  <c r="I415" i="14"/>
  <c r="H415" i="14"/>
  <c r="L414" i="14"/>
  <c r="Q414" i="14" s="1"/>
  <c r="K414" i="14"/>
  <c r="P414" i="14" s="1"/>
  <c r="J414" i="14"/>
  <c r="O414" i="14" s="1"/>
  <c r="I414" i="14"/>
  <c r="H414" i="14"/>
  <c r="P413" i="14"/>
  <c r="O413" i="14"/>
  <c r="N413" i="14"/>
  <c r="M413" i="14"/>
  <c r="L413" i="14"/>
  <c r="Q413" i="14" s="1"/>
  <c r="K413" i="14"/>
  <c r="J413" i="14"/>
  <c r="I413" i="14"/>
  <c r="H413" i="14"/>
  <c r="L412" i="14"/>
  <c r="Q412" i="14" s="1"/>
  <c r="K412" i="14"/>
  <c r="P412" i="14" s="1"/>
  <c r="J412" i="14"/>
  <c r="O412" i="14" s="1"/>
  <c r="I412" i="14"/>
  <c r="H412" i="14"/>
  <c r="L411" i="14"/>
  <c r="Q411" i="14" s="1"/>
  <c r="K411" i="14"/>
  <c r="P411" i="14" s="1"/>
  <c r="J411" i="14"/>
  <c r="O411" i="14" s="1"/>
  <c r="I411" i="14"/>
  <c r="H411" i="14"/>
  <c r="L410" i="14"/>
  <c r="Q410" i="14" s="1"/>
  <c r="K410" i="14"/>
  <c r="P410" i="14" s="1"/>
  <c r="J410" i="14"/>
  <c r="O410" i="14" s="1"/>
  <c r="I410" i="14"/>
  <c r="H410" i="14"/>
  <c r="L409" i="14"/>
  <c r="Q409" i="14" s="1"/>
  <c r="K409" i="14"/>
  <c r="P409" i="14" s="1"/>
  <c r="J409" i="14"/>
  <c r="O409" i="14" s="1"/>
  <c r="I409" i="14"/>
  <c r="H409" i="14"/>
  <c r="L408" i="14"/>
  <c r="Q408" i="14" s="1"/>
  <c r="K408" i="14"/>
  <c r="P408" i="14" s="1"/>
  <c r="J408" i="14"/>
  <c r="O408" i="14" s="1"/>
  <c r="I408" i="14"/>
  <c r="H408" i="14"/>
  <c r="L407" i="14"/>
  <c r="Q407" i="14" s="1"/>
  <c r="K407" i="14"/>
  <c r="P407" i="14" s="1"/>
  <c r="J407" i="14"/>
  <c r="O407" i="14" s="1"/>
  <c r="I407" i="14"/>
  <c r="H407" i="14"/>
  <c r="L406" i="14"/>
  <c r="Q406" i="14" s="1"/>
  <c r="K406" i="14"/>
  <c r="P406" i="14" s="1"/>
  <c r="J406" i="14"/>
  <c r="O406" i="14" s="1"/>
  <c r="I406" i="14"/>
  <c r="H406" i="14"/>
  <c r="L405" i="14"/>
  <c r="Q405" i="14" s="1"/>
  <c r="K405" i="14"/>
  <c r="P405" i="14" s="1"/>
  <c r="J405" i="14"/>
  <c r="O405" i="14" s="1"/>
  <c r="I405" i="14"/>
  <c r="H405" i="14"/>
  <c r="L404" i="14"/>
  <c r="Q404" i="14" s="1"/>
  <c r="K404" i="14"/>
  <c r="P404" i="14" s="1"/>
  <c r="J404" i="14"/>
  <c r="O404" i="14" s="1"/>
  <c r="I404" i="14"/>
  <c r="H404" i="14"/>
  <c r="L403" i="14"/>
  <c r="Q403" i="14" s="1"/>
  <c r="K403" i="14"/>
  <c r="P403" i="14" s="1"/>
  <c r="J403" i="14"/>
  <c r="O403" i="14" s="1"/>
  <c r="I403" i="14"/>
  <c r="H403" i="14"/>
  <c r="L402" i="14"/>
  <c r="Q402" i="14" s="1"/>
  <c r="K402" i="14"/>
  <c r="P402" i="14" s="1"/>
  <c r="J402" i="14"/>
  <c r="O402" i="14" s="1"/>
  <c r="I402" i="14"/>
  <c r="H402" i="14"/>
  <c r="L401" i="14"/>
  <c r="Q401" i="14" s="1"/>
  <c r="K401" i="14"/>
  <c r="P401" i="14" s="1"/>
  <c r="J401" i="14"/>
  <c r="O401" i="14" s="1"/>
  <c r="I401" i="14"/>
  <c r="H401" i="14"/>
  <c r="L400" i="14"/>
  <c r="Q400" i="14" s="1"/>
  <c r="K400" i="14"/>
  <c r="P400" i="14" s="1"/>
  <c r="J400" i="14"/>
  <c r="O400" i="14" s="1"/>
  <c r="I400" i="14"/>
  <c r="H400" i="14"/>
  <c r="L399" i="14"/>
  <c r="Q399" i="14" s="1"/>
  <c r="K399" i="14"/>
  <c r="P399" i="14" s="1"/>
  <c r="J399" i="14"/>
  <c r="O399" i="14" s="1"/>
  <c r="I399" i="14"/>
  <c r="H399" i="14"/>
  <c r="L398" i="14"/>
  <c r="Q398" i="14" s="1"/>
  <c r="K398" i="14"/>
  <c r="P398" i="14" s="1"/>
  <c r="J398" i="14"/>
  <c r="O398" i="14" s="1"/>
  <c r="I398" i="14"/>
  <c r="H398" i="14"/>
  <c r="L397" i="14"/>
  <c r="Q397" i="14" s="1"/>
  <c r="K397" i="14"/>
  <c r="P397" i="14" s="1"/>
  <c r="J397" i="14"/>
  <c r="O397" i="14" s="1"/>
  <c r="I397" i="14"/>
  <c r="H397" i="14"/>
  <c r="L396" i="14"/>
  <c r="Q396" i="14" s="1"/>
  <c r="K396" i="14"/>
  <c r="P396" i="14" s="1"/>
  <c r="J396" i="14"/>
  <c r="O396" i="14" s="1"/>
  <c r="I396" i="14"/>
  <c r="H396" i="14"/>
  <c r="L395" i="14"/>
  <c r="Q395" i="14" s="1"/>
  <c r="K395" i="14"/>
  <c r="P395" i="14" s="1"/>
  <c r="J395" i="14"/>
  <c r="O395" i="14" s="1"/>
  <c r="I395" i="14"/>
  <c r="H395" i="14"/>
  <c r="L394" i="14"/>
  <c r="Q394" i="14" s="1"/>
  <c r="K394" i="14"/>
  <c r="P394" i="14" s="1"/>
  <c r="J394" i="14"/>
  <c r="O394" i="14" s="1"/>
  <c r="I394" i="14"/>
  <c r="H394" i="14"/>
  <c r="L393" i="14"/>
  <c r="Q393" i="14" s="1"/>
  <c r="K393" i="14"/>
  <c r="P393" i="14" s="1"/>
  <c r="J393" i="14"/>
  <c r="O393" i="14" s="1"/>
  <c r="I393" i="14"/>
  <c r="H393" i="14"/>
  <c r="L392" i="14"/>
  <c r="Q392" i="14" s="1"/>
  <c r="K392" i="14"/>
  <c r="P392" i="14" s="1"/>
  <c r="J392" i="14"/>
  <c r="O392" i="14" s="1"/>
  <c r="I392" i="14"/>
  <c r="H392" i="14"/>
  <c r="L391" i="14"/>
  <c r="Q391" i="14" s="1"/>
  <c r="K391" i="14"/>
  <c r="P391" i="14" s="1"/>
  <c r="J391" i="14"/>
  <c r="O391" i="14" s="1"/>
  <c r="I391" i="14"/>
  <c r="H391" i="14"/>
  <c r="L390" i="14"/>
  <c r="Q390" i="14" s="1"/>
  <c r="K390" i="14"/>
  <c r="P390" i="14" s="1"/>
  <c r="J390" i="14"/>
  <c r="O390" i="14" s="1"/>
  <c r="I390" i="14"/>
  <c r="H390" i="14"/>
  <c r="L389" i="14"/>
  <c r="Q389" i="14" s="1"/>
  <c r="K389" i="14"/>
  <c r="P389" i="14" s="1"/>
  <c r="J389" i="14"/>
  <c r="O389" i="14" s="1"/>
  <c r="I389" i="14"/>
  <c r="H389" i="14"/>
  <c r="L388" i="14"/>
  <c r="Q388" i="14" s="1"/>
  <c r="K388" i="14"/>
  <c r="P388" i="14" s="1"/>
  <c r="J388" i="14"/>
  <c r="O388" i="14" s="1"/>
  <c r="I388" i="14"/>
  <c r="H388" i="14"/>
  <c r="L387" i="14"/>
  <c r="Q387" i="14" s="1"/>
  <c r="K387" i="14"/>
  <c r="P387" i="14" s="1"/>
  <c r="J387" i="14"/>
  <c r="O387" i="14" s="1"/>
  <c r="I387" i="14"/>
  <c r="H387" i="14"/>
  <c r="L386" i="14"/>
  <c r="Q386" i="14" s="1"/>
  <c r="K386" i="14"/>
  <c r="P386" i="14" s="1"/>
  <c r="J386" i="14"/>
  <c r="O386" i="14" s="1"/>
  <c r="I386" i="14"/>
  <c r="H386" i="14"/>
  <c r="L385" i="14"/>
  <c r="Q385" i="14" s="1"/>
  <c r="K385" i="14"/>
  <c r="P385" i="14" s="1"/>
  <c r="J385" i="14"/>
  <c r="O385" i="14" s="1"/>
  <c r="I385" i="14"/>
  <c r="H385" i="14"/>
  <c r="L384" i="14"/>
  <c r="Q384" i="14" s="1"/>
  <c r="K384" i="14"/>
  <c r="P384" i="14" s="1"/>
  <c r="J384" i="14"/>
  <c r="O384" i="14" s="1"/>
  <c r="I384" i="14"/>
  <c r="H384" i="14"/>
  <c r="L383" i="14"/>
  <c r="Q383" i="14" s="1"/>
  <c r="K383" i="14"/>
  <c r="P383" i="14" s="1"/>
  <c r="J383" i="14"/>
  <c r="O383" i="14" s="1"/>
  <c r="I383" i="14"/>
  <c r="H383" i="14"/>
  <c r="L382" i="14"/>
  <c r="Q382" i="14" s="1"/>
  <c r="K382" i="14"/>
  <c r="P382" i="14" s="1"/>
  <c r="J382" i="14"/>
  <c r="O382" i="14" s="1"/>
  <c r="I382" i="14"/>
  <c r="H382" i="14"/>
  <c r="L381" i="14"/>
  <c r="Q381" i="14" s="1"/>
  <c r="K381" i="14"/>
  <c r="P381" i="14" s="1"/>
  <c r="J381" i="14"/>
  <c r="O381" i="14" s="1"/>
  <c r="I381" i="14"/>
  <c r="H381" i="14"/>
  <c r="L380" i="14"/>
  <c r="Q380" i="14" s="1"/>
  <c r="K380" i="14"/>
  <c r="P380" i="14" s="1"/>
  <c r="J380" i="14"/>
  <c r="O380" i="14" s="1"/>
  <c r="I380" i="14"/>
  <c r="H380" i="14"/>
  <c r="L379" i="14"/>
  <c r="Q379" i="14" s="1"/>
  <c r="K379" i="14"/>
  <c r="P379" i="14" s="1"/>
  <c r="J379" i="14"/>
  <c r="O379" i="14" s="1"/>
  <c r="I379" i="14"/>
  <c r="H379" i="14"/>
  <c r="L378" i="14"/>
  <c r="Q378" i="14" s="1"/>
  <c r="K378" i="14"/>
  <c r="P378" i="14" s="1"/>
  <c r="J378" i="14"/>
  <c r="O378" i="14" s="1"/>
  <c r="I378" i="14"/>
  <c r="H378" i="14"/>
  <c r="L377" i="14"/>
  <c r="Q377" i="14" s="1"/>
  <c r="K377" i="14"/>
  <c r="P377" i="14" s="1"/>
  <c r="J377" i="14"/>
  <c r="O377" i="14" s="1"/>
  <c r="I377" i="14"/>
  <c r="H377" i="14"/>
  <c r="L376" i="14"/>
  <c r="Q376" i="14" s="1"/>
  <c r="K376" i="14"/>
  <c r="P376" i="14" s="1"/>
  <c r="J376" i="14"/>
  <c r="O376" i="14" s="1"/>
  <c r="I376" i="14"/>
  <c r="H376" i="14"/>
  <c r="L375" i="14"/>
  <c r="Q375" i="14" s="1"/>
  <c r="K375" i="14"/>
  <c r="P375" i="14" s="1"/>
  <c r="J375" i="14"/>
  <c r="O375" i="14" s="1"/>
  <c r="I375" i="14"/>
  <c r="H375" i="14"/>
  <c r="L374" i="14"/>
  <c r="Q374" i="14" s="1"/>
  <c r="K374" i="14"/>
  <c r="P374" i="14" s="1"/>
  <c r="J374" i="14"/>
  <c r="O374" i="14" s="1"/>
  <c r="I374" i="14"/>
  <c r="H374" i="14"/>
  <c r="L373" i="14"/>
  <c r="Q373" i="14" s="1"/>
  <c r="K373" i="14"/>
  <c r="P373" i="14" s="1"/>
  <c r="J373" i="14"/>
  <c r="O373" i="14" s="1"/>
  <c r="I373" i="14"/>
  <c r="H373" i="14"/>
  <c r="Q372" i="14"/>
  <c r="P372" i="14"/>
  <c r="O372" i="14"/>
  <c r="L372" i="14"/>
  <c r="K372" i="14"/>
  <c r="J372" i="14"/>
  <c r="I372" i="14"/>
  <c r="H372" i="14"/>
  <c r="L371" i="14"/>
  <c r="Q371" i="14" s="1"/>
  <c r="K371" i="14"/>
  <c r="P371" i="14" s="1"/>
  <c r="J371" i="14"/>
  <c r="O371" i="14" s="1"/>
  <c r="I371" i="14"/>
  <c r="H371" i="14"/>
  <c r="L370" i="14"/>
  <c r="Q370" i="14" s="1"/>
  <c r="K370" i="14"/>
  <c r="P370" i="14" s="1"/>
  <c r="J370" i="14"/>
  <c r="O370" i="14" s="1"/>
  <c r="I370" i="14"/>
  <c r="H370" i="14"/>
  <c r="L369" i="14"/>
  <c r="Q369" i="14" s="1"/>
  <c r="K369" i="14"/>
  <c r="P369" i="14" s="1"/>
  <c r="J369" i="14"/>
  <c r="O369" i="14" s="1"/>
  <c r="I369" i="14"/>
  <c r="H369" i="14"/>
  <c r="L368" i="14"/>
  <c r="Q368" i="14" s="1"/>
  <c r="K368" i="14"/>
  <c r="P368" i="14" s="1"/>
  <c r="J368" i="14"/>
  <c r="O368" i="14" s="1"/>
  <c r="I368" i="14"/>
  <c r="H368" i="14"/>
  <c r="L367" i="14"/>
  <c r="Q367" i="14" s="1"/>
  <c r="K367" i="14"/>
  <c r="P367" i="14" s="1"/>
  <c r="J367" i="14"/>
  <c r="O367" i="14" s="1"/>
  <c r="I367" i="14"/>
  <c r="H367" i="14"/>
  <c r="L366" i="14"/>
  <c r="Q366" i="14" s="1"/>
  <c r="K366" i="14"/>
  <c r="P366" i="14" s="1"/>
  <c r="J366" i="14"/>
  <c r="O366" i="14" s="1"/>
  <c r="I366" i="14"/>
  <c r="H366" i="14"/>
  <c r="L365" i="14"/>
  <c r="Q365" i="14" s="1"/>
  <c r="K365" i="14"/>
  <c r="P365" i="14" s="1"/>
  <c r="J365" i="14"/>
  <c r="O365" i="14" s="1"/>
  <c r="I365" i="14"/>
  <c r="H365" i="14"/>
  <c r="L364" i="14"/>
  <c r="Q364" i="14" s="1"/>
  <c r="K364" i="14"/>
  <c r="P364" i="14" s="1"/>
  <c r="J364" i="14"/>
  <c r="O364" i="14" s="1"/>
  <c r="I364" i="14"/>
  <c r="H364" i="14"/>
  <c r="L363" i="14"/>
  <c r="Q363" i="14" s="1"/>
  <c r="K363" i="14"/>
  <c r="P363" i="14" s="1"/>
  <c r="J363" i="14"/>
  <c r="O363" i="14" s="1"/>
  <c r="I363" i="14"/>
  <c r="H363" i="14"/>
  <c r="L362" i="14"/>
  <c r="Q362" i="14" s="1"/>
  <c r="K362" i="14"/>
  <c r="P362" i="14" s="1"/>
  <c r="J362" i="14"/>
  <c r="O362" i="14" s="1"/>
  <c r="I362" i="14"/>
  <c r="H362" i="14"/>
  <c r="L361" i="14"/>
  <c r="Q361" i="14" s="1"/>
  <c r="K361" i="14"/>
  <c r="P361" i="14" s="1"/>
  <c r="J361" i="14"/>
  <c r="O361" i="14" s="1"/>
  <c r="I361" i="14"/>
  <c r="H361" i="14"/>
  <c r="L360" i="14"/>
  <c r="Q360" i="14" s="1"/>
  <c r="K360" i="14"/>
  <c r="P360" i="14" s="1"/>
  <c r="J360" i="14"/>
  <c r="O360" i="14" s="1"/>
  <c r="I360" i="14"/>
  <c r="H360" i="14"/>
  <c r="L359" i="14"/>
  <c r="Q359" i="14" s="1"/>
  <c r="K359" i="14"/>
  <c r="P359" i="14" s="1"/>
  <c r="J359" i="14"/>
  <c r="O359" i="14" s="1"/>
  <c r="I359" i="14"/>
  <c r="H359" i="14"/>
  <c r="L358" i="14"/>
  <c r="Q358" i="14" s="1"/>
  <c r="K358" i="14"/>
  <c r="P358" i="14" s="1"/>
  <c r="J358" i="14"/>
  <c r="O358" i="14" s="1"/>
  <c r="I358" i="14"/>
  <c r="H358" i="14"/>
  <c r="L357" i="14"/>
  <c r="Q357" i="14" s="1"/>
  <c r="K357" i="14"/>
  <c r="P357" i="14" s="1"/>
  <c r="J357" i="14"/>
  <c r="O357" i="14" s="1"/>
  <c r="I357" i="14"/>
  <c r="H357" i="14"/>
  <c r="L356" i="14"/>
  <c r="Q356" i="14" s="1"/>
  <c r="K356" i="14"/>
  <c r="P356" i="14" s="1"/>
  <c r="J356" i="14"/>
  <c r="O356" i="14" s="1"/>
  <c r="I356" i="14"/>
  <c r="H356" i="14"/>
  <c r="L355" i="14"/>
  <c r="Q355" i="14" s="1"/>
  <c r="K355" i="14"/>
  <c r="P355" i="14" s="1"/>
  <c r="J355" i="14"/>
  <c r="O355" i="14" s="1"/>
  <c r="I355" i="14"/>
  <c r="H355" i="14"/>
  <c r="L354" i="14"/>
  <c r="Q354" i="14" s="1"/>
  <c r="K354" i="14"/>
  <c r="P354" i="14" s="1"/>
  <c r="J354" i="14"/>
  <c r="O354" i="14" s="1"/>
  <c r="I354" i="14"/>
  <c r="H354" i="14"/>
  <c r="L353" i="14"/>
  <c r="Q353" i="14" s="1"/>
  <c r="K353" i="14"/>
  <c r="P353" i="14" s="1"/>
  <c r="J353" i="14"/>
  <c r="O353" i="14" s="1"/>
  <c r="I353" i="14"/>
  <c r="H353" i="14"/>
  <c r="L352" i="14"/>
  <c r="Q352" i="14" s="1"/>
  <c r="K352" i="14"/>
  <c r="P352" i="14" s="1"/>
  <c r="J352" i="14"/>
  <c r="O352" i="14" s="1"/>
  <c r="I352" i="14"/>
  <c r="H352" i="14"/>
  <c r="L351" i="14"/>
  <c r="Q351" i="14" s="1"/>
  <c r="K351" i="14"/>
  <c r="P351" i="14" s="1"/>
  <c r="J351" i="14"/>
  <c r="O351" i="14" s="1"/>
  <c r="I351" i="14"/>
  <c r="H351" i="14"/>
  <c r="L350" i="14"/>
  <c r="Q350" i="14" s="1"/>
  <c r="K350" i="14"/>
  <c r="P350" i="14" s="1"/>
  <c r="J350" i="14"/>
  <c r="O350" i="14" s="1"/>
  <c r="I350" i="14"/>
  <c r="H350" i="14"/>
  <c r="L349" i="14"/>
  <c r="Q349" i="14" s="1"/>
  <c r="K349" i="14"/>
  <c r="P349" i="14" s="1"/>
  <c r="J349" i="14"/>
  <c r="O349" i="14" s="1"/>
  <c r="I349" i="14"/>
  <c r="H349" i="14"/>
  <c r="L348" i="14"/>
  <c r="Q348" i="14" s="1"/>
  <c r="K348" i="14"/>
  <c r="P348" i="14" s="1"/>
  <c r="J348" i="14"/>
  <c r="O348" i="14" s="1"/>
  <c r="I348" i="14"/>
  <c r="H348" i="14"/>
  <c r="L347" i="14"/>
  <c r="Q347" i="14" s="1"/>
  <c r="K347" i="14"/>
  <c r="P347" i="14" s="1"/>
  <c r="J347" i="14"/>
  <c r="O347" i="14" s="1"/>
  <c r="I347" i="14"/>
  <c r="H347" i="14"/>
  <c r="L346" i="14"/>
  <c r="Q346" i="14" s="1"/>
  <c r="K346" i="14"/>
  <c r="P346" i="14" s="1"/>
  <c r="J346" i="14"/>
  <c r="O346" i="14" s="1"/>
  <c r="I346" i="14"/>
  <c r="H346" i="14"/>
  <c r="L345" i="14"/>
  <c r="Q345" i="14" s="1"/>
  <c r="K345" i="14"/>
  <c r="P345" i="14" s="1"/>
  <c r="J345" i="14"/>
  <c r="O345" i="14" s="1"/>
  <c r="I345" i="14"/>
  <c r="H345" i="14"/>
  <c r="L344" i="14"/>
  <c r="Q344" i="14" s="1"/>
  <c r="K344" i="14"/>
  <c r="P344" i="14" s="1"/>
  <c r="J344" i="14"/>
  <c r="O344" i="14" s="1"/>
  <c r="I344" i="14"/>
  <c r="H344" i="14"/>
  <c r="L343" i="14"/>
  <c r="Q343" i="14" s="1"/>
  <c r="K343" i="14"/>
  <c r="P343" i="14" s="1"/>
  <c r="J343" i="14"/>
  <c r="O343" i="14" s="1"/>
  <c r="I343" i="14"/>
  <c r="H343" i="14"/>
  <c r="L342" i="14"/>
  <c r="Q342" i="14" s="1"/>
  <c r="K342" i="14"/>
  <c r="P342" i="14" s="1"/>
  <c r="J342" i="14"/>
  <c r="O342" i="14" s="1"/>
  <c r="I342" i="14"/>
  <c r="H342" i="14"/>
  <c r="L341" i="14"/>
  <c r="Q341" i="14" s="1"/>
  <c r="K341" i="14"/>
  <c r="P341" i="14" s="1"/>
  <c r="J341" i="14"/>
  <c r="O341" i="14" s="1"/>
  <c r="I341" i="14"/>
  <c r="H341" i="14"/>
  <c r="L340" i="14"/>
  <c r="Q340" i="14" s="1"/>
  <c r="K340" i="14"/>
  <c r="P340" i="14" s="1"/>
  <c r="J340" i="14"/>
  <c r="O340" i="14" s="1"/>
  <c r="I340" i="14"/>
  <c r="H340" i="14"/>
  <c r="L339" i="14"/>
  <c r="Q339" i="14" s="1"/>
  <c r="K339" i="14"/>
  <c r="P339" i="14" s="1"/>
  <c r="J339" i="14"/>
  <c r="O339" i="14" s="1"/>
  <c r="I339" i="14"/>
  <c r="H339" i="14"/>
  <c r="L338" i="14"/>
  <c r="Q338" i="14" s="1"/>
  <c r="K338" i="14"/>
  <c r="P338" i="14" s="1"/>
  <c r="J338" i="14"/>
  <c r="O338" i="14" s="1"/>
  <c r="I338" i="14"/>
  <c r="H338" i="14"/>
  <c r="L337" i="14"/>
  <c r="Q337" i="14" s="1"/>
  <c r="K337" i="14"/>
  <c r="P337" i="14" s="1"/>
  <c r="J337" i="14"/>
  <c r="O337" i="14" s="1"/>
  <c r="I337" i="14"/>
  <c r="H337" i="14"/>
  <c r="L336" i="14"/>
  <c r="Q336" i="14" s="1"/>
  <c r="K336" i="14"/>
  <c r="P336" i="14" s="1"/>
  <c r="J336" i="14"/>
  <c r="O336" i="14" s="1"/>
  <c r="I336" i="14"/>
  <c r="H336" i="14"/>
  <c r="L335" i="14"/>
  <c r="Q335" i="14" s="1"/>
  <c r="K335" i="14"/>
  <c r="P335" i="14" s="1"/>
  <c r="J335" i="14"/>
  <c r="O335" i="14" s="1"/>
  <c r="I335" i="14"/>
  <c r="H335" i="14"/>
  <c r="L334" i="14"/>
  <c r="Q334" i="14" s="1"/>
  <c r="K334" i="14"/>
  <c r="P334" i="14" s="1"/>
  <c r="J334" i="14"/>
  <c r="O334" i="14" s="1"/>
  <c r="I334" i="14"/>
  <c r="H334" i="14"/>
  <c r="L333" i="14"/>
  <c r="Q333" i="14" s="1"/>
  <c r="K333" i="14"/>
  <c r="P333" i="14" s="1"/>
  <c r="J333" i="14"/>
  <c r="O333" i="14" s="1"/>
  <c r="I333" i="14"/>
  <c r="H333" i="14"/>
  <c r="L332" i="14"/>
  <c r="Q332" i="14" s="1"/>
  <c r="K332" i="14"/>
  <c r="P332" i="14" s="1"/>
  <c r="J332" i="14"/>
  <c r="O332" i="14" s="1"/>
  <c r="I332" i="14"/>
  <c r="H332" i="14"/>
  <c r="L331" i="14"/>
  <c r="Q331" i="14" s="1"/>
  <c r="K331" i="14"/>
  <c r="P331" i="14" s="1"/>
  <c r="J331" i="14"/>
  <c r="O331" i="14" s="1"/>
  <c r="I331" i="14"/>
  <c r="H331" i="14"/>
  <c r="L330" i="14"/>
  <c r="Q330" i="14" s="1"/>
  <c r="K330" i="14"/>
  <c r="P330" i="14" s="1"/>
  <c r="J330" i="14"/>
  <c r="O330" i="14" s="1"/>
  <c r="I330" i="14"/>
  <c r="H330" i="14"/>
  <c r="L329" i="14"/>
  <c r="Q329" i="14" s="1"/>
  <c r="K329" i="14"/>
  <c r="P329" i="14" s="1"/>
  <c r="J329" i="14"/>
  <c r="O329" i="14" s="1"/>
  <c r="I329" i="14"/>
  <c r="H329" i="14"/>
  <c r="L328" i="14"/>
  <c r="Q328" i="14" s="1"/>
  <c r="K328" i="14"/>
  <c r="P328" i="14" s="1"/>
  <c r="J328" i="14"/>
  <c r="O328" i="14" s="1"/>
  <c r="I328" i="14"/>
  <c r="H328" i="14"/>
  <c r="L327" i="14"/>
  <c r="Q327" i="14" s="1"/>
  <c r="K327" i="14"/>
  <c r="P327" i="14" s="1"/>
  <c r="J327" i="14"/>
  <c r="O327" i="14" s="1"/>
  <c r="I327" i="14"/>
  <c r="H327" i="14"/>
  <c r="L326" i="14"/>
  <c r="Q326" i="14" s="1"/>
  <c r="K326" i="14"/>
  <c r="P326" i="14" s="1"/>
  <c r="J326" i="14"/>
  <c r="O326" i="14" s="1"/>
  <c r="I326" i="14"/>
  <c r="H326" i="14"/>
  <c r="L325" i="14"/>
  <c r="Q325" i="14" s="1"/>
  <c r="K325" i="14"/>
  <c r="P325" i="14" s="1"/>
  <c r="J325" i="14"/>
  <c r="O325" i="14" s="1"/>
  <c r="I325" i="14"/>
  <c r="H325" i="14"/>
  <c r="L324" i="14"/>
  <c r="Q324" i="14" s="1"/>
  <c r="K324" i="14"/>
  <c r="P324" i="14" s="1"/>
  <c r="J324" i="14"/>
  <c r="O324" i="14" s="1"/>
  <c r="I324" i="14"/>
  <c r="H324" i="14"/>
  <c r="L323" i="14"/>
  <c r="Q323" i="14" s="1"/>
  <c r="K323" i="14"/>
  <c r="P323" i="14" s="1"/>
  <c r="J323" i="14"/>
  <c r="O323" i="14" s="1"/>
  <c r="I323" i="14"/>
  <c r="H323" i="14"/>
  <c r="L322" i="14"/>
  <c r="Q322" i="14" s="1"/>
  <c r="K322" i="14"/>
  <c r="P322" i="14" s="1"/>
  <c r="J322" i="14"/>
  <c r="O322" i="14" s="1"/>
  <c r="I322" i="14"/>
  <c r="H322" i="14"/>
  <c r="L321" i="14"/>
  <c r="Q321" i="14" s="1"/>
  <c r="K321" i="14"/>
  <c r="P321" i="14" s="1"/>
  <c r="J321" i="14"/>
  <c r="O321" i="14" s="1"/>
  <c r="I321" i="14"/>
  <c r="H321" i="14"/>
  <c r="L320" i="14"/>
  <c r="Q320" i="14" s="1"/>
  <c r="K320" i="14"/>
  <c r="P320" i="14" s="1"/>
  <c r="J320" i="14"/>
  <c r="O320" i="14" s="1"/>
  <c r="I320" i="14"/>
  <c r="H320" i="14"/>
  <c r="L319" i="14"/>
  <c r="Q319" i="14" s="1"/>
  <c r="K319" i="14"/>
  <c r="P319" i="14" s="1"/>
  <c r="J319" i="14"/>
  <c r="O319" i="14" s="1"/>
  <c r="I319" i="14"/>
  <c r="H319" i="14"/>
  <c r="L318" i="14"/>
  <c r="Q318" i="14" s="1"/>
  <c r="K318" i="14"/>
  <c r="P318" i="14" s="1"/>
  <c r="J318" i="14"/>
  <c r="O318" i="14" s="1"/>
  <c r="I318" i="14"/>
  <c r="H318" i="14"/>
  <c r="L317" i="14"/>
  <c r="Q317" i="14" s="1"/>
  <c r="K317" i="14"/>
  <c r="P317" i="14" s="1"/>
  <c r="J317" i="14"/>
  <c r="O317" i="14" s="1"/>
  <c r="I317" i="14"/>
  <c r="H317" i="14"/>
  <c r="L316" i="14"/>
  <c r="Q316" i="14" s="1"/>
  <c r="K316" i="14"/>
  <c r="P316" i="14" s="1"/>
  <c r="J316" i="14"/>
  <c r="O316" i="14" s="1"/>
  <c r="I316" i="14"/>
  <c r="H316" i="14"/>
  <c r="L315" i="14"/>
  <c r="Q315" i="14" s="1"/>
  <c r="K315" i="14"/>
  <c r="P315" i="14" s="1"/>
  <c r="J315" i="14"/>
  <c r="O315" i="14" s="1"/>
  <c r="I315" i="14"/>
  <c r="H315" i="14"/>
  <c r="L314" i="14"/>
  <c r="Q314" i="14" s="1"/>
  <c r="K314" i="14"/>
  <c r="P314" i="14" s="1"/>
  <c r="J314" i="14"/>
  <c r="O314" i="14" s="1"/>
  <c r="I314" i="14"/>
  <c r="H314" i="14"/>
  <c r="L313" i="14"/>
  <c r="Q313" i="14" s="1"/>
  <c r="K313" i="14"/>
  <c r="P313" i="14" s="1"/>
  <c r="J313" i="14"/>
  <c r="O313" i="14" s="1"/>
  <c r="I313" i="14"/>
  <c r="H313" i="14"/>
  <c r="L312" i="14"/>
  <c r="Q312" i="14" s="1"/>
  <c r="K312" i="14"/>
  <c r="P312" i="14" s="1"/>
  <c r="J312" i="14"/>
  <c r="O312" i="14" s="1"/>
  <c r="I312" i="14"/>
  <c r="H312" i="14"/>
  <c r="L311" i="14"/>
  <c r="Q311" i="14" s="1"/>
  <c r="K311" i="14"/>
  <c r="P311" i="14" s="1"/>
  <c r="J311" i="14"/>
  <c r="O311" i="14" s="1"/>
  <c r="I311" i="14"/>
  <c r="H311" i="14"/>
  <c r="L310" i="14"/>
  <c r="Q310" i="14" s="1"/>
  <c r="K310" i="14"/>
  <c r="P310" i="14" s="1"/>
  <c r="J310" i="14"/>
  <c r="O310" i="14" s="1"/>
  <c r="I310" i="14"/>
  <c r="H310" i="14"/>
  <c r="L309" i="14"/>
  <c r="Q309" i="14" s="1"/>
  <c r="K309" i="14"/>
  <c r="P309" i="14" s="1"/>
  <c r="J309" i="14"/>
  <c r="O309" i="14" s="1"/>
  <c r="I309" i="14"/>
  <c r="H309" i="14"/>
  <c r="L308" i="14"/>
  <c r="Q308" i="14" s="1"/>
  <c r="K308" i="14"/>
  <c r="P308" i="14" s="1"/>
  <c r="J308" i="14"/>
  <c r="O308" i="14" s="1"/>
  <c r="I308" i="14"/>
  <c r="H308" i="14"/>
  <c r="L307" i="14"/>
  <c r="Q307" i="14" s="1"/>
  <c r="K307" i="14"/>
  <c r="P307" i="14" s="1"/>
  <c r="J307" i="14"/>
  <c r="O307" i="14" s="1"/>
  <c r="I307" i="14"/>
  <c r="H307" i="14"/>
  <c r="L306" i="14"/>
  <c r="Q306" i="14" s="1"/>
  <c r="K306" i="14"/>
  <c r="P306" i="14" s="1"/>
  <c r="J306" i="14"/>
  <c r="O306" i="14" s="1"/>
  <c r="I306" i="14"/>
  <c r="H306" i="14"/>
  <c r="L305" i="14"/>
  <c r="Q305" i="14" s="1"/>
  <c r="K305" i="14"/>
  <c r="P305" i="14" s="1"/>
  <c r="J305" i="14"/>
  <c r="O305" i="14" s="1"/>
  <c r="I305" i="14"/>
  <c r="H305" i="14"/>
  <c r="L304" i="14"/>
  <c r="Q304" i="14" s="1"/>
  <c r="K304" i="14"/>
  <c r="P304" i="14" s="1"/>
  <c r="J304" i="14"/>
  <c r="O304" i="14" s="1"/>
  <c r="I304" i="14"/>
  <c r="H304" i="14"/>
  <c r="L303" i="14"/>
  <c r="Q303" i="14" s="1"/>
  <c r="K303" i="14"/>
  <c r="P303" i="14" s="1"/>
  <c r="J303" i="14"/>
  <c r="O303" i="14" s="1"/>
  <c r="I303" i="14"/>
  <c r="H303" i="14"/>
  <c r="L302" i="14"/>
  <c r="Q302" i="14" s="1"/>
  <c r="K302" i="14"/>
  <c r="P302" i="14" s="1"/>
  <c r="J302" i="14"/>
  <c r="O302" i="14" s="1"/>
  <c r="I302" i="14"/>
  <c r="H302" i="14"/>
  <c r="L301" i="14"/>
  <c r="Q301" i="14" s="1"/>
  <c r="K301" i="14"/>
  <c r="P301" i="14" s="1"/>
  <c r="J301" i="14"/>
  <c r="O301" i="14" s="1"/>
  <c r="I301" i="14"/>
  <c r="H301" i="14"/>
  <c r="L300" i="14"/>
  <c r="Q300" i="14" s="1"/>
  <c r="K300" i="14"/>
  <c r="P300" i="14" s="1"/>
  <c r="J300" i="14"/>
  <c r="O300" i="14" s="1"/>
  <c r="I300" i="14"/>
  <c r="H300" i="14"/>
  <c r="L299" i="14"/>
  <c r="Q299" i="14" s="1"/>
  <c r="K299" i="14"/>
  <c r="P299" i="14" s="1"/>
  <c r="J299" i="14"/>
  <c r="O299" i="14" s="1"/>
  <c r="I299" i="14"/>
  <c r="H299" i="14"/>
  <c r="L298" i="14"/>
  <c r="Q298" i="14" s="1"/>
  <c r="K298" i="14"/>
  <c r="P298" i="14" s="1"/>
  <c r="J298" i="14"/>
  <c r="O298" i="14" s="1"/>
  <c r="I298" i="14"/>
  <c r="H298" i="14"/>
  <c r="L297" i="14"/>
  <c r="Q297" i="14" s="1"/>
  <c r="K297" i="14"/>
  <c r="P297" i="14" s="1"/>
  <c r="J297" i="14"/>
  <c r="O297" i="14" s="1"/>
  <c r="I297" i="14"/>
  <c r="H297" i="14"/>
  <c r="L296" i="14"/>
  <c r="Q296" i="14" s="1"/>
  <c r="K296" i="14"/>
  <c r="P296" i="14" s="1"/>
  <c r="J296" i="14"/>
  <c r="O296" i="14" s="1"/>
  <c r="I296" i="14"/>
  <c r="H296" i="14"/>
  <c r="L295" i="14"/>
  <c r="Q295" i="14" s="1"/>
  <c r="K295" i="14"/>
  <c r="P295" i="14" s="1"/>
  <c r="J295" i="14"/>
  <c r="O295" i="14" s="1"/>
  <c r="I295" i="14"/>
  <c r="H295" i="14"/>
  <c r="L294" i="14"/>
  <c r="Q294" i="14" s="1"/>
  <c r="K294" i="14"/>
  <c r="P294" i="14" s="1"/>
  <c r="J294" i="14"/>
  <c r="O294" i="14" s="1"/>
  <c r="I294" i="14"/>
  <c r="H294" i="14"/>
  <c r="L293" i="14"/>
  <c r="Q293" i="14" s="1"/>
  <c r="K293" i="14"/>
  <c r="P293" i="14" s="1"/>
  <c r="J293" i="14"/>
  <c r="O293" i="14" s="1"/>
  <c r="I293" i="14"/>
  <c r="H293" i="14"/>
  <c r="L292" i="14"/>
  <c r="Q292" i="14" s="1"/>
  <c r="K292" i="14"/>
  <c r="P292" i="14" s="1"/>
  <c r="J292" i="14"/>
  <c r="O292" i="14" s="1"/>
  <c r="I292" i="14"/>
  <c r="H292" i="14"/>
  <c r="L291" i="14"/>
  <c r="Q291" i="14" s="1"/>
  <c r="K291" i="14"/>
  <c r="P291" i="14" s="1"/>
  <c r="J291" i="14"/>
  <c r="O291" i="14" s="1"/>
  <c r="I291" i="14"/>
  <c r="H291" i="14"/>
  <c r="L290" i="14"/>
  <c r="Q290" i="14" s="1"/>
  <c r="K290" i="14"/>
  <c r="P290" i="14" s="1"/>
  <c r="J290" i="14"/>
  <c r="O290" i="14" s="1"/>
  <c r="I290" i="14"/>
  <c r="H290" i="14"/>
  <c r="L289" i="14"/>
  <c r="Q289" i="14" s="1"/>
  <c r="K289" i="14"/>
  <c r="P289" i="14" s="1"/>
  <c r="J289" i="14"/>
  <c r="O289" i="14" s="1"/>
  <c r="I289" i="14"/>
  <c r="H289" i="14"/>
  <c r="L288" i="14"/>
  <c r="Q288" i="14" s="1"/>
  <c r="K288" i="14"/>
  <c r="P288" i="14" s="1"/>
  <c r="J288" i="14"/>
  <c r="O288" i="14" s="1"/>
  <c r="I288" i="14"/>
  <c r="H288" i="14"/>
  <c r="L287" i="14"/>
  <c r="Q287" i="14" s="1"/>
  <c r="K287" i="14"/>
  <c r="P287" i="14" s="1"/>
  <c r="J287" i="14"/>
  <c r="O287" i="14" s="1"/>
  <c r="I287" i="14"/>
  <c r="H287" i="14"/>
  <c r="L286" i="14"/>
  <c r="Q286" i="14" s="1"/>
  <c r="K286" i="14"/>
  <c r="P286" i="14" s="1"/>
  <c r="J286" i="14"/>
  <c r="O286" i="14" s="1"/>
  <c r="I286" i="14"/>
  <c r="H286" i="14"/>
  <c r="L285" i="14"/>
  <c r="Q285" i="14" s="1"/>
  <c r="K285" i="14"/>
  <c r="P285" i="14" s="1"/>
  <c r="J285" i="14"/>
  <c r="O285" i="14" s="1"/>
  <c r="I285" i="14"/>
  <c r="H285" i="14"/>
  <c r="L284" i="14"/>
  <c r="Q284" i="14" s="1"/>
  <c r="K284" i="14"/>
  <c r="P284" i="14" s="1"/>
  <c r="J284" i="14"/>
  <c r="O284" i="14" s="1"/>
  <c r="I284" i="14"/>
  <c r="H284" i="14"/>
  <c r="L283" i="14"/>
  <c r="Q283" i="14" s="1"/>
  <c r="K283" i="14"/>
  <c r="P283" i="14" s="1"/>
  <c r="J283" i="14"/>
  <c r="O283" i="14" s="1"/>
  <c r="I283" i="14"/>
  <c r="H283" i="14"/>
  <c r="L282" i="14"/>
  <c r="Q282" i="14" s="1"/>
  <c r="K282" i="14"/>
  <c r="P282" i="14" s="1"/>
  <c r="J282" i="14"/>
  <c r="O282" i="14" s="1"/>
  <c r="I282" i="14"/>
  <c r="H282" i="14"/>
  <c r="L281" i="14"/>
  <c r="Q281" i="14" s="1"/>
  <c r="K281" i="14"/>
  <c r="P281" i="14" s="1"/>
  <c r="J281" i="14"/>
  <c r="O281" i="14" s="1"/>
  <c r="I281" i="14"/>
  <c r="H281" i="14"/>
  <c r="L280" i="14"/>
  <c r="Q280" i="14" s="1"/>
  <c r="K280" i="14"/>
  <c r="P280" i="14" s="1"/>
  <c r="J280" i="14"/>
  <c r="O280" i="14" s="1"/>
  <c r="I280" i="14"/>
  <c r="H280" i="14"/>
  <c r="L279" i="14"/>
  <c r="Q279" i="14" s="1"/>
  <c r="K279" i="14"/>
  <c r="P279" i="14" s="1"/>
  <c r="J279" i="14"/>
  <c r="O279" i="14" s="1"/>
  <c r="I279" i="14"/>
  <c r="H279" i="14"/>
  <c r="L278" i="14"/>
  <c r="Q278" i="14" s="1"/>
  <c r="K278" i="14"/>
  <c r="P278" i="14" s="1"/>
  <c r="J278" i="14"/>
  <c r="O278" i="14" s="1"/>
  <c r="I278" i="14"/>
  <c r="H278" i="14"/>
  <c r="L277" i="14"/>
  <c r="Q277" i="14" s="1"/>
  <c r="K277" i="14"/>
  <c r="P277" i="14" s="1"/>
  <c r="J277" i="14"/>
  <c r="O277" i="14" s="1"/>
  <c r="I277" i="14"/>
  <c r="H277" i="14"/>
  <c r="L276" i="14"/>
  <c r="Q276" i="14" s="1"/>
  <c r="K276" i="14"/>
  <c r="P276" i="14" s="1"/>
  <c r="J276" i="14"/>
  <c r="O276" i="14" s="1"/>
  <c r="I276" i="14"/>
  <c r="H276" i="14"/>
  <c r="L275" i="14"/>
  <c r="Q275" i="14" s="1"/>
  <c r="K275" i="14"/>
  <c r="P275" i="14" s="1"/>
  <c r="J275" i="14"/>
  <c r="O275" i="14" s="1"/>
  <c r="I275" i="14"/>
  <c r="H275" i="14"/>
  <c r="L274" i="14"/>
  <c r="Q274" i="14" s="1"/>
  <c r="K274" i="14"/>
  <c r="P274" i="14" s="1"/>
  <c r="J274" i="14"/>
  <c r="O274" i="14" s="1"/>
  <c r="I274" i="14"/>
  <c r="H274" i="14"/>
  <c r="L273" i="14"/>
  <c r="Q273" i="14" s="1"/>
  <c r="K273" i="14"/>
  <c r="P273" i="14" s="1"/>
  <c r="J273" i="14"/>
  <c r="O273" i="14" s="1"/>
  <c r="I273" i="14"/>
  <c r="H273" i="14"/>
  <c r="L272" i="14"/>
  <c r="Q272" i="14" s="1"/>
  <c r="K272" i="14"/>
  <c r="P272" i="14" s="1"/>
  <c r="J272" i="14"/>
  <c r="O272" i="14" s="1"/>
  <c r="I272" i="14"/>
  <c r="H272" i="14"/>
  <c r="L271" i="14"/>
  <c r="Q271" i="14" s="1"/>
  <c r="K271" i="14"/>
  <c r="P271" i="14" s="1"/>
  <c r="J271" i="14"/>
  <c r="O271" i="14" s="1"/>
  <c r="I271" i="14"/>
  <c r="H271" i="14"/>
  <c r="L270" i="14"/>
  <c r="Q270" i="14" s="1"/>
  <c r="K270" i="14"/>
  <c r="P270" i="14" s="1"/>
  <c r="J270" i="14"/>
  <c r="O270" i="14" s="1"/>
  <c r="I270" i="14"/>
  <c r="H270" i="14"/>
  <c r="L269" i="14"/>
  <c r="Q269" i="14" s="1"/>
  <c r="K269" i="14"/>
  <c r="P269" i="14" s="1"/>
  <c r="J269" i="14"/>
  <c r="O269" i="14" s="1"/>
  <c r="I269" i="14"/>
  <c r="H269" i="14"/>
  <c r="L268" i="14"/>
  <c r="Q268" i="14" s="1"/>
  <c r="K268" i="14"/>
  <c r="P268" i="14" s="1"/>
  <c r="J268" i="14"/>
  <c r="O268" i="14" s="1"/>
  <c r="I268" i="14"/>
  <c r="H268" i="14"/>
  <c r="L267" i="14"/>
  <c r="Q267" i="14" s="1"/>
  <c r="K267" i="14"/>
  <c r="P267" i="14" s="1"/>
  <c r="J267" i="14"/>
  <c r="O267" i="14" s="1"/>
  <c r="I267" i="14"/>
  <c r="H267" i="14"/>
  <c r="L266" i="14"/>
  <c r="Q266" i="14" s="1"/>
  <c r="K266" i="14"/>
  <c r="P266" i="14" s="1"/>
  <c r="J266" i="14"/>
  <c r="O266" i="14" s="1"/>
  <c r="I266" i="14"/>
  <c r="H266" i="14"/>
  <c r="L265" i="14"/>
  <c r="Q265" i="14" s="1"/>
  <c r="K265" i="14"/>
  <c r="P265" i="14" s="1"/>
  <c r="J265" i="14"/>
  <c r="O265" i="14" s="1"/>
  <c r="I265" i="14"/>
  <c r="H265" i="14"/>
  <c r="L264" i="14"/>
  <c r="Q264" i="14" s="1"/>
  <c r="K264" i="14"/>
  <c r="P264" i="14" s="1"/>
  <c r="J264" i="14"/>
  <c r="O264" i="14" s="1"/>
  <c r="I264" i="14"/>
  <c r="H264" i="14"/>
  <c r="M263" i="14"/>
  <c r="L263" i="14"/>
  <c r="Q263" i="14" s="1"/>
  <c r="K263" i="14"/>
  <c r="P263" i="14" s="1"/>
  <c r="J263" i="14"/>
  <c r="O263" i="14" s="1"/>
  <c r="I263" i="14"/>
  <c r="H263" i="14"/>
  <c r="N263" i="14" s="1"/>
  <c r="L262" i="14"/>
  <c r="Q262" i="14" s="1"/>
  <c r="K262" i="14"/>
  <c r="P262" i="14" s="1"/>
  <c r="J262" i="14"/>
  <c r="O262" i="14" s="1"/>
  <c r="I262" i="14"/>
  <c r="H262" i="14"/>
  <c r="L261" i="14"/>
  <c r="Q261" i="14" s="1"/>
  <c r="K261" i="14"/>
  <c r="P261" i="14" s="1"/>
  <c r="J261" i="14"/>
  <c r="O261" i="14" s="1"/>
  <c r="I261" i="14"/>
  <c r="H261" i="14"/>
  <c r="L260" i="14"/>
  <c r="Q260" i="14" s="1"/>
  <c r="K260" i="14"/>
  <c r="P260" i="14" s="1"/>
  <c r="J260" i="14"/>
  <c r="O260" i="14" s="1"/>
  <c r="I260" i="14"/>
  <c r="H260" i="14"/>
  <c r="L259" i="14"/>
  <c r="Q259" i="14" s="1"/>
  <c r="K259" i="14"/>
  <c r="P259" i="14" s="1"/>
  <c r="J259" i="14"/>
  <c r="O259" i="14" s="1"/>
  <c r="I259" i="14"/>
  <c r="H259" i="14"/>
  <c r="L258" i="14"/>
  <c r="Q258" i="14" s="1"/>
  <c r="K258" i="14"/>
  <c r="P258" i="14" s="1"/>
  <c r="J258" i="14"/>
  <c r="O258" i="14" s="1"/>
  <c r="I258" i="14"/>
  <c r="H258" i="14"/>
  <c r="L257" i="14"/>
  <c r="Q257" i="14" s="1"/>
  <c r="K257" i="14"/>
  <c r="P257" i="14" s="1"/>
  <c r="J257" i="14"/>
  <c r="O257" i="14" s="1"/>
  <c r="I257" i="14"/>
  <c r="H257" i="14"/>
  <c r="L256" i="14"/>
  <c r="Q256" i="14" s="1"/>
  <c r="K256" i="14"/>
  <c r="P256" i="14" s="1"/>
  <c r="J256" i="14"/>
  <c r="O256" i="14" s="1"/>
  <c r="I256" i="14"/>
  <c r="H256" i="14"/>
  <c r="L255" i="14"/>
  <c r="Q255" i="14" s="1"/>
  <c r="K255" i="14"/>
  <c r="P255" i="14" s="1"/>
  <c r="J255" i="14"/>
  <c r="O255" i="14" s="1"/>
  <c r="I255" i="14"/>
  <c r="H255" i="14"/>
  <c r="L254" i="14"/>
  <c r="Q254" i="14" s="1"/>
  <c r="K254" i="14"/>
  <c r="P254" i="14" s="1"/>
  <c r="J254" i="14"/>
  <c r="O254" i="14" s="1"/>
  <c r="I254" i="14"/>
  <c r="H254" i="14"/>
  <c r="L253" i="14"/>
  <c r="Q253" i="14" s="1"/>
  <c r="K253" i="14"/>
  <c r="P253" i="14" s="1"/>
  <c r="J253" i="14"/>
  <c r="O253" i="14" s="1"/>
  <c r="I253" i="14"/>
  <c r="H253" i="14"/>
  <c r="L252" i="14"/>
  <c r="Q252" i="14" s="1"/>
  <c r="K252" i="14"/>
  <c r="P252" i="14" s="1"/>
  <c r="J252" i="14"/>
  <c r="O252" i="14" s="1"/>
  <c r="I252" i="14"/>
  <c r="H252" i="14"/>
  <c r="L251" i="14"/>
  <c r="Q251" i="14" s="1"/>
  <c r="K251" i="14"/>
  <c r="P251" i="14" s="1"/>
  <c r="J251" i="14"/>
  <c r="O251" i="14" s="1"/>
  <c r="I251" i="14"/>
  <c r="H251" i="14"/>
  <c r="L250" i="14"/>
  <c r="Q250" i="14" s="1"/>
  <c r="K250" i="14"/>
  <c r="P250" i="14" s="1"/>
  <c r="J250" i="14"/>
  <c r="O250" i="14" s="1"/>
  <c r="I250" i="14"/>
  <c r="H250" i="14"/>
  <c r="L249" i="14"/>
  <c r="Q249" i="14" s="1"/>
  <c r="K249" i="14"/>
  <c r="P249" i="14" s="1"/>
  <c r="J249" i="14"/>
  <c r="O249" i="14" s="1"/>
  <c r="I249" i="14"/>
  <c r="H249" i="14"/>
  <c r="L248" i="14"/>
  <c r="Q248" i="14" s="1"/>
  <c r="K248" i="14"/>
  <c r="P248" i="14" s="1"/>
  <c r="J248" i="14"/>
  <c r="O248" i="14" s="1"/>
  <c r="I248" i="14"/>
  <c r="H248" i="14"/>
  <c r="L247" i="14"/>
  <c r="Q247" i="14" s="1"/>
  <c r="K247" i="14"/>
  <c r="P247" i="14" s="1"/>
  <c r="J247" i="14"/>
  <c r="O247" i="14" s="1"/>
  <c r="I247" i="14"/>
  <c r="H247" i="14"/>
  <c r="L246" i="14"/>
  <c r="Q246" i="14" s="1"/>
  <c r="K246" i="14"/>
  <c r="P246" i="14" s="1"/>
  <c r="J246" i="14"/>
  <c r="O246" i="14" s="1"/>
  <c r="I246" i="14"/>
  <c r="H246" i="14"/>
  <c r="L245" i="14"/>
  <c r="Q245" i="14" s="1"/>
  <c r="K245" i="14"/>
  <c r="P245" i="14" s="1"/>
  <c r="J245" i="14"/>
  <c r="O245" i="14" s="1"/>
  <c r="I245" i="14"/>
  <c r="H245" i="14"/>
  <c r="L244" i="14"/>
  <c r="Q244" i="14" s="1"/>
  <c r="K244" i="14"/>
  <c r="P244" i="14" s="1"/>
  <c r="J244" i="14"/>
  <c r="O244" i="14" s="1"/>
  <c r="I244" i="14"/>
  <c r="H244" i="14"/>
  <c r="L243" i="14"/>
  <c r="Q243" i="14" s="1"/>
  <c r="K243" i="14"/>
  <c r="P243" i="14" s="1"/>
  <c r="J243" i="14"/>
  <c r="O243" i="14" s="1"/>
  <c r="I243" i="14"/>
  <c r="H243" i="14"/>
  <c r="L242" i="14"/>
  <c r="Q242" i="14" s="1"/>
  <c r="K242" i="14"/>
  <c r="P242" i="14" s="1"/>
  <c r="J242" i="14"/>
  <c r="O242" i="14" s="1"/>
  <c r="I242" i="14"/>
  <c r="H242" i="14"/>
  <c r="L241" i="14"/>
  <c r="Q241" i="14" s="1"/>
  <c r="K241" i="14"/>
  <c r="P241" i="14" s="1"/>
  <c r="J241" i="14"/>
  <c r="O241" i="14" s="1"/>
  <c r="I241" i="14"/>
  <c r="H241" i="14"/>
  <c r="L240" i="14"/>
  <c r="Q240" i="14" s="1"/>
  <c r="K240" i="14"/>
  <c r="P240" i="14" s="1"/>
  <c r="J240" i="14"/>
  <c r="O240" i="14" s="1"/>
  <c r="I240" i="14"/>
  <c r="H240" i="14"/>
  <c r="L239" i="14"/>
  <c r="Q239" i="14" s="1"/>
  <c r="K239" i="14"/>
  <c r="P239" i="14" s="1"/>
  <c r="J239" i="14"/>
  <c r="O239" i="14" s="1"/>
  <c r="I239" i="14"/>
  <c r="H239" i="14"/>
  <c r="L238" i="14"/>
  <c r="Q238" i="14" s="1"/>
  <c r="K238" i="14"/>
  <c r="P238" i="14" s="1"/>
  <c r="J238" i="14"/>
  <c r="O238" i="14" s="1"/>
  <c r="I238" i="14"/>
  <c r="H238" i="14"/>
  <c r="L237" i="14"/>
  <c r="Q237" i="14" s="1"/>
  <c r="K237" i="14"/>
  <c r="P237" i="14" s="1"/>
  <c r="J237" i="14"/>
  <c r="O237" i="14" s="1"/>
  <c r="I237" i="14"/>
  <c r="H237" i="14"/>
  <c r="L236" i="14"/>
  <c r="Q236" i="14" s="1"/>
  <c r="K236" i="14"/>
  <c r="P236" i="14" s="1"/>
  <c r="J236" i="14"/>
  <c r="O236" i="14" s="1"/>
  <c r="I236" i="14"/>
  <c r="H236" i="14"/>
  <c r="L235" i="14"/>
  <c r="Q235" i="14" s="1"/>
  <c r="K235" i="14"/>
  <c r="P235" i="14" s="1"/>
  <c r="J235" i="14"/>
  <c r="O235" i="14" s="1"/>
  <c r="I235" i="14"/>
  <c r="H235" i="14"/>
  <c r="L234" i="14"/>
  <c r="Q234" i="14" s="1"/>
  <c r="K234" i="14"/>
  <c r="P234" i="14" s="1"/>
  <c r="J234" i="14"/>
  <c r="O234" i="14" s="1"/>
  <c r="I234" i="14"/>
  <c r="H234" i="14"/>
  <c r="L233" i="14"/>
  <c r="Q233" i="14" s="1"/>
  <c r="K233" i="14"/>
  <c r="P233" i="14" s="1"/>
  <c r="J233" i="14"/>
  <c r="O233" i="14" s="1"/>
  <c r="I233" i="14"/>
  <c r="H233" i="14"/>
  <c r="L232" i="14"/>
  <c r="Q232" i="14" s="1"/>
  <c r="K232" i="14"/>
  <c r="P232" i="14" s="1"/>
  <c r="J232" i="14"/>
  <c r="O232" i="14" s="1"/>
  <c r="I232" i="14"/>
  <c r="H232" i="14"/>
  <c r="L231" i="14"/>
  <c r="Q231" i="14" s="1"/>
  <c r="K231" i="14"/>
  <c r="P231" i="14" s="1"/>
  <c r="J231" i="14"/>
  <c r="O231" i="14" s="1"/>
  <c r="I231" i="14"/>
  <c r="H231" i="14"/>
  <c r="L230" i="14"/>
  <c r="Q230" i="14" s="1"/>
  <c r="K230" i="14"/>
  <c r="P230" i="14" s="1"/>
  <c r="J230" i="14"/>
  <c r="O230" i="14" s="1"/>
  <c r="I230" i="14"/>
  <c r="H230" i="14"/>
  <c r="L229" i="14"/>
  <c r="Q229" i="14" s="1"/>
  <c r="K229" i="14"/>
  <c r="P229" i="14" s="1"/>
  <c r="J229" i="14"/>
  <c r="O229" i="14" s="1"/>
  <c r="I229" i="14"/>
  <c r="H229" i="14"/>
  <c r="L228" i="14"/>
  <c r="Q228" i="14" s="1"/>
  <c r="K228" i="14"/>
  <c r="P228" i="14" s="1"/>
  <c r="J228" i="14"/>
  <c r="O228" i="14" s="1"/>
  <c r="I228" i="14"/>
  <c r="H228" i="14"/>
  <c r="L227" i="14"/>
  <c r="Q227" i="14" s="1"/>
  <c r="K227" i="14"/>
  <c r="P227" i="14" s="1"/>
  <c r="J227" i="14"/>
  <c r="O227" i="14" s="1"/>
  <c r="I227" i="14"/>
  <c r="H227" i="14"/>
  <c r="L226" i="14"/>
  <c r="Q226" i="14" s="1"/>
  <c r="K226" i="14"/>
  <c r="P226" i="14" s="1"/>
  <c r="J226" i="14"/>
  <c r="O226" i="14" s="1"/>
  <c r="I226" i="14"/>
  <c r="H226" i="14"/>
  <c r="L225" i="14"/>
  <c r="Q225" i="14" s="1"/>
  <c r="K225" i="14"/>
  <c r="P225" i="14" s="1"/>
  <c r="J225" i="14"/>
  <c r="O225" i="14" s="1"/>
  <c r="I225" i="14"/>
  <c r="H225" i="14"/>
  <c r="L224" i="14"/>
  <c r="Q224" i="14" s="1"/>
  <c r="K224" i="14"/>
  <c r="P224" i="14" s="1"/>
  <c r="J224" i="14"/>
  <c r="O224" i="14" s="1"/>
  <c r="I224" i="14"/>
  <c r="H224" i="14"/>
  <c r="L223" i="14"/>
  <c r="Q223" i="14" s="1"/>
  <c r="K223" i="14"/>
  <c r="P223" i="14" s="1"/>
  <c r="J223" i="14"/>
  <c r="O223" i="14" s="1"/>
  <c r="I223" i="14"/>
  <c r="H223" i="14"/>
  <c r="L222" i="14"/>
  <c r="Q222" i="14" s="1"/>
  <c r="K222" i="14"/>
  <c r="P222" i="14" s="1"/>
  <c r="J222" i="14"/>
  <c r="O222" i="14" s="1"/>
  <c r="I222" i="14"/>
  <c r="H222" i="14"/>
  <c r="L221" i="14"/>
  <c r="Q221" i="14" s="1"/>
  <c r="K221" i="14"/>
  <c r="P221" i="14" s="1"/>
  <c r="J221" i="14"/>
  <c r="O221" i="14" s="1"/>
  <c r="I221" i="14"/>
  <c r="H221" i="14"/>
  <c r="L220" i="14"/>
  <c r="Q220" i="14" s="1"/>
  <c r="K220" i="14"/>
  <c r="P220" i="14" s="1"/>
  <c r="J220" i="14"/>
  <c r="O220" i="14" s="1"/>
  <c r="I220" i="14"/>
  <c r="H220" i="14"/>
  <c r="L219" i="14"/>
  <c r="Q219" i="14" s="1"/>
  <c r="K219" i="14"/>
  <c r="P219" i="14" s="1"/>
  <c r="J219" i="14"/>
  <c r="O219" i="14" s="1"/>
  <c r="I219" i="14"/>
  <c r="H219" i="14"/>
  <c r="L218" i="14"/>
  <c r="Q218" i="14" s="1"/>
  <c r="K218" i="14"/>
  <c r="P218" i="14" s="1"/>
  <c r="J218" i="14"/>
  <c r="O218" i="14" s="1"/>
  <c r="I218" i="14"/>
  <c r="H218" i="14"/>
  <c r="L217" i="14"/>
  <c r="Q217" i="14" s="1"/>
  <c r="K217" i="14"/>
  <c r="P217" i="14" s="1"/>
  <c r="J217" i="14"/>
  <c r="O217" i="14" s="1"/>
  <c r="I217" i="14"/>
  <c r="H217" i="14"/>
  <c r="L216" i="14"/>
  <c r="Q216" i="14" s="1"/>
  <c r="K216" i="14"/>
  <c r="P216" i="14" s="1"/>
  <c r="J216" i="14"/>
  <c r="O216" i="14" s="1"/>
  <c r="I216" i="14"/>
  <c r="H216" i="14"/>
  <c r="L215" i="14"/>
  <c r="Q215" i="14" s="1"/>
  <c r="K215" i="14"/>
  <c r="P215" i="14" s="1"/>
  <c r="J215" i="14"/>
  <c r="O215" i="14" s="1"/>
  <c r="I215" i="14"/>
  <c r="H215" i="14"/>
  <c r="L214" i="14"/>
  <c r="Q214" i="14" s="1"/>
  <c r="K214" i="14"/>
  <c r="P214" i="14" s="1"/>
  <c r="J214" i="14"/>
  <c r="O214" i="14" s="1"/>
  <c r="I214" i="14"/>
  <c r="H214" i="14"/>
  <c r="L213" i="14"/>
  <c r="Q213" i="14" s="1"/>
  <c r="K213" i="14"/>
  <c r="P213" i="14" s="1"/>
  <c r="J213" i="14"/>
  <c r="O213" i="14" s="1"/>
  <c r="I213" i="14"/>
  <c r="H213" i="14"/>
  <c r="L212" i="14"/>
  <c r="Q212" i="14" s="1"/>
  <c r="K212" i="14"/>
  <c r="P212" i="14" s="1"/>
  <c r="J212" i="14"/>
  <c r="O212" i="14" s="1"/>
  <c r="I212" i="14"/>
  <c r="H212" i="14"/>
  <c r="L211" i="14"/>
  <c r="Q211" i="14" s="1"/>
  <c r="K211" i="14"/>
  <c r="P211" i="14" s="1"/>
  <c r="J211" i="14"/>
  <c r="O211" i="14" s="1"/>
  <c r="I211" i="14"/>
  <c r="H211" i="14"/>
  <c r="L210" i="14"/>
  <c r="Q210" i="14" s="1"/>
  <c r="K210" i="14"/>
  <c r="P210" i="14" s="1"/>
  <c r="J210" i="14"/>
  <c r="O210" i="14" s="1"/>
  <c r="I210" i="14"/>
  <c r="H210" i="14"/>
  <c r="L209" i="14"/>
  <c r="Q209" i="14" s="1"/>
  <c r="K209" i="14"/>
  <c r="P209" i="14" s="1"/>
  <c r="J209" i="14"/>
  <c r="O209" i="14" s="1"/>
  <c r="I209" i="14"/>
  <c r="H209" i="14"/>
  <c r="L208" i="14"/>
  <c r="Q208" i="14" s="1"/>
  <c r="K208" i="14"/>
  <c r="P208" i="14" s="1"/>
  <c r="J208" i="14"/>
  <c r="O208" i="14" s="1"/>
  <c r="I208" i="14"/>
  <c r="H208" i="14"/>
  <c r="L207" i="14"/>
  <c r="Q207" i="14" s="1"/>
  <c r="K207" i="14"/>
  <c r="P207" i="14" s="1"/>
  <c r="J207" i="14"/>
  <c r="O207" i="14" s="1"/>
  <c r="I207" i="14"/>
  <c r="H207" i="14"/>
  <c r="L206" i="14"/>
  <c r="Q206" i="14" s="1"/>
  <c r="K206" i="14"/>
  <c r="P206" i="14" s="1"/>
  <c r="J206" i="14"/>
  <c r="O206" i="14" s="1"/>
  <c r="I206" i="14"/>
  <c r="H206" i="14"/>
  <c r="L205" i="14"/>
  <c r="Q205" i="14" s="1"/>
  <c r="K205" i="14"/>
  <c r="P205" i="14" s="1"/>
  <c r="J205" i="14"/>
  <c r="O205" i="14" s="1"/>
  <c r="I205" i="14"/>
  <c r="H205" i="14"/>
  <c r="L204" i="14"/>
  <c r="Q204" i="14" s="1"/>
  <c r="K204" i="14"/>
  <c r="P204" i="14" s="1"/>
  <c r="J204" i="14"/>
  <c r="O204" i="14" s="1"/>
  <c r="I204" i="14"/>
  <c r="H204" i="14"/>
  <c r="L203" i="14"/>
  <c r="Q203" i="14" s="1"/>
  <c r="K203" i="14"/>
  <c r="P203" i="14" s="1"/>
  <c r="J203" i="14"/>
  <c r="O203" i="14" s="1"/>
  <c r="I203" i="14"/>
  <c r="H203" i="14"/>
  <c r="L202" i="14"/>
  <c r="Q202" i="14" s="1"/>
  <c r="K202" i="14"/>
  <c r="P202" i="14" s="1"/>
  <c r="J202" i="14"/>
  <c r="O202" i="14" s="1"/>
  <c r="I202" i="14"/>
  <c r="H202" i="14"/>
  <c r="L201" i="14"/>
  <c r="Q201" i="14" s="1"/>
  <c r="K201" i="14"/>
  <c r="P201" i="14" s="1"/>
  <c r="J201" i="14"/>
  <c r="O201" i="14" s="1"/>
  <c r="I201" i="14"/>
  <c r="H201" i="14"/>
  <c r="L200" i="14"/>
  <c r="Q200" i="14" s="1"/>
  <c r="K200" i="14"/>
  <c r="P200" i="14" s="1"/>
  <c r="J200" i="14"/>
  <c r="O200" i="14" s="1"/>
  <c r="I200" i="14"/>
  <c r="H200" i="14"/>
  <c r="L199" i="14"/>
  <c r="Q199" i="14" s="1"/>
  <c r="K199" i="14"/>
  <c r="P199" i="14" s="1"/>
  <c r="J199" i="14"/>
  <c r="O199" i="14" s="1"/>
  <c r="I199" i="14"/>
  <c r="H199" i="14"/>
  <c r="L198" i="14"/>
  <c r="Q198" i="14" s="1"/>
  <c r="K198" i="14"/>
  <c r="P198" i="14" s="1"/>
  <c r="J198" i="14"/>
  <c r="O198" i="14" s="1"/>
  <c r="I198" i="14"/>
  <c r="H198" i="14"/>
  <c r="L197" i="14"/>
  <c r="Q197" i="14" s="1"/>
  <c r="K197" i="14"/>
  <c r="P197" i="14" s="1"/>
  <c r="J197" i="14"/>
  <c r="O197" i="14" s="1"/>
  <c r="I197" i="14"/>
  <c r="H197" i="14"/>
  <c r="L196" i="14"/>
  <c r="Q196" i="14" s="1"/>
  <c r="K196" i="14"/>
  <c r="P196" i="14" s="1"/>
  <c r="J196" i="14"/>
  <c r="O196" i="14" s="1"/>
  <c r="I196" i="14"/>
  <c r="H196" i="14"/>
  <c r="L195" i="14"/>
  <c r="Q195" i="14" s="1"/>
  <c r="K195" i="14"/>
  <c r="P195" i="14" s="1"/>
  <c r="J195" i="14"/>
  <c r="O195" i="14" s="1"/>
  <c r="I195" i="14"/>
  <c r="H195" i="14"/>
  <c r="L194" i="14"/>
  <c r="Q194" i="14" s="1"/>
  <c r="K194" i="14"/>
  <c r="P194" i="14" s="1"/>
  <c r="J194" i="14"/>
  <c r="O194" i="14" s="1"/>
  <c r="I194" i="14"/>
  <c r="H194" i="14"/>
  <c r="L193" i="14"/>
  <c r="Q193" i="14" s="1"/>
  <c r="K193" i="14"/>
  <c r="P193" i="14" s="1"/>
  <c r="J193" i="14"/>
  <c r="O193" i="14" s="1"/>
  <c r="I193" i="14"/>
  <c r="H193" i="14"/>
  <c r="L192" i="14"/>
  <c r="Q192" i="14" s="1"/>
  <c r="K192" i="14"/>
  <c r="P192" i="14" s="1"/>
  <c r="J192" i="14"/>
  <c r="O192" i="14" s="1"/>
  <c r="I192" i="14"/>
  <c r="H192" i="14"/>
  <c r="L191" i="14"/>
  <c r="Q191" i="14" s="1"/>
  <c r="K191" i="14"/>
  <c r="P191" i="14" s="1"/>
  <c r="J191" i="14"/>
  <c r="O191" i="14" s="1"/>
  <c r="I191" i="14"/>
  <c r="H191" i="14"/>
  <c r="L190" i="14"/>
  <c r="Q190" i="14" s="1"/>
  <c r="K190" i="14"/>
  <c r="P190" i="14" s="1"/>
  <c r="J190" i="14"/>
  <c r="O190" i="14" s="1"/>
  <c r="I190" i="14"/>
  <c r="H190" i="14"/>
  <c r="L189" i="14"/>
  <c r="Q189" i="14" s="1"/>
  <c r="K189" i="14"/>
  <c r="P189" i="14" s="1"/>
  <c r="J189" i="14"/>
  <c r="O189" i="14" s="1"/>
  <c r="I189" i="14"/>
  <c r="H189" i="14"/>
  <c r="L188" i="14"/>
  <c r="Q188" i="14" s="1"/>
  <c r="K188" i="14"/>
  <c r="P188" i="14" s="1"/>
  <c r="J188" i="14"/>
  <c r="O188" i="14" s="1"/>
  <c r="I188" i="14"/>
  <c r="H188" i="14"/>
  <c r="L187" i="14"/>
  <c r="Q187" i="14" s="1"/>
  <c r="K187" i="14"/>
  <c r="P187" i="14" s="1"/>
  <c r="J187" i="14"/>
  <c r="O187" i="14" s="1"/>
  <c r="I187" i="14"/>
  <c r="H187" i="14"/>
  <c r="L186" i="14"/>
  <c r="Q186" i="14" s="1"/>
  <c r="K186" i="14"/>
  <c r="P186" i="14" s="1"/>
  <c r="J186" i="14"/>
  <c r="O186" i="14" s="1"/>
  <c r="I186" i="14"/>
  <c r="H186" i="14"/>
  <c r="L185" i="14"/>
  <c r="Q185" i="14" s="1"/>
  <c r="K185" i="14"/>
  <c r="P185" i="14" s="1"/>
  <c r="J185" i="14"/>
  <c r="O185" i="14" s="1"/>
  <c r="I185" i="14"/>
  <c r="H185" i="14"/>
  <c r="L184" i="14"/>
  <c r="Q184" i="14" s="1"/>
  <c r="K184" i="14"/>
  <c r="P184" i="14" s="1"/>
  <c r="J184" i="14"/>
  <c r="O184" i="14" s="1"/>
  <c r="I184" i="14"/>
  <c r="H184" i="14"/>
  <c r="L183" i="14"/>
  <c r="Q183" i="14" s="1"/>
  <c r="K183" i="14"/>
  <c r="P183" i="14" s="1"/>
  <c r="J183" i="14"/>
  <c r="O183" i="14" s="1"/>
  <c r="I183" i="14"/>
  <c r="H183" i="14"/>
  <c r="L182" i="14"/>
  <c r="Q182" i="14" s="1"/>
  <c r="K182" i="14"/>
  <c r="P182" i="14" s="1"/>
  <c r="J182" i="14"/>
  <c r="O182" i="14" s="1"/>
  <c r="I182" i="14"/>
  <c r="H182" i="14"/>
  <c r="L181" i="14"/>
  <c r="Q181" i="14" s="1"/>
  <c r="K181" i="14"/>
  <c r="P181" i="14" s="1"/>
  <c r="J181" i="14"/>
  <c r="O181" i="14" s="1"/>
  <c r="I181" i="14"/>
  <c r="H181" i="14"/>
  <c r="L180" i="14"/>
  <c r="Q180" i="14" s="1"/>
  <c r="K180" i="14"/>
  <c r="P180" i="14" s="1"/>
  <c r="J180" i="14"/>
  <c r="O180" i="14" s="1"/>
  <c r="I180" i="14"/>
  <c r="H180" i="14"/>
  <c r="L179" i="14"/>
  <c r="Q179" i="14" s="1"/>
  <c r="K179" i="14"/>
  <c r="P179" i="14" s="1"/>
  <c r="J179" i="14"/>
  <c r="O179" i="14" s="1"/>
  <c r="I179" i="14"/>
  <c r="H179" i="14"/>
  <c r="L178" i="14"/>
  <c r="Q178" i="14" s="1"/>
  <c r="K178" i="14"/>
  <c r="P178" i="14" s="1"/>
  <c r="J178" i="14"/>
  <c r="O178" i="14" s="1"/>
  <c r="I178" i="14"/>
  <c r="H178" i="14"/>
  <c r="L177" i="14"/>
  <c r="Q177" i="14" s="1"/>
  <c r="K177" i="14"/>
  <c r="P177" i="14" s="1"/>
  <c r="J177" i="14"/>
  <c r="O177" i="14" s="1"/>
  <c r="I177" i="14"/>
  <c r="H177" i="14"/>
  <c r="L176" i="14"/>
  <c r="Q176" i="14" s="1"/>
  <c r="K176" i="14"/>
  <c r="P176" i="14" s="1"/>
  <c r="J176" i="14"/>
  <c r="O176" i="14" s="1"/>
  <c r="I176" i="14"/>
  <c r="H176" i="14"/>
  <c r="L175" i="14"/>
  <c r="Q175" i="14" s="1"/>
  <c r="K175" i="14"/>
  <c r="P175" i="14" s="1"/>
  <c r="J175" i="14"/>
  <c r="O175" i="14" s="1"/>
  <c r="I175" i="14"/>
  <c r="H175" i="14"/>
  <c r="L174" i="14"/>
  <c r="Q174" i="14" s="1"/>
  <c r="K174" i="14"/>
  <c r="P174" i="14" s="1"/>
  <c r="J174" i="14"/>
  <c r="O174" i="14" s="1"/>
  <c r="I174" i="14"/>
  <c r="H174" i="14"/>
  <c r="L173" i="14"/>
  <c r="Q173" i="14" s="1"/>
  <c r="K173" i="14"/>
  <c r="P173" i="14" s="1"/>
  <c r="J173" i="14"/>
  <c r="O173" i="14" s="1"/>
  <c r="I173" i="14"/>
  <c r="H173" i="14"/>
  <c r="L172" i="14"/>
  <c r="Q172" i="14" s="1"/>
  <c r="K172" i="14"/>
  <c r="P172" i="14" s="1"/>
  <c r="J172" i="14"/>
  <c r="O172" i="14" s="1"/>
  <c r="I172" i="14"/>
  <c r="H172" i="14"/>
  <c r="L171" i="14"/>
  <c r="Q171" i="14" s="1"/>
  <c r="K171" i="14"/>
  <c r="P171" i="14" s="1"/>
  <c r="J171" i="14"/>
  <c r="O171" i="14" s="1"/>
  <c r="I171" i="14"/>
  <c r="H171" i="14"/>
  <c r="L170" i="14"/>
  <c r="Q170" i="14" s="1"/>
  <c r="K170" i="14"/>
  <c r="P170" i="14" s="1"/>
  <c r="J170" i="14"/>
  <c r="O170" i="14" s="1"/>
  <c r="I170" i="14"/>
  <c r="H170" i="14"/>
  <c r="L169" i="14"/>
  <c r="Q169" i="14" s="1"/>
  <c r="K169" i="14"/>
  <c r="P169" i="14" s="1"/>
  <c r="J169" i="14"/>
  <c r="O169" i="14" s="1"/>
  <c r="I169" i="14"/>
  <c r="H169" i="14"/>
  <c r="L168" i="14"/>
  <c r="Q168" i="14" s="1"/>
  <c r="K168" i="14"/>
  <c r="P168" i="14" s="1"/>
  <c r="J168" i="14"/>
  <c r="O168" i="14" s="1"/>
  <c r="I168" i="14"/>
  <c r="H168" i="14"/>
  <c r="L167" i="14"/>
  <c r="Q167" i="14" s="1"/>
  <c r="K167" i="14"/>
  <c r="P167" i="14" s="1"/>
  <c r="J167" i="14"/>
  <c r="O167" i="14" s="1"/>
  <c r="I167" i="14"/>
  <c r="H167" i="14"/>
  <c r="L166" i="14"/>
  <c r="Q166" i="14" s="1"/>
  <c r="K166" i="14"/>
  <c r="P166" i="14" s="1"/>
  <c r="J166" i="14"/>
  <c r="O166" i="14" s="1"/>
  <c r="I166" i="14"/>
  <c r="H166" i="14"/>
  <c r="L165" i="14"/>
  <c r="Q165" i="14" s="1"/>
  <c r="K165" i="14"/>
  <c r="P165" i="14" s="1"/>
  <c r="J165" i="14"/>
  <c r="O165" i="14" s="1"/>
  <c r="I165" i="14"/>
  <c r="H165" i="14"/>
  <c r="L164" i="14"/>
  <c r="Q164" i="14" s="1"/>
  <c r="K164" i="14"/>
  <c r="P164" i="14" s="1"/>
  <c r="J164" i="14"/>
  <c r="O164" i="14" s="1"/>
  <c r="I164" i="14"/>
  <c r="H164" i="14"/>
  <c r="L163" i="14"/>
  <c r="Q163" i="14" s="1"/>
  <c r="K163" i="14"/>
  <c r="P163" i="14" s="1"/>
  <c r="J163" i="14"/>
  <c r="O163" i="14" s="1"/>
  <c r="I163" i="14"/>
  <c r="H163" i="14"/>
  <c r="L162" i="14"/>
  <c r="Q162" i="14" s="1"/>
  <c r="K162" i="14"/>
  <c r="P162" i="14" s="1"/>
  <c r="J162" i="14"/>
  <c r="O162" i="14" s="1"/>
  <c r="I162" i="14"/>
  <c r="H162" i="14"/>
  <c r="L161" i="14"/>
  <c r="Q161" i="14" s="1"/>
  <c r="K161" i="14"/>
  <c r="P161" i="14" s="1"/>
  <c r="J161" i="14"/>
  <c r="O161" i="14" s="1"/>
  <c r="I161" i="14"/>
  <c r="H161" i="14"/>
  <c r="L160" i="14"/>
  <c r="Q160" i="14" s="1"/>
  <c r="K160" i="14"/>
  <c r="P160" i="14" s="1"/>
  <c r="J160" i="14"/>
  <c r="O160" i="14" s="1"/>
  <c r="I160" i="14"/>
  <c r="H160" i="14"/>
  <c r="L159" i="14"/>
  <c r="Q159" i="14" s="1"/>
  <c r="K159" i="14"/>
  <c r="P159" i="14" s="1"/>
  <c r="J159" i="14"/>
  <c r="O159" i="14" s="1"/>
  <c r="I159" i="14"/>
  <c r="H159" i="14"/>
  <c r="L158" i="14"/>
  <c r="Q158" i="14" s="1"/>
  <c r="K158" i="14"/>
  <c r="P158" i="14" s="1"/>
  <c r="J158" i="14"/>
  <c r="O158" i="14" s="1"/>
  <c r="I158" i="14"/>
  <c r="H158" i="14"/>
  <c r="L157" i="14"/>
  <c r="Q157" i="14" s="1"/>
  <c r="K157" i="14"/>
  <c r="P157" i="14" s="1"/>
  <c r="J157" i="14"/>
  <c r="O157" i="14" s="1"/>
  <c r="I157" i="14"/>
  <c r="H157" i="14"/>
  <c r="L156" i="14"/>
  <c r="Q156" i="14" s="1"/>
  <c r="K156" i="14"/>
  <c r="P156" i="14" s="1"/>
  <c r="J156" i="14"/>
  <c r="O156" i="14" s="1"/>
  <c r="I156" i="14"/>
  <c r="H156" i="14"/>
  <c r="L155" i="14"/>
  <c r="Q155" i="14" s="1"/>
  <c r="K155" i="14"/>
  <c r="P155" i="14" s="1"/>
  <c r="J155" i="14"/>
  <c r="O155" i="14" s="1"/>
  <c r="I155" i="14"/>
  <c r="H155" i="14"/>
  <c r="L154" i="14"/>
  <c r="Q154" i="14" s="1"/>
  <c r="K154" i="14"/>
  <c r="P154" i="14" s="1"/>
  <c r="J154" i="14"/>
  <c r="O154" i="14" s="1"/>
  <c r="I154" i="14"/>
  <c r="H154" i="14"/>
  <c r="L153" i="14"/>
  <c r="Q153" i="14" s="1"/>
  <c r="K153" i="14"/>
  <c r="P153" i="14" s="1"/>
  <c r="J153" i="14"/>
  <c r="O153" i="14" s="1"/>
  <c r="I153" i="14"/>
  <c r="H153" i="14"/>
  <c r="L152" i="14"/>
  <c r="Q152" i="14" s="1"/>
  <c r="K152" i="14"/>
  <c r="P152" i="14" s="1"/>
  <c r="J152" i="14"/>
  <c r="O152" i="14" s="1"/>
  <c r="I152" i="14"/>
  <c r="H152" i="14"/>
  <c r="L151" i="14"/>
  <c r="Q151" i="14" s="1"/>
  <c r="K151" i="14"/>
  <c r="P151" i="14" s="1"/>
  <c r="J151" i="14"/>
  <c r="O151" i="14" s="1"/>
  <c r="I151" i="14"/>
  <c r="H151" i="14"/>
  <c r="L150" i="14"/>
  <c r="Q150" i="14" s="1"/>
  <c r="K150" i="14"/>
  <c r="P150" i="14" s="1"/>
  <c r="J150" i="14"/>
  <c r="O150" i="14" s="1"/>
  <c r="I150" i="14"/>
  <c r="H150" i="14"/>
  <c r="L149" i="14"/>
  <c r="Q149" i="14" s="1"/>
  <c r="K149" i="14"/>
  <c r="P149" i="14" s="1"/>
  <c r="J149" i="14"/>
  <c r="O149" i="14" s="1"/>
  <c r="I149" i="14"/>
  <c r="H149" i="14"/>
  <c r="L148" i="14"/>
  <c r="Q148" i="14" s="1"/>
  <c r="K148" i="14"/>
  <c r="P148" i="14" s="1"/>
  <c r="J148" i="14"/>
  <c r="O148" i="14" s="1"/>
  <c r="I148" i="14"/>
  <c r="H148" i="14"/>
  <c r="L147" i="14"/>
  <c r="Q147" i="14" s="1"/>
  <c r="K147" i="14"/>
  <c r="P147" i="14" s="1"/>
  <c r="J147" i="14"/>
  <c r="O147" i="14" s="1"/>
  <c r="I147" i="14"/>
  <c r="H147" i="14"/>
  <c r="L146" i="14"/>
  <c r="Q146" i="14" s="1"/>
  <c r="K146" i="14"/>
  <c r="P146" i="14" s="1"/>
  <c r="J146" i="14"/>
  <c r="O146" i="14" s="1"/>
  <c r="I146" i="14"/>
  <c r="H146" i="14"/>
  <c r="L145" i="14"/>
  <c r="Q145" i="14" s="1"/>
  <c r="K145" i="14"/>
  <c r="P145" i="14" s="1"/>
  <c r="J145" i="14"/>
  <c r="O145" i="14" s="1"/>
  <c r="I145" i="14"/>
  <c r="H145" i="14"/>
  <c r="L144" i="14"/>
  <c r="Q144" i="14" s="1"/>
  <c r="K144" i="14"/>
  <c r="P144" i="14" s="1"/>
  <c r="J144" i="14"/>
  <c r="O144" i="14" s="1"/>
  <c r="I144" i="14"/>
  <c r="H144" i="14"/>
  <c r="L143" i="14"/>
  <c r="Q143" i="14" s="1"/>
  <c r="K143" i="14"/>
  <c r="P143" i="14" s="1"/>
  <c r="J143" i="14"/>
  <c r="O143" i="14" s="1"/>
  <c r="I143" i="14"/>
  <c r="H143" i="14"/>
  <c r="L142" i="14"/>
  <c r="Q142" i="14" s="1"/>
  <c r="K142" i="14"/>
  <c r="P142" i="14" s="1"/>
  <c r="J142" i="14"/>
  <c r="O142" i="14" s="1"/>
  <c r="I142" i="14"/>
  <c r="H142" i="14"/>
  <c r="L141" i="14"/>
  <c r="Q141" i="14" s="1"/>
  <c r="K141" i="14"/>
  <c r="P141" i="14" s="1"/>
  <c r="J141" i="14"/>
  <c r="O141" i="14" s="1"/>
  <c r="I141" i="14"/>
  <c r="H141" i="14"/>
  <c r="L140" i="14"/>
  <c r="Q140" i="14" s="1"/>
  <c r="K140" i="14"/>
  <c r="P140" i="14" s="1"/>
  <c r="J140" i="14"/>
  <c r="O140" i="14" s="1"/>
  <c r="I140" i="14"/>
  <c r="H140" i="14"/>
  <c r="L139" i="14"/>
  <c r="Q139" i="14" s="1"/>
  <c r="K139" i="14"/>
  <c r="P139" i="14" s="1"/>
  <c r="J139" i="14"/>
  <c r="O139" i="14" s="1"/>
  <c r="I139" i="14"/>
  <c r="H139" i="14"/>
  <c r="L138" i="14"/>
  <c r="Q138" i="14" s="1"/>
  <c r="K138" i="14"/>
  <c r="P138" i="14" s="1"/>
  <c r="J138" i="14"/>
  <c r="O138" i="14" s="1"/>
  <c r="I138" i="14"/>
  <c r="H138" i="14"/>
  <c r="L137" i="14"/>
  <c r="Q137" i="14" s="1"/>
  <c r="K137" i="14"/>
  <c r="P137" i="14" s="1"/>
  <c r="J137" i="14"/>
  <c r="O137" i="14" s="1"/>
  <c r="I137" i="14"/>
  <c r="H137" i="14"/>
  <c r="L136" i="14"/>
  <c r="Q136" i="14" s="1"/>
  <c r="K136" i="14"/>
  <c r="P136" i="14" s="1"/>
  <c r="J136" i="14"/>
  <c r="O136" i="14" s="1"/>
  <c r="I136" i="14"/>
  <c r="H136" i="14"/>
  <c r="L135" i="14"/>
  <c r="Q135" i="14" s="1"/>
  <c r="K135" i="14"/>
  <c r="P135" i="14" s="1"/>
  <c r="J135" i="14"/>
  <c r="O135" i="14" s="1"/>
  <c r="I135" i="14"/>
  <c r="H135" i="14"/>
  <c r="L134" i="14"/>
  <c r="Q134" i="14" s="1"/>
  <c r="K134" i="14"/>
  <c r="P134" i="14" s="1"/>
  <c r="J134" i="14"/>
  <c r="O134" i="14" s="1"/>
  <c r="I134" i="14"/>
  <c r="H134" i="14"/>
  <c r="L133" i="14"/>
  <c r="Q133" i="14" s="1"/>
  <c r="K133" i="14"/>
  <c r="P133" i="14" s="1"/>
  <c r="J133" i="14"/>
  <c r="O133" i="14" s="1"/>
  <c r="I133" i="14"/>
  <c r="H133" i="14"/>
  <c r="L132" i="14"/>
  <c r="Q132" i="14" s="1"/>
  <c r="K132" i="14"/>
  <c r="P132" i="14" s="1"/>
  <c r="J132" i="14"/>
  <c r="O132" i="14" s="1"/>
  <c r="I132" i="14"/>
  <c r="H132" i="14"/>
  <c r="L131" i="14"/>
  <c r="Q131" i="14" s="1"/>
  <c r="K131" i="14"/>
  <c r="P131" i="14" s="1"/>
  <c r="J131" i="14"/>
  <c r="O131" i="14" s="1"/>
  <c r="I131" i="14"/>
  <c r="H131" i="14"/>
  <c r="L130" i="14"/>
  <c r="Q130" i="14" s="1"/>
  <c r="K130" i="14"/>
  <c r="P130" i="14" s="1"/>
  <c r="J130" i="14"/>
  <c r="O130" i="14" s="1"/>
  <c r="I130" i="14"/>
  <c r="H130" i="14"/>
  <c r="L129" i="14"/>
  <c r="Q129" i="14" s="1"/>
  <c r="K129" i="14"/>
  <c r="P129" i="14" s="1"/>
  <c r="J129" i="14"/>
  <c r="O129" i="14" s="1"/>
  <c r="I129" i="14"/>
  <c r="H129" i="14"/>
  <c r="L128" i="14"/>
  <c r="Q128" i="14" s="1"/>
  <c r="K128" i="14"/>
  <c r="P128" i="14" s="1"/>
  <c r="J128" i="14"/>
  <c r="O128" i="14" s="1"/>
  <c r="I128" i="14"/>
  <c r="H128" i="14"/>
  <c r="L127" i="14"/>
  <c r="Q127" i="14" s="1"/>
  <c r="K127" i="14"/>
  <c r="P127" i="14" s="1"/>
  <c r="J127" i="14"/>
  <c r="O127" i="14" s="1"/>
  <c r="I127" i="14"/>
  <c r="H127" i="14"/>
  <c r="L126" i="14"/>
  <c r="Q126" i="14" s="1"/>
  <c r="K126" i="14"/>
  <c r="P126" i="14" s="1"/>
  <c r="J126" i="14"/>
  <c r="O126" i="14" s="1"/>
  <c r="I126" i="14"/>
  <c r="H126" i="14"/>
  <c r="L125" i="14"/>
  <c r="Q125" i="14" s="1"/>
  <c r="K125" i="14"/>
  <c r="P125" i="14" s="1"/>
  <c r="J125" i="14"/>
  <c r="O125" i="14" s="1"/>
  <c r="I125" i="14"/>
  <c r="H125" i="14"/>
  <c r="L124" i="14"/>
  <c r="Q124" i="14" s="1"/>
  <c r="K124" i="14"/>
  <c r="P124" i="14" s="1"/>
  <c r="J124" i="14"/>
  <c r="O124" i="14" s="1"/>
  <c r="I124" i="14"/>
  <c r="H124" i="14"/>
  <c r="L123" i="14"/>
  <c r="Q123" i="14" s="1"/>
  <c r="K123" i="14"/>
  <c r="P123" i="14" s="1"/>
  <c r="J123" i="14"/>
  <c r="O123" i="14" s="1"/>
  <c r="I123" i="14"/>
  <c r="H123" i="14"/>
  <c r="L122" i="14"/>
  <c r="Q122" i="14" s="1"/>
  <c r="K122" i="14"/>
  <c r="P122" i="14" s="1"/>
  <c r="J122" i="14"/>
  <c r="O122" i="14" s="1"/>
  <c r="I122" i="14"/>
  <c r="H122" i="14"/>
  <c r="L121" i="14"/>
  <c r="Q121" i="14" s="1"/>
  <c r="K121" i="14"/>
  <c r="P121" i="14" s="1"/>
  <c r="J121" i="14"/>
  <c r="O121" i="14" s="1"/>
  <c r="I121" i="14"/>
  <c r="H121" i="14"/>
  <c r="L120" i="14"/>
  <c r="Q120" i="14" s="1"/>
  <c r="K120" i="14"/>
  <c r="P120" i="14" s="1"/>
  <c r="J120" i="14"/>
  <c r="O120" i="14" s="1"/>
  <c r="I120" i="14"/>
  <c r="H120" i="14"/>
  <c r="L119" i="14"/>
  <c r="Q119" i="14" s="1"/>
  <c r="K119" i="14"/>
  <c r="P119" i="14" s="1"/>
  <c r="J119" i="14"/>
  <c r="O119" i="14" s="1"/>
  <c r="I119" i="14"/>
  <c r="H119" i="14"/>
  <c r="L118" i="14"/>
  <c r="Q118" i="14" s="1"/>
  <c r="K118" i="14"/>
  <c r="P118" i="14" s="1"/>
  <c r="J118" i="14"/>
  <c r="O118" i="14" s="1"/>
  <c r="I118" i="14"/>
  <c r="H118" i="14"/>
  <c r="L117" i="14"/>
  <c r="Q117" i="14" s="1"/>
  <c r="K117" i="14"/>
  <c r="P117" i="14" s="1"/>
  <c r="J117" i="14"/>
  <c r="O117" i="14" s="1"/>
  <c r="I117" i="14"/>
  <c r="H117" i="14"/>
  <c r="L116" i="14"/>
  <c r="Q116" i="14" s="1"/>
  <c r="K116" i="14"/>
  <c r="P116" i="14" s="1"/>
  <c r="J116" i="14"/>
  <c r="O116" i="14" s="1"/>
  <c r="I116" i="14"/>
  <c r="H116" i="14"/>
  <c r="L115" i="14"/>
  <c r="Q115" i="14" s="1"/>
  <c r="K115" i="14"/>
  <c r="P115" i="14" s="1"/>
  <c r="J115" i="14"/>
  <c r="O115" i="14" s="1"/>
  <c r="I115" i="14"/>
  <c r="H115" i="14"/>
  <c r="L114" i="14"/>
  <c r="Q114" i="14" s="1"/>
  <c r="K114" i="14"/>
  <c r="P114" i="14" s="1"/>
  <c r="J114" i="14"/>
  <c r="O114" i="14" s="1"/>
  <c r="I114" i="14"/>
  <c r="H114" i="14"/>
  <c r="L113" i="14"/>
  <c r="Q113" i="14" s="1"/>
  <c r="K113" i="14"/>
  <c r="P113" i="14" s="1"/>
  <c r="J113" i="14"/>
  <c r="O113" i="14" s="1"/>
  <c r="I113" i="14"/>
  <c r="H113" i="14"/>
  <c r="L112" i="14"/>
  <c r="Q112" i="14" s="1"/>
  <c r="K112" i="14"/>
  <c r="P112" i="14" s="1"/>
  <c r="J112" i="14"/>
  <c r="O112" i="14" s="1"/>
  <c r="I112" i="14"/>
  <c r="H112" i="14"/>
  <c r="L111" i="14"/>
  <c r="Q111" i="14" s="1"/>
  <c r="K111" i="14"/>
  <c r="P111" i="14" s="1"/>
  <c r="J111" i="14"/>
  <c r="O111" i="14" s="1"/>
  <c r="I111" i="14"/>
  <c r="H111" i="14"/>
  <c r="L110" i="14"/>
  <c r="Q110" i="14" s="1"/>
  <c r="K110" i="14"/>
  <c r="P110" i="14" s="1"/>
  <c r="J110" i="14"/>
  <c r="O110" i="14" s="1"/>
  <c r="I110" i="14"/>
  <c r="H110" i="14"/>
  <c r="L109" i="14"/>
  <c r="Q109" i="14" s="1"/>
  <c r="K109" i="14"/>
  <c r="P109" i="14" s="1"/>
  <c r="J109" i="14"/>
  <c r="O109" i="14" s="1"/>
  <c r="I109" i="14"/>
  <c r="H109" i="14"/>
  <c r="L108" i="14"/>
  <c r="Q108" i="14" s="1"/>
  <c r="K108" i="14"/>
  <c r="P108" i="14" s="1"/>
  <c r="J108" i="14"/>
  <c r="O108" i="14" s="1"/>
  <c r="I108" i="14"/>
  <c r="H108" i="14"/>
  <c r="L107" i="14"/>
  <c r="Q107" i="14" s="1"/>
  <c r="K107" i="14"/>
  <c r="P107" i="14" s="1"/>
  <c r="J107" i="14"/>
  <c r="O107" i="14" s="1"/>
  <c r="I107" i="14"/>
  <c r="H107" i="14"/>
  <c r="L106" i="14"/>
  <c r="Q106" i="14" s="1"/>
  <c r="K106" i="14"/>
  <c r="P106" i="14" s="1"/>
  <c r="J106" i="14"/>
  <c r="O106" i="14" s="1"/>
  <c r="I106" i="14"/>
  <c r="H106" i="14"/>
  <c r="L105" i="14"/>
  <c r="Q105" i="14" s="1"/>
  <c r="K105" i="14"/>
  <c r="P105" i="14" s="1"/>
  <c r="J105" i="14"/>
  <c r="O105" i="14" s="1"/>
  <c r="I105" i="14"/>
  <c r="H105" i="14"/>
  <c r="L104" i="14"/>
  <c r="Q104" i="14" s="1"/>
  <c r="K104" i="14"/>
  <c r="P104" i="14" s="1"/>
  <c r="J104" i="14"/>
  <c r="O104" i="14" s="1"/>
  <c r="I104" i="14"/>
  <c r="H104" i="14"/>
  <c r="L103" i="14"/>
  <c r="Q103" i="14" s="1"/>
  <c r="K103" i="14"/>
  <c r="P103" i="14" s="1"/>
  <c r="J103" i="14"/>
  <c r="O103" i="14" s="1"/>
  <c r="I103" i="14"/>
  <c r="H103" i="14"/>
  <c r="L102" i="14"/>
  <c r="Q102" i="14" s="1"/>
  <c r="K102" i="14"/>
  <c r="P102" i="14" s="1"/>
  <c r="J102" i="14"/>
  <c r="O102" i="14" s="1"/>
  <c r="I102" i="14"/>
  <c r="H102" i="14"/>
  <c r="L101" i="14"/>
  <c r="Q101" i="14" s="1"/>
  <c r="K101" i="14"/>
  <c r="P101" i="14" s="1"/>
  <c r="J101" i="14"/>
  <c r="O101" i="14" s="1"/>
  <c r="I101" i="14"/>
  <c r="H101" i="14"/>
  <c r="L100" i="14"/>
  <c r="Q100" i="14" s="1"/>
  <c r="K100" i="14"/>
  <c r="P100" i="14" s="1"/>
  <c r="J100" i="14"/>
  <c r="O100" i="14" s="1"/>
  <c r="I100" i="14"/>
  <c r="H100" i="14"/>
  <c r="L99" i="14"/>
  <c r="Q99" i="14" s="1"/>
  <c r="K99" i="14"/>
  <c r="P99" i="14" s="1"/>
  <c r="J99" i="14"/>
  <c r="O99" i="14" s="1"/>
  <c r="I99" i="14"/>
  <c r="H99" i="14"/>
  <c r="L98" i="14"/>
  <c r="Q98" i="14" s="1"/>
  <c r="K98" i="14"/>
  <c r="P98" i="14" s="1"/>
  <c r="J98" i="14"/>
  <c r="O98" i="14" s="1"/>
  <c r="I98" i="14"/>
  <c r="H98" i="14"/>
  <c r="L97" i="14"/>
  <c r="Q97" i="14" s="1"/>
  <c r="K97" i="14"/>
  <c r="P97" i="14" s="1"/>
  <c r="J97" i="14"/>
  <c r="O97" i="14" s="1"/>
  <c r="I97" i="14"/>
  <c r="H97" i="14"/>
  <c r="L96" i="14"/>
  <c r="Q96" i="14" s="1"/>
  <c r="K96" i="14"/>
  <c r="P96" i="14" s="1"/>
  <c r="J96" i="14"/>
  <c r="O96" i="14" s="1"/>
  <c r="I96" i="14"/>
  <c r="H96" i="14"/>
  <c r="L95" i="14"/>
  <c r="Q95" i="14" s="1"/>
  <c r="K95" i="14"/>
  <c r="P95" i="14" s="1"/>
  <c r="J95" i="14"/>
  <c r="O95" i="14" s="1"/>
  <c r="I95" i="14"/>
  <c r="H95" i="14"/>
  <c r="L94" i="14"/>
  <c r="Q94" i="14" s="1"/>
  <c r="K94" i="14"/>
  <c r="P94" i="14" s="1"/>
  <c r="J94" i="14"/>
  <c r="O94" i="14" s="1"/>
  <c r="I94" i="14"/>
  <c r="H94" i="14"/>
  <c r="L93" i="14"/>
  <c r="Q93" i="14" s="1"/>
  <c r="K93" i="14"/>
  <c r="P93" i="14" s="1"/>
  <c r="J93" i="14"/>
  <c r="O93" i="14" s="1"/>
  <c r="I93" i="14"/>
  <c r="H93" i="14"/>
  <c r="L92" i="14"/>
  <c r="Q92" i="14" s="1"/>
  <c r="K92" i="14"/>
  <c r="P92" i="14" s="1"/>
  <c r="J92" i="14"/>
  <c r="O92" i="14" s="1"/>
  <c r="I92" i="14"/>
  <c r="H92" i="14"/>
  <c r="L91" i="14"/>
  <c r="Q91" i="14" s="1"/>
  <c r="K91" i="14"/>
  <c r="P91" i="14" s="1"/>
  <c r="J91" i="14"/>
  <c r="O91" i="14" s="1"/>
  <c r="I91" i="14"/>
  <c r="H91" i="14"/>
  <c r="L90" i="14"/>
  <c r="Q90" i="14" s="1"/>
  <c r="K90" i="14"/>
  <c r="P90" i="14" s="1"/>
  <c r="J90" i="14"/>
  <c r="O90" i="14" s="1"/>
  <c r="I90" i="14"/>
  <c r="H90" i="14"/>
  <c r="L89" i="14"/>
  <c r="Q89" i="14" s="1"/>
  <c r="K89" i="14"/>
  <c r="P89" i="14" s="1"/>
  <c r="J89" i="14"/>
  <c r="O89" i="14" s="1"/>
  <c r="I89" i="14"/>
  <c r="H89" i="14"/>
  <c r="L88" i="14"/>
  <c r="Q88" i="14" s="1"/>
  <c r="K88" i="14"/>
  <c r="P88" i="14" s="1"/>
  <c r="J88" i="14"/>
  <c r="O88" i="14" s="1"/>
  <c r="I88" i="14"/>
  <c r="H88" i="14"/>
  <c r="L87" i="14"/>
  <c r="Q87" i="14" s="1"/>
  <c r="K87" i="14"/>
  <c r="P87" i="14" s="1"/>
  <c r="J87" i="14"/>
  <c r="O87" i="14" s="1"/>
  <c r="I87" i="14"/>
  <c r="H87" i="14"/>
  <c r="L86" i="14"/>
  <c r="Q86" i="14" s="1"/>
  <c r="K86" i="14"/>
  <c r="P86" i="14" s="1"/>
  <c r="J86" i="14"/>
  <c r="O86" i="14" s="1"/>
  <c r="I86" i="14"/>
  <c r="H86" i="14"/>
  <c r="L85" i="14"/>
  <c r="Q85" i="14" s="1"/>
  <c r="K85" i="14"/>
  <c r="P85" i="14" s="1"/>
  <c r="J85" i="14"/>
  <c r="O85" i="14" s="1"/>
  <c r="I85" i="14"/>
  <c r="H85" i="14"/>
  <c r="L84" i="14"/>
  <c r="Q84" i="14" s="1"/>
  <c r="K84" i="14"/>
  <c r="P84" i="14" s="1"/>
  <c r="J84" i="14"/>
  <c r="O84" i="14" s="1"/>
  <c r="I84" i="14"/>
  <c r="H84" i="14"/>
  <c r="L83" i="14"/>
  <c r="Q83" i="14" s="1"/>
  <c r="K83" i="14"/>
  <c r="P83" i="14" s="1"/>
  <c r="J83" i="14"/>
  <c r="O83" i="14" s="1"/>
  <c r="I83" i="14"/>
  <c r="H83" i="14"/>
  <c r="L82" i="14"/>
  <c r="Q82" i="14" s="1"/>
  <c r="K82" i="14"/>
  <c r="P82" i="14" s="1"/>
  <c r="J82" i="14"/>
  <c r="O82" i="14" s="1"/>
  <c r="I82" i="14"/>
  <c r="H82" i="14"/>
  <c r="L81" i="14"/>
  <c r="Q81" i="14" s="1"/>
  <c r="K81" i="14"/>
  <c r="P81" i="14" s="1"/>
  <c r="J81" i="14"/>
  <c r="O81" i="14" s="1"/>
  <c r="I81" i="14"/>
  <c r="H81" i="14"/>
  <c r="L80" i="14"/>
  <c r="Q80" i="14" s="1"/>
  <c r="K80" i="14"/>
  <c r="P80" i="14" s="1"/>
  <c r="J80" i="14"/>
  <c r="O80" i="14" s="1"/>
  <c r="I80" i="14"/>
  <c r="H80" i="14"/>
  <c r="L79" i="14"/>
  <c r="Q79" i="14" s="1"/>
  <c r="K79" i="14"/>
  <c r="P79" i="14" s="1"/>
  <c r="J79" i="14"/>
  <c r="O79" i="14" s="1"/>
  <c r="I79" i="14"/>
  <c r="H79" i="14"/>
  <c r="L78" i="14"/>
  <c r="Q78" i="14" s="1"/>
  <c r="K78" i="14"/>
  <c r="P78" i="14" s="1"/>
  <c r="J78" i="14"/>
  <c r="O78" i="14" s="1"/>
  <c r="I78" i="14"/>
  <c r="H78" i="14"/>
  <c r="L77" i="14"/>
  <c r="Q77" i="14" s="1"/>
  <c r="K77" i="14"/>
  <c r="P77" i="14" s="1"/>
  <c r="J77" i="14"/>
  <c r="O77" i="14" s="1"/>
  <c r="I77" i="14"/>
  <c r="H77" i="14"/>
  <c r="L76" i="14"/>
  <c r="Q76" i="14" s="1"/>
  <c r="K76" i="14"/>
  <c r="P76" i="14" s="1"/>
  <c r="J76" i="14"/>
  <c r="O76" i="14" s="1"/>
  <c r="I76" i="14"/>
  <c r="H76" i="14"/>
  <c r="L75" i="14"/>
  <c r="Q75" i="14" s="1"/>
  <c r="K75" i="14"/>
  <c r="P75" i="14" s="1"/>
  <c r="J75" i="14"/>
  <c r="O75" i="14" s="1"/>
  <c r="I75" i="14"/>
  <c r="H75" i="14"/>
  <c r="L74" i="14"/>
  <c r="Q74" i="14" s="1"/>
  <c r="K74" i="14"/>
  <c r="P74" i="14" s="1"/>
  <c r="J74" i="14"/>
  <c r="O74" i="14" s="1"/>
  <c r="I74" i="14"/>
  <c r="H74" i="14"/>
  <c r="L73" i="14"/>
  <c r="Q73" i="14" s="1"/>
  <c r="K73" i="14"/>
  <c r="P73" i="14" s="1"/>
  <c r="J73" i="14"/>
  <c r="O73" i="14" s="1"/>
  <c r="I73" i="14"/>
  <c r="H73" i="14"/>
  <c r="L72" i="14"/>
  <c r="Q72" i="14" s="1"/>
  <c r="K72" i="14"/>
  <c r="P72" i="14" s="1"/>
  <c r="J72" i="14"/>
  <c r="O72" i="14" s="1"/>
  <c r="I72" i="14"/>
  <c r="H72" i="14"/>
  <c r="L71" i="14"/>
  <c r="Q71" i="14" s="1"/>
  <c r="K71" i="14"/>
  <c r="P71" i="14" s="1"/>
  <c r="J71" i="14"/>
  <c r="O71" i="14" s="1"/>
  <c r="I71" i="14"/>
  <c r="H71" i="14"/>
  <c r="L70" i="14"/>
  <c r="Q70" i="14" s="1"/>
  <c r="K70" i="14"/>
  <c r="P70" i="14" s="1"/>
  <c r="J70" i="14"/>
  <c r="O70" i="14" s="1"/>
  <c r="I70" i="14"/>
  <c r="H70" i="14"/>
  <c r="L69" i="14"/>
  <c r="Q69" i="14" s="1"/>
  <c r="K69" i="14"/>
  <c r="P69" i="14" s="1"/>
  <c r="J69" i="14"/>
  <c r="O69" i="14" s="1"/>
  <c r="I69" i="14"/>
  <c r="H69" i="14"/>
  <c r="L68" i="14"/>
  <c r="Q68" i="14" s="1"/>
  <c r="K68" i="14"/>
  <c r="P68" i="14" s="1"/>
  <c r="J68" i="14"/>
  <c r="O68" i="14" s="1"/>
  <c r="I68" i="14"/>
  <c r="H68" i="14"/>
  <c r="L67" i="14"/>
  <c r="Q67" i="14" s="1"/>
  <c r="K67" i="14"/>
  <c r="P67" i="14" s="1"/>
  <c r="J67" i="14"/>
  <c r="O67" i="14" s="1"/>
  <c r="I67" i="14"/>
  <c r="H67" i="14"/>
  <c r="L66" i="14"/>
  <c r="Q66" i="14" s="1"/>
  <c r="K66" i="14"/>
  <c r="P66" i="14" s="1"/>
  <c r="J66" i="14"/>
  <c r="O66" i="14" s="1"/>
  <c r="I66" i="14"/>
  <c r="H66" i="14"/>
  <c r="L65" i="14"/>
  <c r="Q65" i="14" s="1"/>
  <c r="K65" i="14"/>
  <c r="P65" i="14" s="1"/>
  <c r="J65" i="14"/>
  <c r="O65" i="14" s="1"/>
  <c r="I65" i="14"/>
  <c r="H65" i="14"/>
  <c r="L64" i="14"/>
  <c r="Q64" i="14" s="1"/>
  <c r="K64" i="14"/>
  <c r="P64" i="14" s="1"/>
  <c r="J64" i="14"/>
  <c r="O64" i="14" s="1"/>
  <c r="I64" i="14"/>
  <c r="H64" i="14"/>
  <c r="L63" i="14"/>
  <c r="Q63" i="14" s="1"/>
  <c r="K63" i="14"/>
  <c r="P63" i="14" s="1"/>
  <c r="J63" i="14"/>
  <c r="O63" i="14" s="1"/>
  <c r="I63" i="14"/>
  <c r="H63" i="14"/>
  <c r="L62" i="14"/>
  <c r="Q62" i="14" s="1"/>
  <c r="K62" i="14"/>
  <c r="P62" i="14" s="1"/>
  <c r="J62" i="14"/>
  <c r="O62" i="14" s="1"/>
  <c r="I62" i="14"/>
  <c r="H62" i="14"/>
  <c r="L61" i="14"/>
  <c r="Q61" i="14" s="1"/>
  <c r="K61" i="14"/>
  <c r="P61" i="14" s="1"/>
  <c r="J61" i="14"/>
  <c r="O61" i="14" s="1"/>
  <c r="I61" i="14"/>
  <c r="H61" i="14"/>
  <c r="L60" i="14"/>
  <c r="Q60" i="14" s="1"/>
  <c r="K60" i="14"/>
  <c r="P60" i="14" s="1"/>
  <c r="J60" i="14"/>
  <c r="O60" i="14" s="1"/>
  <c r="I60" i="14"/>
  <c r="H60" i="14"/>
  <c r="L59" i="14"/>
  <c r="Q59" i="14" s="1"/>
  <c r="K59" i="14"/>
  <c r="P59" i="14" s="1"/>
  <c r="J59" i="14"/>
  <c r="O59" i="14" s="1"/>
  <c r="I59" i="14"/>
  <c r="H59" i="14"/>
  <c r="L58" i="14"/>
  <c r="Q58" i="14" s="1"/>
  <c r="K58" i="14"/>
  <c r="P58" i="14" s="1"/>
  <c r="J58" i="14"/>
  <c r="O58" i="14" s="1"/>
  <c r="I58" i="14"/>
  <c r="H58" i="14"/>
  <c r="L57" i="14"/>
  <c r="Q57" i="14" s="1"/>
  <c r="K57" i="14"/>
  <c r="P57" i="14" s="1"/>
  <c r="J57" i="14"/>
  <c r="O57" i="14" s="1"/>
  <c r="I57" i="14"/>
  <c r="H57" i="14"/>
  <c r="L56" i="14"/>
  <c r="Q56" i="14" s="1"/>
  <c r="K56" i="14"/>
  <c r="P56" i="14" s="1"/>
  <c r="J56" i="14"/>
  <c r="O56" i="14" s="1"/>
  <c r="I56" i="14"/>
  <c r="H56" i="14"/>
  <c r="L55" i="14"/>
  <c r="Q55" i="14" s="1"/>
  <c r="K55" i="14"/>
  <c r="P55" i="14" s="1"/>
  <c r="J55" i="14"/>
  <c r="O55" i="14" s="1"/>
  <c r="I55" i="14"/>
  <c r="H55" i="14"/>
  <c r="L54" i="14"/>
  <c r="Q54" i="14" s="1"/>
  <c r="K54" i="14"/>
  <c r="P54" i="14" s="1"/>
  <c r="J54" i="14"/>
  <c r="O54" i="14" s="1"/>
  <c r="I54" i="14"/>
  <c r="H54" i="14"/>
  <c r="L53" i="14"/>
  <c r="Q53" i="14" s="1"/>
  <c r="K53" i="14"/>
  <c r="P53" i="14" s="1"/>
  <c r="J53" i="14"/>
  <c r="O53" i="14" s="1"/>
  <c r="I53" i="14"/>
  <c r="H53" i="14"/>
  <c r="L52" i="14"/>
  <c r="Q52" i="14" s="1"/>
  <c r="K52" i="14"/>
  <c r="P52" i="14" s="1"/>
  <c r="J52" i="14"/>
  <c r="O52" i="14" s="1"/>
  <c r="I52" i="14"/>
  <c r="H52" i="14"/>
  <c r="L51" i="14"/>
  <c r="Q51" i="14" s="1"/>
  <c r="K51" i="14"/>
  <c r="P51" i="14" s="1"/>
  <c r="J51" i="14"/>
  <c r="O51" i="14" s="1"/>
  <c r="I51" i="14"/>
  <c r="H51" i="14"/>
  <c r="L50" i="14"/>
  <c r="Q50" i="14" s="1"/>
  <c r="K50" i="14"/>
  <c r="P50" i="14" s="1"/>
  <c r="J50" i="14"/>
  <c r="O50" i="14" s="1"/>
  <c r="I50" i="14"/>
  <c r="H50" i="14"/>
  <c r="L49" i="14"/>
  <c r="Q49" i="14" s="1"/>
  <c r="K49" i="14"/>
  <c r="P49" i="14" s="1"/>
  <c r="J49" i="14"/>
  <c r="O49" i="14" s="1"/>
  <c r="I49" i="14"/>
  <c r="H49" i="14"/>
  <c r="L48" i="14"/>
  <c r="Q48" i="14" s="1"/>
  <c r="K48" i="14"/>
  <c r="P48" i="14" s="1"/>
  <c r="J48" i="14"/>
  <c r="O48" i="14" s="1"/>
  <c r="I48" i="14"/>
  <c r="H48" i="14"/>
  <c r="L47" i="14"/>
  <c r="Q47" i="14" s="1"/>
  <c r="K47" i="14"/>
  <c r="P47" i="14" s="1"/>
  <c r="J47" i="14"/>
  <c r="O47" i="14" s="1"/>
  <c r="I47" i="14"/>
  <c r="H47" i="14"/>
  <c r="L46" i="14"/>
  <c r="Q46" i="14" s="1"/>
  <c r="K46" i="14"/>
  <c r="P46" i="14" s="1"/>
  <c r="J46" i="14"/>
  <c r="O46" i="14" s="1"/>
  <c r="I46" i="14"/>
  <c r="H46" i="14"/>
  <c r="L45" i="14"/>
  <c r="Q45" i="14" s="1"/>
  <c r="K45" i="14"/>
  <c r="P45" i="14" s="1"/>
  <c r="J45" i="14"/>
  <c r="O45" i="14" s="1"/>
  <c r="I45" i="14"/>
  <c r="H45" i="14"/>
  <c r="L44" i="14"/>
  <c r="Q44" i="14" s="1"/>
  <c r="K44" i="14"/>
  <c r="P44" i="14" s="1"/>
  <c r="J44" i="14"/>
  <c r="O44" i="14" s="1"/>
  <c r="I44" i="14"/>
  <c r="H44" i="14"/>
  <c r="L43" i="14"/>
  <c r="Q43" i="14" s="1"/>
  <c r="K43" i="14"/>
  <c r="P43" i="14" s="1"/>
  <c r="J43" i="14"/>
  <c r="O43" i="14" s="1"/>
  <c r="I43" i="14"/>
  <c r="H43" i="14"/>
  <c r="L42" i="14"/>
  <c r="Q42" i="14" s="1"/>
  <c r="K42" i="14"/>
  <c r="P42" i="14" s="1"/>
  <c r="J42" i="14"/>
  <c r="O42" i="14" s="1"/>
  <c r="I42" i="14"/>
  <c r="H42" i="14"/>
  <c r="L41" i="14"/>
  <c r="Q41" i="14" s="1"/>
  <c r="K41" i="14"/>
  <c r="P41" i="14" s="1"/>
  <c r="J41" i="14"/>
  <c r="O41" i="14" s="1"/>
  <c r="I41" i="14"/>
  <c r="H41" i="14"/>
  <c r="L40" i="14"/>
  <c r="Q40" i="14" s="1"/>
  <c r="K40" i="14"/>
  <c r="P40" i="14" s="1"/>
  <c r="J40" i="14"/>
  <c r="O40" i="14" s="1"/>
  <c r="I40" i="14"/>
  <c r="H40" i="14"/>
  <c r="L39" i="14"/>
  <c r="Q39" i="14" s="1"/>
  <c r="K39" i="14"/>
  <c r="P39" i="14" s="1"/>
  <c r="J39" i="14"/>
  <c r="O39" i="14" s="1"/>
  <c r="I39" i="14"/>
  <c r="H39" i="14"/>
  <c r="L38" i="14"/>
  <c r="Q38" i="14" s="1"/>
  <c r="K38" i="14"/>
  <c r="P38" i="14" s="1"/>
  <c r="J38" i="14"/>
  <c r="O38" i="14" s="1"/>
  <c r="I38" i="14"/>
  <c r="H38" i="14"/>
  <c r="L37" i="14"/>
  <c r="Q37" i="14" s="1"/>
  <c r="K37" i="14"/>
  <c r="P37" i="14" s="1"/>
  <c r="J37" i="14"/>
  <c r="O37" i="14" s="1"/>
  <c r="I37" i="14"/>
  <c r="H37" i="14"/>
  <c r="L36" i="14"/>
  <c r="Q36" i="14" s="1"/>
  <c r="K36" i="14"/>
  <c r="P36" i="14" s="1"/>
  <c r="J36" i="14"/>
  <c r="O36" i="14" s="1"/>
  <c r="I36" i="14"/>
  <c r="H36" i="14"/>
  <c r="L35" i="14"/>
  <c r="Q35" i="14" s="1"/>
  <c r="K35" i="14"/>
  <c r="P35" i="14" s="1"/>
  <c r="J35" i="14"/>
  <c r="O35" i="14" s="1"/>
  <c r="I35" i="14"/>
  <c r="H35" i="14"/>
  <c r="L34" i="14"/>
  <c r="Q34" i="14" s="1"/>
  <c r="K34" i="14"/>
  <c r="P34" i="14" s="1"/>
  <c r="J34" i="14"/>
  <c r="O34" i="14" s="1"/>
  <c r="I34" i="14"/>
  <c r="H34" i="14"/>
  <c r="L33" i="14"/>
  <c r="Q33" i="14" s="1"/>
  <c r="K33" i="14"/>
  <c r="P33" i="14" s="1"/>
  <c r="J33" i="14"/>
  <c r="O33" i="14" s="1"/>
  <c r="I33" i="14"/>
  <c r="H33" i="14"/>
  <c r="L32" i="14"/>
  <c r="Q32" i="14" s="1"/>
  <c r="K32" i="14"/>
  <c r="P32" i="14" s="1"/>
  <c r="J32" i="14"/>
  <c r="O32" i="14" s="1"/>
  <c r="I32" i="14"/>
  <c r="H32" i="14"/>
  <c r="L31" i="14"/>
  <c r="Q31" i="14" s="1"/>
  <c r="K31" i="14"/>
  <c r="P31" i="14" s="1"/>
  <c r="J31" i="14"/>
  <c r="O31" i="14" s="1"/>
  <c r="I31" i="14"/>
  <c r="H31" i="14"/>
  <c r="E50" i="13"/>
  <c r="E49" i="13"/>
  <c r="E48" i="13"/>
  <c r="C53" i="13" s="1"/>
  <c r="C32" i="13"/>
  <c r="U22" i="13"/>
  <c r="C21" i="16" s="1"/>
  <c r="F21" i="16" s="1"/>
  <c r="R18" i="13"/>
  <c r="Q18" i="13"/>
  <c r="P18" i="13"/>
  <c r="O18" i="13"/>
  <c r="N18" i="13"/>
  <c r="M18" i="13"/>
  <c r="L18" i="13"/>
  <c r="K18" i="13"/>
  <c r="J18" i="13"/>
  <c r="I18" i="13"/>
  <c r="R14" i="13"/>
  <c r="Q14" i="13"/>
  <c r="P14" i="13"/>
  <c r="O14" i="13"/>
  <c r="N14" i="13"/>
  <c r="M14" i="13"/>
  <c r="L14" i="13"/>
  <c r="K14" i="13"/>
  <c r="J14" i="13"/>
  <c r="I14" i="13"/>
  <c r="E56" i="12"/>
  <c r="C56" i="12"/>
  <c r="D56" i="12" s="1"/>
  <c r="F56" i="12" s="1"/>
  <c r="E55" i="12"/>
  <c r="C55" i="12"/>
  <c r="D55" i="12" s="1"/>
  <c r="F55" i="12" s="1"/>
  <c r="E54" i="12"/>
  <c r="C54" i="12"/>
  <c r="D54" i="12" s="1"/>
  <c r="F54" i="12" s="1"/>
  <c r="E53" i="12"/>
  <c r="C53" i="12"/>
  <c r="D53" i="12" s="1"/>
  <c r="F53" i="12" s="1"/>
  <c r="E52" i="12"/>
  <c r="C52" i="12"/>
  <c r="D52" i="12" s="1"/>
  <c r="F52" i="12" s="1"/>
  <c r="E51" i="12"/>
  <c r="C51" i="12"/>
  <c r="D51" i="12" s="1"/>
  <c r="F51" i="12" s="1"/>
  <c r="E50" i="12"/>
  <c r="C50" i="12"/>
  <c r="D50" i="12" s="1"/>
  <c r="F50" i="12" s="1"/>
  <c r="C10" i="12"/>
  <c r="C8" i="12"/>
  <c r="C11" i="12" s="1"/>
  <c r="G34" i="11"/>
  <c r="F18" i="2" s="1"/>
  <c r="J31" i="11"/>
  <c r="I31" i="11"/>
  <c r="H31" i="11"/>
  <c r="G31" i="11"/>
  <c r="J18" i="11"/>
  <c r="I18" i="11"/>
  <c r="H18" i="11"/>
  <c r="G18" i="11"/>
  <c r="J17" i="11"/>
  <c r="I17" i="11"/>
  <c r="H17" i="11"/>
  <c r="G17" i="11"/>
  <c r="C16" i="11"/>
  <c r="C15" i="11"/>
  <c r="C14" i="11"/>
  <c r="C13" i="11"/>
  <c r="C12" i="11"/>
  <c r="C11" i="11"/>
  <c r="C10" i="11"/>
  <c r="J9" i="11"/>
  <c r="I16" i="10"/>
  <c r="N16" i="10" s="1"/>
  <c r="G16" i="10"/>
  <c r="E16" i="10"/>
  <c r="D16" i="10"/>
  <c r="C16" i="10"/>
  <c r="N9" i="10"/>
  <c r="M9" i="10"/>
  <c r="J9" i="10"/>
  <c r="K9" i="10" s="1"/>
  <c r="L9" i="10" s="1"/>
  <c r="G9" i="10"/>
  <c r="N8" i="10"/>
  <c r="M8" i="10"/>
  <c r="J8" i="10"/>
  <c r="K8" i="10" s="1"/>
  <c r="L8" i="10" s="1"/>
  <c r="G8" i="10"/>
  <c r="N7" i="10"/>
  <c r="M7" i="10"/>
  <c r="J7" i="10"/>
  <c r="K7" i="10" s="1"/>
  <c r="L7" i="10" s="1"/>
  <c r="G7" i="10"/>
  <c r="G26" i="9"/>
  <c r="F26" i="9"/>
  <c r="E26" i="9"/>
  <c r="D26" i="9"/>
  <c r="C26" i="9"/>
  <c r="C23" i="9"/>
  <c r="G75" i="8"/>
  <c r="F75" i="8"/>
  <c r="E75" i="8"/>
  <c r="D75" i="8"/>
  <c r="C75" i="8"/>
  <c r="C60" i="8"/>
  <c r="C55" i="8"/>
  <c r="C28" i="8"/>
  <c r="K9" i="8"/>
  <c r="J9" i="8"/>
  <c r="I9" i="8"/>
  <c r="R5" i="8"/>
  <c r="Q5" i="8"/>
  <c r="P5" i="8"/>
  <c r="O5" i="8"/>
  <c r="N5" i="8"/>
  <c r="M5" i="8"/>
  <c r="L5" i="8"/>
  <c r="K5" i="8"/>
  <c r="J5" i="8"/>
  <c r="I5" i="8"/>
  <c r="C42" i="7"/>
  <c r="C43" i="7" s="1"/>
  <c r="C39" i="7"/>
  <c r="C31" i="7"/>
  <c r="C24" i="7"/>
  <c r="C20" i="7"/>
  <c r="C32" i="7" s="1"/>
  <c r="C19" i="7"/>
  <c r="C17" i="7"/>
  <c r="C21" i="7" s="1"/>
  <c r="C23" i="7" s="1"/>
  <c r="C11" i="7"/>
  <c r="C8" i="7"/>
  <c r="J83" i="6"/>
  <c r="K83" i="6" s="1"/>
  <c r="L83" i="6" s="1"/>
  <c r="M83" i="6" s="1"/>
  <c r="N83" i="6" s="1"/>
  <c r="O83" i="6" s="1"/>
  <c r="P83" i="6" s="1"/>
  <c r="Q83" i="6" s="1"/>
  <c r="R83" i="6" s="1"/>
  <c r="I83" i="6"/>
  <c r="H69" i="6"/>
  <c r="R67" i="6"/>
  <c r="R15" i="8" s="1"/>
  <c r="Q67" i="6"/>
  <c r="Q15" i="8" s="1"/>
  <c r="P67" i="6"/>
  <c r="P15" i="8" s="1"/>
  <c r="O67" i="6"/>
  <c r="O15" i="8" s="1"/>
  <c r="N67" i="6"/>
  <c r="N15" i="8" s="1"/>
  <c r="M67" i="6"/>
  <c r="M15" i="8" s="1"/>
  <c r="L67" i="6"/>
  <c r="L15" i="8" s="1"/>
  <c r="K67" i="6"/>
  <c r="K15" i="8" s="1"/>
  <c r="J67" i="6"/>
  <c r="J15" i="8" s="1"/>
  <c r="I67" i="6"/>
  <c r="I15" i="8" s="1"/>
  <c r="I64" i="6"/>
  <c r="R56" i="6"/>
  <c r="Q56" i="6"/>
  <c r="P56" i="6"/>
  <c r="O56" i="6"/>
  <c r="N56" i="6"/>
  <c r="M56" i="6"/>
  <c r="L56" i="6"/>
  <c r="K56" i="6"/>
  <c r="J56" i="6"/>
  <c r="I56" i="6"/>
  <c r="R41" i="6"/>
  <c r="Q41" i="6"/>
  <c r="P41" i="6"/>
  <c r="O41" i="6"/>
  <c r="N41" i="6"/>
  <c r="M41" i="6"/>
  <c r="L41" i="6"/>
  <c r="K41" i="6"/>
  <c r="J41" i="6"/>
  <c r="I41" i="6"/>
  <c r="R39" i="6"/>
  <c r="Q39" i="6"/>
  <c r="P39" i="6"/>
  <c r="O39" i="6"/>
  <c r="N39" i="6"/>
  <c r="M39" i="6"/>
  <c r="L39" i="6"/>
  <c r="K39" i="6"/>
  <c r="J39" i="6"/>
  <c r="I39" i="6"/>
  <c r="R38" i="6"/>
  <c r="Q38" i="6"/>
  <c r="P38" i="6"/>
  <c r="O38" i="6"/>
  <c r="N38" i="6"/>
  <c r="M38" i="6"/>
  <c r="L38" i="6"/>
  <c r="K38" i="6"/>
  <c r="J38" i="6"/>
  <c r="I38" i="6"/>
  <c r="H32" i="6"/>
  <c r="G32" i="6"/>
  <c r="F32" i="6"/>
  <c r="E32" i="6"/>
  <c r="D32" i="6"/>
  <c r="H30" i="6"/>
  <c r="G30" i="6"/>
  <c r="F30" i="6"/>
  <c r="F9" i="4" s="1"/>
  <c r="E30" i="6"/>
  <c r="E9" i="4" s="1"/>
  <c r="D30" i="6"/>
  <c r="D9" i="4" s="1"/>
  <c r="H25" i="6"/>
  <c r="H7" i="4" s="1"/>
  <c r="G25" i="6"/>
  <c r="G7" i="4" s="1"/>
  <c r="F25" i="6"/>
  <c r="F7" i="4" s="1"/>
  <c r="E25" i="6"/>
  <c r="E7" i="4" s="1"/>
  <c r="R13" i="6"/>
  <c r="R9" i="8" s="1"/>
  <c r="Q13" i="6"/>
  <c r="Q9" i="8" s="1"/>
  <c r="P13" i="6"/>
  <c r="P9" i="8" s="1"/>
  <c r="O13" i="6"/>
  <c r="O9" i="8" s="1"/>
  <c r="N13" i="6"/>
  <c r="N9" i="8" s="1"/>
  <c r="M13" i="6"/>
  <c r="M9" i="8" s="1"/>
  <c r="L13" i="6"/>
  <c r="L9" i="8" s="1"/>
  <c r="R10" i="6"/>
  <c r="Q10" i="6"/>
  <c r="P10" i="6"/>
  <c r="O10" i="6"/>
  <c r="N10" i="6"/>
  <c r="M10" i="6"/>
  <c r="L10" i="6"/>
  <c r="R9" i="6"/>
  <c r="Q9" i="6"/>
  <c r="P9" i="6"/>
  <c r="O9" i="6"/>
  <c r="N9" i="6"/>
  <c r="M9" i="6"/>
  <c r="L9" i="6"/>
  <c r="R8" i="6"/>
  <c r="Q8" i="6"/>
  <c r="P8" i="6"/>
  <c r="O8" i="6"/>
  <c r="N8" i="6"/>
  <c r="M8" i="6"/>
  <c r="L8" i="6"/>
  <c r="E83" i="5"/>
  <c r="D83" i="5"/>
  <c r="C83" i="5"/>
  <c r="V66" i="5"/>
  <c r="Y66" i="5" s="1"/>
  <c r="Z66" i="5" s="1"/>
  <c r="C66" i="5"/>
  <c r="W65" i="5"/>
  <c r="Q65" i="5"/>
  <c r="J65" i="5"/>
  <c r="G65" i="5"/>
  <c r="C65" i="5"/>
  <c r="W64" i="5"/>
  <c r="Q64" i="5"/>
  <c r="J64" i="5"/>
  <c r="G64" i="5"/>
  <c r="C64" i="5"/>
  <c r="W63" i="5"/>
  <c r="Q63" i="5"/>
  <c r="J63" i="5"/>
  <c r="G63" i="5"/>
  <c r="C63" i="5"/>
  <c r="W62" i="5"/>
  <c r="Q62" i="5"/>
  <c r="J62" i="5"/>
  <c r="G62" i="5"/>
  <c r="C62" i="5"/>
  <c r="W61" i="5"/>
  <c r="Q61" i="5"/>
  <c r="J61" i="5"/>
  <c r="G61" i="5"/>
  <c r="C61" i="5"/>
  <c r="W60" i="5"/>
  <c r="Q60" i="5"/>
  <c r="J60" i="5"/>
  <c r="G60" i="5"/>
  <c r="C60" i="5"/>
  <c r="W59" i="5"/>
  <c r="Q59" i="5"/>
  <c r="J59" i="5"/>
  <c r="G59" i="5"/>
  <c r="C59" i="5"/>
  <c r="W58" i="5"/>
  <c r="Q58" i="5"/>
  <c r="J58" i="5"/>
  <c r="G58" i="5"/>
  <c r="C58" i="5"/>
  <c r="W57" i="5"/>
  <c r="Q57" i="5"/>
  <c r="J57" i="5"/>
  <c r="G57" i="5"/>
  <c r="C57" i="5"/>
  <c r="V49" i="5"/>
  <c r="Y49" i="5" s="1"/>
  <c r="Z49" i="5" s="1"/>
  <c r="C49" i="5"/>
  <c r="W48" i="5"/>
  <c r="Q48" i="5"/>
  <c r="J48" i="5"/>
  <c r="G48" i="5"/>
  <c r="C48" i="5"/>
  <c r="W47" i="5"/>
  <c r="Q47" i="5"/>
  <c r="J47" i="5"/>
  <c r="G47" i="5"/>
  <c r="C47" i="5"/>
  <c r="W46" i="5"/>
  <c r="Q46" i="5"/>
  <c r="J46" i="5"/>
  <c r="G46" i="5"/>
  <c r="C46" i="5"/>
  <c r="W45" i="5"/>
  <c r="Q45" i="5"/>
  <c r="J45" i="5"/>
  <c r="G45" i="5"/>
  <c r="C45" i="5"/>
  <c r="W44" i="5"/>
  <c r="Q44" i="5"/>
  <c r="J44" i="5"/>
  <c r="G44" i="5"/>
  <c r="C44" i="5"/>
  <c r="W43" i="5"/>
  <c r="Q43" i="5"/>
  <c r="J43" i="5"/>
  <c r="G43" i="5"/>
  <c r="C43" i="5"/>
  <c r="W42" i="5"/>
  <c r="Q42" i="5"/>
  <c r="J42" i="5"/>
  <c r="G42" i="5"/>
  <c r="C42" i="5"/>
  <c r="W41" i="5"/>
  <c r="Q41" i="5"/>
  <c r="J41" i="5"/>
  <c r="G41" i="5"/>
  <c r="C41" i="5"/>
  <c r="W40" i="5"/>
  <c r="Q40" i="5"/>
  <c r="J40" i="5"/>
  <c r="G40" i="5"/>
  <c r="C40" i="5"/>
  <c r="V32" i="5"/>
  <c r="Y32" i="5" s="1"/>
  <c r="Z32" i="5" s="1"/>
  <c r="C32" i="5"/>
  <c r="W31" i="5"/>
  <c r="Q31" i="5"/>
  <c r="R31" i="5" s="1"/>
  <c r="M31" i="5"/>
  <c r="M48" i="5" s="1"/>
  <c r="M65" i="5" s="1"/>
  <c r="L31" i="5"/>
  <c r="L48" i="5" s="1"/>
  <c r="L65" i="5" s="1"/>
  <c r="J31" i="5"/>
  <c r="I31" i="5"/>
  <c r="K31" i="5" s="1"/>
  <c r="I48" i="5" s="1"/>
  <c r="K48" i="5" s="1"/>
  <c r="I65" i="5" s="1"/>
  <c r="K65" i="5" s="1"/>
  <c r="G31" i="5"/>
  <c r="O31" i="5" s="1"/>
  <c r="E31" i="5"/>
  <c r="H31" i="5" s="1"/>
  <c r="N31" i="5" s="1"/>
  <c r="D31" i="5"/>
  <c r="C31" i="5"/>
  <c r="W30" i="5"/>
  <c r="Q30" i="5"/>
  <c r="R30" i="5" s="1"/>
  <c r="M30" i="5"/>
  <c r="M47" i="5" s="1"/>
  <c r="M64" i="5" s="1"/>
  <c r="L30" i="5"/>
  <c r="L47" i="5" s="1"/>
  <c r="L64" i="5" s="1"/>
  <c r="J30" i="5"/>
  <c r="I30" i="5"/>
  <c r="K30" i="5" s="1"/>
  <c r="I47" i="5" s="1"/>
  <c r="K47" i="5" s="1"/>
  <c r="I64" i="5" s="1"/>
  <c r="K64" i="5" s="1"/>
  <c r="G30" i="5"/>
  <c r="O30" i="5" s="1"/>
  <c r="E30" i="5"/>
  <c r="H30" i="5" s="1"/>
  <c r="N30" i="5" s="1"/>
  <c r="D30" i="5"/>
  <c r="C30" i="5"/>
  <c r="W29" i="5"/>
  <c r="Q29" i="5"/>
  <c r="R29" i="5" s="1"/>
  <c r="M29" i="5"/>
  <c r="M46" i="5" s="1"/>
  <c r="M63" i="5" s="1"/>
  <c r="L29" i="5"/>
  <c r="L46" i="5" s="1"/>
  <c r="L63" i="5" s="1"/>
  <c r="J29" i="5"/>
  <c r="I29" i="5"/>
  <c r="K29" i="5" s="1"/>
  <c r="I46" i="5" s="1"/>
  <c r="K46" i="5" s="1"/>
  <c r="I63" i="5" s="1"/>
  <c r="K63" i="5" s="1"/>
  <c r="G29" i="5"/>
  <c r="O29" i="5" s="1"/>
  <c r="E29" i="5"/>
  <c r="H29" i="5" s="1"/>
  <c r="N29" i="5" s="1"/>
  <c r="D29" i="5"/>
  <c r="C29" i="5"/>
  <c r="W28" i="5"/>
  <c r="Q28" i="5"/>
  <c r="R28" i="5" s="1"/>
  <c r="M28" i="5"/>
  <c r="M45" i="5" s="1"/>
  <c r="M62" i="5" s="1"/>
  <c r="L28" i="5"/>
  <c r="L45" i="5" s="1"/>
  <c r="L62" i="5" s="1"/>
  <c r="J28" i="5"/>
  <c r="I28" i="5"/>
  <c r="K28" i="5" s="1"/>
  <c r="I45" i="5" s="1"/>
  <c r="K45" i="5" s="1"/>
  <c r="I62" i="5" s="1"/>
  <c r="K62" i="5" s="1"/>
  <c r="G28" i="5"/>
  <c r="O28" i="5" s="1"/>
  <c r="E28" i="5"/>
  <c r="H28" i="5" s="1"/>
  <c r="N28" i="5" s="1"/>
  <c r="D28" i="5"/>
  <c r="C28" i="5"/>
  <c r="W27" i="5"/>
  <c r="Q27" i="5"/>
  <c r="R27" i="5" s="1"/>
  <c r="M27" i="5"/>
  <c r="M44" i="5" s="1"/>
  <c r="M61" i="5" s="1"/>
  <c r="L27" i="5"/>
  <c r="L44" i="5" s="1"/>
  <c r="L61" i="5" s="1"/>
  <c r="J27" i="5"/>
  <c r="I27" i="5"/>
  <c r="K27" i="5" s="1"/>
  <c r="I44" i="5" s="1"/>
  <c r="K44" i="5" s="1"/>
  <c r="I61" i="5" s="1"/>
  <c r="K61" i="5" s="1"/>
  <c r="G27" i="5"/>
  <c r="O27" i="5" s="1"/>
  <c r="E27" i="5"/>
  <c r="H27" i="5" s="1"/>
  <c r="N27" i="5" s="1"/>
  <c r="D27" i="5"/>
  <c r="C27" i="5"/>
  <c r="W26" i="5"/>
  <c r="Q26" i="5"/>
  <c r="R26" i="5" s="1"/>
  <c r="M26" i="5"/>
  <c r="M43" i="5" s="1"/>
  <c r="M60" i="5" s="1"/>
  <c r="L26" i="5"/>
  <c r="L43" i="5" s="1"/>
  <c r="L60" i="5" s="1"/>
  <c r="J26" i="5"/>
  <c r="I26" i="5"/>
  <c r="K26" i="5" s="1"/>
  <c r="I43" i="5" s="1"/>
  <c r="K43" i="5" s="1"/>
  <c r="I60" i="5" s="1"/>
  <c r="K60" i="5" s="1"/>
  <c r="G26" i="5"/>
  <c r="O26" i="5" s="1"/>
  <c r="E26" i="5"/>
  <c r="H26" i="5" s="1"/>
  <c r="N26" i="5" s="1"/>
  <c r="D26" i="5"/>
  <c r="C26" i="5"/>
  <c r="W25" i="5"/>
  <c r="Q25" i="5"/>
  <c r="R25" i="5" s="1"/>
  <c r="M25" i="5"/>
  <c r="M42" i="5" s="1"/>
  <c r="M59" i="5" s="1"/>
  <c r="L25" i="5"/>
  <c r="L42" i="5" s="1"/>
  <c r="L59" i="5" s="1"/>
  <c r="J25" i="5"/>
  <c r="I25" i="5"/>
  <c r="K25" i="5" s="1"/>
  <c r="I42" i="5" s="1"/>
  <c r="K42" i="5" s="1"/>
  <c r="I59" i="5" s="1"/>
  <c r="K59" i="5" s="1"/>
  <c r="G25" i="5"/>
  <c r="O25" i="5" s="1"/>
  <c r="E25" i="5"/>
  <c r="H25" i="5" s="1"/>
  <c r="N25" i="5" s="1"/>
  <c r="D25" i="5"/>
  <c r="C25" i="5"/>
  <c r="W24" i="5"/>
  <c r="Q24" i="5"/>
  <c r="R24" i="5" s="1"/>
  <c r="M24" i="5"/>
  <c r="M41" i="5" s="1"/>
  <c r="M58" i="5" s="1"/>
  <c r="L24" i="5"/>
  <c r="L41" i="5" s="1"/>
  <c r="L58" i="5" s="1"/>
  <c r="J24" i="5"/>
  <c r="I24" i="5"/>
  <c r="K24" i="5" s="1"/>
  <c r="I41" i="5" s="1"/>
  <c r="K41" i="5" s="1"/>
  <c r="I58" i="5" s="1"/>
  <c r="K58" i="5" s="1"/>
  <c r="G24" i="5"/>
  <c r="O24" i="5" s="1"/>
  <c r="E24" i="5"/>
  <c r="H24" i="5" s="1"/>
  <c r="N24" i="5" s="1"/>
  <c r="D24" i="5"/>
  <c r="C24" i="5"/>
  <c r="W23" i="5"/>
  <c r="Q23" i="5"/>
  <c r="R23" i="5" s="1"/>
  <c r="M23" i="5"/>
  <c r="M40" i="5" s="1"/>
  <c r="M57" i="5" s="1"/>
  <c r="L23" i="5"/>
  <c r="L40" i="5" s="1"/>
  <c r="L57" i="5" s="1"/>
  <c r="J23" i="5"/>
  <c r="I23" i="5"/>
  <c r="K23" i="5" s="1"/>
  <c r="I40" i="5" s="1"/>
  <c r="K40" i="5" s="1"/>
  <c r="I57" i="5" s="1"/>
  <c r="K57" i="5" s="1"/>
  <c r="G23" i="5"/>
  <c r="E23" i="5"/>
  <c r="D23" i="5"/>
  <c r="C23" i="5"/>
  <c r="G51" i="4"/>
  <c r="F51" i="4"/>
  <c r="E51" i="4"/>
  <c r="D51" i="4"/>
  <c r="H50" i="4"/>
  <c r="H49" i="4"/>
  <c r="H52" i="4" s="1"/>
  <c r="H44" i="4"/>
  <c r="H45" i="4" s="1"/>
  <c r="G40" i="4"/>
  <c r="F40" i="4"/>
  <c r="E40" i="4"/>
  <c r="D40" i="4"/>
  <c r="G35" i="4"/>
  <c r="F35" i="4"/>
  <c r="E35" i="4"/>
  <c r="D35" i="4"/>
  <c r="H34" i="4"/>
  <c r="G34" i="4"/>
  <c r="F34" i="4"/>
  <c r="E34" i="4"/>
  <c r="D34" i="4"/>
  <c r="G29" i="4"/>
  <c r="F29" i="4"/>
  <c r="E29" i="4"/>
  <c r="D29" i="4"/>
  <c r="G19" i="4"/>
  <c r="G32" i="4" s="1"/>
  <c r="F19" i="4"/>
  <c r="F32" i="4" s="1"/>
  <c r="E19" i="4"/>
  <c r="E32" i="4" s="1"/>
  <c r="D19" i="4"/>
  <c r="D32" i="4" s="1"/>
  <c r="H17" i="4"/>
  <c r="H16" i="4"/>
  <c r="H19" i="4" s="1"/>
  <c r="H32" i="4" s="1"/>
  <c r="H12" i="4"/>
  <c r="G12" i="4"/>
  <c r="F12" i="4"/>
  <c r="E12" i="4"/>
  <c r="D12" i="4"/>
  <c r="H8" i="4"/>
  <c r="G8" i="4"/>
  <c r="F8" i="4"/>
  <c r="E8" i="4"/>
  <c r="D8" i="4"/>
  <c r="H6" i="4"/>
  <c r="G6" i="4"/>
  <c r="G39" i="4" s="1"/>
  <c r="F6" i="4"/>
  <c r="F39" i="4" s="1"/>
  <c r="E6" i="4"/>
  <c r="E39" i="4" s="1"/>
  <c r="D6" i="4"/>
  <c r="D39" i="4" s="1"/>
  <c r="C32" i="3"/>
  <c r="C58" i="8" s="1"/>
  <c r="C28" i="3"/>
  <c r="C33" i="3" s="1"/>
  <c r="C17" i="3"/>
  <c r="C12" i="3"/>
  <c r="L6" i="2" s="1"/>
  <c r="C9" i="3"/>
  <c r="F41" i="2"/>
  <c r="E41" i="2"/>
  <c r="C41" i="2"/>
  <c r="D41" i="2" s="1"/>
  <c r="D25" i="2"/>
  <c r="C25" i="2"/>
  <c r="D24" i="2"/>
  <c r="C24" i="2"/>
  <c r="E18" i="2"/>
  <c r="E13" i="2"/>
  <c r="L12" i="2"/>
  <c r="D9" i="2"/>
  <c r="D8" i="2"/>
  <c r="L7" i="2"/>
  <c r="D7" i="2"/>
  <c r="D6" i="2"/>
  <c r="D10" i="2" s="1"/>
  <c r="L5" i="2"/>
  <c r="M531" i="14" l="1"/>
  <c r="N531" i="14"/>
  <c r="M530" i="14"/>
  <c r="N530" i="14"/>
  <c r="N529" i="14"/>
  <c r="M529" i="14"/>
  <c r="N528" i="14"/>
  <c r="M528" i="14"/>
  <c r="N527" i="14"/>
  <c r="M527" i="14"/>
  <c r="M526" i="14"/>
  <c r="N526" i="14"/>
  <c r="N525" i="14"/>
  <c r="M525" i="14"/>
  <c r="N524" i="14"/>
  <c r="M524" i="14"/>
  <c r="N523" i="14"/>
  <c r="M523" i="14"/>
  <c r="M522" i="14"/>
  <c r="N522" i="14"/>
  <c r="N521" i="14"/>
  <c r="M521" i="14"/>
  <c r="M520" i="14"/>
  <c r="N520" i="14"/>
  <c r="M519" i="14"/>
  <c r="N519" i="14"/>
  <c r="N518" i="14"/>
  <c r="M518" i="14"/>
  <c r="N517" i="14"/>
  <c r="M517" i="14"/>
  <c r="N516" i="14"/>
  <c r="M516" i="14"/>
  <c r="M515" i="14"/>
  <c r="N515" i="14"/>
  <c r="N514" i="14"/>
  <c r="M514" i="14"/>
  <c r="N513" i="14"/>
  <c r="M513" i="14"/>
  <c r="N512" i="14"/>
  <c r="M512" i="14"/>
  <c r="M511" i="14"/>
  <c r="N511" i="14"/>
  <c r="N510" i="14"/>
  <c r="M510" i="14"/>
  <c r="N509" i="14"/>
  <c r="M509" i="14"/>
  <c r="N508" i="14"/>
  <c r="M508" i="14"/>
  <c r="N507" i="14"/>
  <c r="M507" i="14"/>
  <c r="M506" i="14"/>
  <c r="N506" i="14"/>
  <c r="N505" i="14"/>
  <c r="M505" i="14"/>
  <c r="N504" i="14"/>
  <c r="M504" i="14"/>
  <c r="M503" i="14"/>
  <c r="N503" i="14"/>
  <c r="M502" i="14"/>
  <c r="N502" i="14"/>
  <c r="N501" i="14"/>
  <c r="M501" i="14"/>
  <c r="M500" i="14"/>
  <c r="N500" i="14"/>
  <c r="N499" i="14"/>
  <c r="M499" i="14"/>
  <c r="M498" i="14"/>
  <c r="N498" i="14"/>
  <c r="M497" i="14"/>
  <c r="N497" i="14"/>
  <c r="N495" i="14"/>
  <c r="M495" i="14"/>
  <c r="N494" i="14"/>
  <c r="M494" i="14"/>
  <c r="M493" i="14"/>
  <c r="N493" i="14"/>
  <c r="M492" i="14"/>
  <c r="N492" i="14"/>
  <c r="N491" i="14"/>
  <c r="M491" i="14"/>
  <c r="N490" i="14"/>
  <c r="M490" i="14"/>
  <c r="N489" i="14"/>
  <c r="M489" i="14"/>
  <c r="N488" i="14"/>
  <c r="M488" i="14"/>
  <c r="M487" i="14"/>
  <c r="N487" i="14"/>
  <c r="M486" i="14"/>
  <c r="N486" i="14"/>
  <c r="N485" i="14"/>
  <c r="M485" i="14"/>
  <c r="M484" i="14"/>
  <c r="N484" i="14"/>
  <c r="N483" i="14"/>
  <c r="M483" i="14"/>
  <c r="M482" i="14"/>
  <c r="N482" i="14"/>
  <c r="M481" i="14"/>
  <c r="N481" i="14"/>
  <c r="M480" i="14"/>
  <c r="N480" i="14"/>
  <c r="N479" i="14"/>
  <c r="M479" i="14"/>
  <c r="N478" i="14"/>
  <c r="M478" i="14"/>
  <c r="M477" i="14"/>
  <c r="N477" i="14"/>
  <c r="N476" i="14"/>
  <c r="M476" i="14"/>
  <c r="N475" i="14"/>
  <c r="M475" i="14"/>
  <c r="M474" i="14"/>
  <c r="N474" i="14"/>
  <c r="M473" i="14"/>
  <c r="N473" i="14"/>
  <c r="N472" i="14"/>
  <c r="M472" i="14"/>
  <c r="N471" i="14"/>
  <c r="M471" i="14"/>
  <c r="N470" i="14"/>
  <c r="M470" i="14"/>
  <c r="M469" i="14"/>
  <c r="N469" i="14"/>
  <c r="N468" i="14"/>
  <c r="M468" i="14"/>
  <c r="M467" i="14"/>
  <c r="N467" i="14"/>
  <c r="N466" i="14"/>
  <c r="M466" i="14"/>
  <c r="M465" i="14"/>
  <c r="N465" i="14"/>
  <c r="N464" i="14"/>
  <c r="M464" i="14"/>
  <c r="N463" i="14"/>
  <c r="M463" i="14"/>
  <c r="M462" i="14"/>
  <c r="N462" i="14"/>
  <c r="N461" i="14"/>
  <c r="M461" i="14"/>
  <c r="M460" i="14"/>
  <c r="N460" i="14"/>
  <c r="N459" i="14"/>
  <c r="M459" i="14"/>
  <c r="M458" i="14"/>
  <c r="N458" i="14"/>
  <c r="M457" i="14"/>
  <c r="N457" i="14"/>
  <c r="N456" i="14"/>
  <c r="M456" i="14"/>
  <c r="N455" i="14"/>
  <c r="M455" i="14"/>
  <c r="N454" i="14"/>
  <c r="M454" i="14"/>
  <c r="M453" i="14"/>
  <c r="N453" i="14"/>
  <c r="N452" i="14"/>
  <c r="M452" i="14"/>
  <c r="M451" i="14"/>
  <c r="N451" i="14"/>
  <c r="N450" i="14"/>
  <c r="M450" i="14"/>
  <c r="N449" i="14"/>
  <c r="M449" i="14"/>
  <c r="N448" i="14"/>
  <c r="M448" i="14"/>
  <c r="N447" i="14"/>
  <c r="M447" i="14"/>
  <c r="N446" i="14"/>
  <c r="M446" i="14"/>
  <c r="M445" i="14"/>
  <c r="N445" i="14"/>
  <c r="M444" i="14"/>
  <c r="N444" i="14"/>
  <c r="N443" i="14"/>
  <c r="M443" i="14"/>
  <c r="M442" i="14"/>
  <c r="N442" i="14"/>
  <c r="N441" i="14"/>
  <c r="M441" i="14"/>
  <c r="N440" i="14"/>
  <c r="M440" i="14"/>
  <c r="M439" i="14"/>
  <c r="N439" i="14"/>
  <c r="M438" i="14"/>
  <c r="N438" i="14"/>
  <c r="M437" i="14"/>
  <c r="N437" i="14"/>
  <c r="M436" i="14"/>
  <c r="N436" i="14"/>
  <c r="N435" i="14"/>
  <c r="M435" i="14"/>
  <c r="M434" i="14"/>
  <c r="N434" i="14"/>
  <c r="M433" i="14"/>
  <c r="N433" i="14"/>
  <c r="N432" i="14"/>
  <c r="M432" i="14"/>
  <c r="N431" i="14"/>
  <c r="M431" i="14"/>
  <c r="N430" i="14"/>
  <c r="M430" i="14"/>
  <c r="M429" i="14"/>
  <c r="N429" i="14"/>
  <c r="N428" i="14"/>
  <c r="M428" i="14"/>
  <c r="M427" i="14"/>
  <c r="N427" i="14"/>
  <c r="M426" i="14"/>
  <c r="N426" i="14"/>
  <c r="M425" i="14"/>
  <c r="N425" i="14"/>
  <c r="M424" i="14"/>
  <c r="N424" i="14"/>
  <c r="N423" i="14"/>
  <c r="M423" i="14"/>
  <c r="M422" i="14"/>
  <c r="N422" i="14"/>
  <c r="N421" i="14"/>
  <c r="M421" i="14"/>
  <c r="M420" i="14"/>
  <c r="N420" i="14"/>
  <c r="N419" i="14"/>
  <c r="M419" i="14"/>
  <c r="N418" i="14"/>
  <c r="M418" i="14"/>
  <c r="N417" i="14"/>
  <c r="M417" i="14"/>
  <c r="M416" i="14"/>
  <c r="N416" i="14"/>
  <c r="M415" i="14"/>
  <c r="N415" i="14"/>
  <c r="M414" i="14"/>
  <c r="N414" i="14"/>
  <c r="M412" i="14"/>
  <c r="N412" i="14"/>
  <c r="M411" i="14"/>
  <c r="N411" i="14"/>
  <c r="N410" i="14"/>
  <c r="M410" i="14"/>
  <c r="N409" i="14"/>
  <c r="M409" i="14"/>
  <c r="M408" i="14"/>
  <c r="N408" i="14"/>
  <c r="N407" i="14"/>
  <c r="M407" i="14"/>
  <c r="N406" i="14"/>
  <c r="M406" i="14"/>
  <c r="M405" i="14"/>
  <c r="N405" i="14"/>
  <c r="N404" i="14"/>
  <c r="M404" i="14"/>
  <c r="N403" i="14"/>
  <c r="M403" i="14"/>
  <c r="N402" i="14"/>
  <c r="M402" i="14"/>
  <c r="N401" i="14"/>
  <c r="M401" i="14"/>
  <c r="M400" i="14"/>
  <c r="N400" i="14"/>
  <c r="M399" i="14"/>
  <c r="N399" i="14"/>
  <c r="N398" i="14"/>
  <c r="M398" i="14"/>
  <c r="M397" i="14"/>
  <c r="N397" i="14"/>
  <c r="M396" i="14"/>
  <c r="N396" i="14"/>
  <c r="N395" i="14"/>
  <c r="M395" i="14"/>
  <c r="N394" i="14"/>
  <c r="M394" i="14"/>
  <c r="N393" i="14"/>
  <c r="M393" i="14"/>
  <c r="M392" i="14"/>
  <c r="N392" i="14"/>
  <c r="M391" i="14"/>
  <c r="N391" i="14"/>
  <c r="N390" i="14"/>
  <c r="M390" i="14"/>
  <c r="M389" i="14"/>
  <c r="N389" i="14"/>
  <c r="N388" i="14"/>
  <c r="M388" i="14"/>
  <c r="N387" i="14"/>
  <c r="M387" i="14"/>
  <c r="N386" i="14"/>
  <c r="M386" i="14"/>
  <c r="M385" i="14"/>
  <c r="N385" i="14"/>
  <c r="N384" i="14"/>
  <c r="M384" i="14"/>
  <c r="N383" i="14"/>
  <c r="M383" i="14"/>
  <c r="M382" i="14"/>
  <c r="N382" i="14"/>
  <c r="N381" i="14"/>
  <c r="M381" i="14"/>
  <c r="N380" i="14"/>
  <c r="M380" i="14"/>
  <c r="N379" i="14"/>
  <c r="M379" i="14"/>
  <c r="N378" i="14"/>
  <c r="M378" i="14"/>
  <c r="N377" i="14"/>
  <c r="M377" i="14"/>
  <c r="N376" i="14"/>
  <c r="M376" i="14"/>
  <c r="N375" i="14"/>
  <c r="M375" i="14"/>
  <c r="N374" i="14"/>
  <c r="M374" i="14"/>
  <c r="M373" i="14"/>
  <c r="N373" i="14"/>
  <c r="M372" i="14"/>
  <c r="N372" i="14"/>
  <c r="N371" i="14"/>
  <c r="M371" i="14"/>
  <c r="M370" i="14"/>
  <c r="N370" i="14"/>
  <c r="M369" i="14"/>
  <c r="N369" i="14"/>
  <c r="M368" i="14"/>
  <c r="N368" i="14"/>
  <c r="N367" i="14"/>
  <c r="M367" i="14"/>
  <c r="M366" i="14"/>
  <c r="N366" i="14"/>
  <c r="N365" i="14"/>
  <c r="M365" i="14"/>
  <c r="N364" i="14"/>
  <c r="M364" i="14"/>
  <c r="M363" i="14"/>
  <c r="N363" i="14"/>
  <c r="N362" i="14"/>
  <c r="M362" i="14"/>
  <c r="M361" i="14"/>
  <c r="N361" i="14"/>
  <c r="N360" i="14"/>
  <c r="M360" i="14"/>
  <c r="M359" i="14"/>
  <c r="N359" i="14"/>
  <c r="M358" i="14"/>
  <c r="N358" i="14"/>
  <c r="M357" i="14"/>
  <c r="N357" i="14"/>
  <c r="N356" i="14"/>
  <c r="M356" i="14"/>
  <c r="M355" i="14"/>
  <c r="N355" i="14"/>
  <c r="M354" i="14"/>
  <c r="N354" i="14"/>
  <c r="N353" i="14"/>
  <c r="M353" i="14"/>
  <c r="N352" i="14"/>
  <c r="M352" i="14"/>
  <c r="N351" i="14"/>
  <c r="M351" i="14"/>
  <c r="M350" i="14"/>
  <c r="N350" i="14"/>
  <c r="N349" i="14"/>
  <c r="M349" i="14"/>
  <c r="M348" i="14"/>
  <c r="N348" i="14"/>
  <c r="M347" i="14"/>
  <c r="N347" i="14"/>
  <c r="M346" i="14"/>
  <c r="N346" i="14"/>
  <c r="M345" i="14"/>
  <c r="N345" i="14"/>
  <c r="M344" i="14"/>
  <c r="N344" i="14"/>
  <c r="N343" i="14"/>
  <c r="M343" i="14"/>
  <c r="M342" i="14"/>
  <c r="N342" i="14"/>
  <c r="N341" i="14"/>
  <c r="M341" i="14"/>
  <c r="N340" i="14"/>
  <c r="M340" i="14"/>
  <c r="N339" i="14"/>
  <c r="M339" i="14"/>
  <c r="N338" i="14"/>
  <c r="M338" i="14"/>
  <c r="N337" i="14"/>
  <c r="M337" i="14"/>
  <c r="M336" i="14"/>
  <c r="N336" i="14"/>
  <c r="N335" i="14"/>
  <c r="M335" i="14"/>
  <c r="N334" i="14"/>
  <c r="M334" i="14"/>
  <c r="M333" i="14"/>
  <c r="N333" i="14"/>
  <c r="N332" i="14"/>
  <c r="M332" i="14"/>
  <c r="M331" i="14"/>
  <c r="N331" i="14"/>
  <c r="M330" i="14"/>
  <c r="N330" i="14"/>
  <c r="N329" i="14"/>
  <c r="M329" i="14"/>
  <c r="M328" i="14"/>
  <c r="N328" i="14"/>
  <c r="N327" i="14"/>
  <c r="M327" i="14"/>
  <c r="M326" i="14"/>
  <c r="N326" i="14"/>
  <c r="M325" i="14"/>
  <c r="N325" i="14"/>
  <c r="N324" i="14"/>
  <c r="M324" i="14"/>
  <c r="M323" i="14"/>
  <c r="N323" i="14"/>
  <c r="N322" i="14"/>
  <c r="M322" i="14"/>
  <c r="N321" i="14"/>
  <c r="M321" i="14"/>
  <c r="N320" i="14"/>
  <c r="M320" i="14"/>
  <c r="N319" i="14"/>
  <c r="M319" i="14"/>
  <c r="N318" i="14"/>
  <c r="M318" i="14"/>
  <c r="M317" i="14"/>
  <c r="N317" i="14"/>
  <c r="M316" i="14"/>
  <c r="N316" i="14"/>
  <c r="N315" i="14"/>
  <c r="M315" i="14"/>
  <c r="M314" i="14"/>
  <c r="N314" i="14"/>
  <c r="N313" i="14"/>
  <c r="M313" i="14"/>
  <c r="N312" i="14"/>
  <c r="M312" i="14"/>
  <c r="N311" i="14"/>
  <c r="M311" i="14"/>
  <c r="N310" i="14"/>
  <c r="M310" i="14"/>
  <c r="M309" i="14"/>
  <c r="N309" i="14"/>
  <c r="N308" i="14"/>
  <c r="M308" i="14"/>
  <c r="M307" i="14"/>
  <c r="N307" i="14"/>
  <c r="N306" i="14"/>
  <c r="M306" i="14"/>
  <c r="N305" i="14"/>
  <c r="M305" i="14"/>
  <c r="N304" i="14"/>
  <c r="M304" i="14"/>
  <c r="N303" i="14"/>
  <c r="M303" i="14"/>
  <c r="N302" i="14"/>
  <c r="M302" i="14"/>
  <c r="M301" i="14"/>
  <c r="N301" i="14"/>
  <c r="N300" i="14"/>
  <c r="M300" i="14"/>
  <c r="N299" i="14"/>
  <c r="M299" i="14"/>
  <c r="N298" i="14"/>
  <c r="M298" i="14"/>
  <c r="M297" i="14"/>
  <c r="N297" i="14"/>
  <c r="M296" i="14"/>
  <c r="N296" i="14"/>
  <c r="N295" i="14"/>
  <c r="M295" i="14"/>
  <c r="M294" i="14"/>
  <c r="N294" i="14"/>
  <c r="M293" i="14"/>
  <c r="N293" i="14"/>
  <c r="N292" i="14"/>
  <c r="M292" i="14"/>
  <c r="M291" i="14"/>
  <c r="N291" i="14"/>
  <c r="N290" i="14"/>
  <c r="M290" i="14"/>
  <c r="N289" i="14"/>
  <c r="M289" i="14"/>
  <c r="N288" i="14"/>
  <c r="M288" i="14"/>
  <c r="N287" i="14"/>
  <c r="M287" i="14"/>
  <c r="N286" i="14"/>
  <c r="M286" i="14"/>
  <c r="M285" i="14"/>
  <c r="N285" i="14"/>
  <c r="M284" i="14"/>
  <c r="N284" i="14"/>
  <c r="M283" i="14"/>
  <c r="N283" i="14"/>
  <c r="N282" i="14"/>
  <c r="M282" i="14"/>
  <c r="N281" i="14"/>
  <c r="M281" i="14"/>
  <c r="M280" i="14"/>
  <c r="N280" i="14"/>
  <c r="M279" i="14"/>
  <c r="N279" i="14"/>
  <c r="N278" i="14"/>
  <c r="M278" i="14"/>
  <c r="M277" i="14"/>
  <c r="N277" i="14"/>
  <c r="N276" i="14"/>
  <c r="M276" i="14"/>
  <c r="N275" i="14"/>
  <c r="M275" i="14"/>
  <c r="M274" i="14"/>
  <c r="N274" i="14"/>
  <c r="M273" i="14"/>
  <c r="N273" i="14"/>
  <c r="N272" i="14"/>
  <c r="M272" i="14"/>
  <c r="M271" i="14"/>
  <c r="N271" i="14"/>
  <c r="N270" i="14"/>
  <c r="M270" i="14"/>
  <c r="M269" i="14"/>
  <c r="N269" i="14"/>
  <c r="N268" i="14"/>
  <c r="M268" i="14"/>
  <c r="M267" i="14"/>
  <c r="N267" i="14"/>
  <c r="N266" i="14"/>
  <c r="M266" i="14"/>
  <c r="N265" i="14"/>
  <c r="M265" i="14"/>
  <c r="N264" i="14"/>
  <c r="M264" i="14"/>
  <c r="N262" i="14"/>
  <c r="M262" i="14"/>
  <c r="N261" i="14"/>
  <c r="M261" i="14"/>
  <c r="N260" i="14"/>
  <c r="M260" i="14"/>
  <c r="M259" i="14"/>
  <c r="N259" i="14"/>
  <c r="N258" i="14"/>
  <c r="M258" i="14"/>
  <c r="N257" i="14"/>
  <c r="M257" i="14"/>
  <c r="M256" i="14"/>
  <c r="N256" i="14"/>
  <c r="M255" i="14"/>
  <c r="N255" i="14"/>
  <c r="M254" i="14"/>
  <c r="N254" i="14"/>
  <c r="M253" i="14"/>
  <c r="N253" i="14"/>
  <c r="M252" i="14"/>
  <c r="N252" i="14"/>
  <c r="N251" i="14"/>
  <c r="M251" i="14"/>
  <c r="M250" i="14"/>
  <c r="N250" i="14"/>
  <c r="M249" i="14"/>
  <c r="N249" i="14"/>
  <c r="N248" i="14"/>
  <c r="M248" i="14"/>
  <c r="N247" i="14"/>
  <c r="M247" i="14"/>
  <c r="N246" i="14"/>
  <c r="M246" i="14"/>
  <c r="M245" i="14"/>
  <c r="N245" i="14"/>
  <c r="N244" i="14"/>
  <c r="M244" i="14"/>
  <c r="N243" i="14"/>
  <c r="M243" i="14"/>
  <c r="N242" i="14"/>
  <c r="M242" i="14"/>
  <c r="M241" i="14"/>
  <c r="N241" i="14"/>
  <c r="M240" i="14"/>
  <c r="N240" i="14"/>
  <c r="M239" i="14"/>
  <c r="N239" i="14"/>
  <c r="M238" i="14"/>
  <c r="N238" i="14"/>
  <c r="N237" i="14"/>
  <c r="M237" i="14"/>
  <c r="M236" i="14"/>
  <c r="N236" i="14"/>
  <c r="N235" i="14"/>
  <c r="M235" i="14"/>
  <c r="M234" i="14"/>
  <c r="N234" i="14"/>
  <c r="M233" i="14"/>
  <c r="N233" i="14"/>
  <c r="N232" i="14"/>
  <c r="M232" i="14"/>
  <c r="N231" i="14"/>
  <c r="M231" i="14"/>
  <c r="M230" i="14"/>
  <c r="N230" i="14"/>
  <c r="N229" i="14"/>
  <c r="M229" i="14"/>
  <c r="N228" i="14"/>
  <c r="M228" i="14"/>
  <c r="M227" i="14"/>
  <c r="N227" i="14"/>
  <c r="M226" i="14"/>
  <c r="N226" i="14"/>
  <c r="N225" i="14"/>
  <c r="M225" i="14"/>
  <c r="M224" i="14"/>
  <c r="N224" i="14"/>
  <c r="M223" i="14"/>
  <c r="N223" i="14"/>
  <c r="M222" i="14"/>
  <c r="N222" i="14"/>
  <c r="N221" i="14"/>
  <c r="M221" i="14"/>
  <c r="N220" i="14"/>
  <c r="M220" i="14"/>
  <c r="M219" i="14"/>
  <c r="N219" i="14"/>
  <c r="M218" i="14"/>
  <c r="N218" i="14"/>
  <c r="N217" i="14"/>
  <c r="M217" i="14"/>
  <c r="N216" i="14"/>
  <c r="M216" i="14"/>
  <c r="M215" i="14"/>
  <c r="N215" i="14"/>
  <c r="N214" i="14"/>
  <c r="M214" i="14"/>
  <c r="N213" i="14"/>
  <c r="M213" i="14"/>
  <c r="N212" i="14"/>
  <c r="M212" i="14"/>
  <c r="N211" i="14"/>
  <c r="M211" i="14"/>
  <c r="N210" i="14"/>
  <c r="M210" i="14"/>
  <c r="M209" i="14"/>
  <c r="N209" i="14"/>
  <c r="M208" i="14"/>
  <c r="N208" i="14"/>
  <c r="M207" i="14"/>
  <c r="N207" i="14"/>
  <c r="N206" i="14"/>
  <c r="M206" i="14"/>
  <c r="M205" i="14"/>
  <c r="N205" i="14"/>
  <c r="M204" i="14"/>
  <c r="N204" i="14"/>
  <c r="M203" i="14"/>
  <c r="N203" i="14"/>
  <c r="M202" i="14"/>
  <c r="N202" i="14"/>
  <c r="N201" i="14"/>
  <c r="M201" i="14"/>
  <c r="N200" i="14"/>
  <c r="M200" i="14"/>
  <c r="N199" i="14"/>
  <c r="M199" i="14"/>
  <c r="N198" i="14"/>
  <c r="M198" i="14"/>
  <c r="M197" i="14"/>
  <c r="N197" i="14"/>
  <c r="M196" i="14"/>
  <c r="N196" i="14"/>
  <c r="M195" i="14"/>
  <c r="N195" i="14"/>
  <c r="M194" i="14"/>
  <c r="N194" i="14"/>
  <c r="M193" i="14"/>
  <c r="N193" i="14"/>
  <c r="M192" i="14"/>
  <c r="N192" i="14"/>
  <c r="N191" i="14"/>
  <c r="M191" i="14"/>
  <c r="M190" i="14"/>
  <c r="N190" i="14"/>
  <c r="M189" i="14"/>
  <c r="N189" i="14"/>
  <c r="N188" i="14"/>
  <c r="M188" i="14"/>
  <c r="M187" i="14"/>
  <c r="N187" i="14"/>
  <c r="M186" i="14"/>
  <c r="N186" i="14"/>
  <c r="M185" i="14"/>
  <c r="N185" i="14"/>
  <c r="N184" i="14"/>
  <c r="M184" i="14"/>
  <c r="N183" i="14"/>
  <c r="M183" i="14"/>
  <c r="N182" i="14"/>
  <c r="M182" i="14"/>
  <c r="N181" i="14"/>
  <c r="M181" i="14"/>
  <c r="N180" i="14"/>
  <c r="M180" i="14"/>
  <c r="N179" i="14"/>
  <c r="M179" i="14"/>
  <c r="M178" i="14"/>
  <c r="N178" i="14"/>
  <c r="M177" i="14"/>
  <c r="N177" i="14"/>
  <c r="M176" i="14"/>
  <c r="N176" i="14"/>
  <c r="N175" i="14"/>
  <c r="M175" i="14"/>
  <c r="N174" i="14"/>
  <c r="M174" i="14"/>
  <c r="M173" i="14"/>
  <c r="N173" i="14"/>
  <c r="M172" i="14"/>
  <c r="N172" i="14"/>
  <c r="N171" i="14"/>
  <c r="M171" i="14"/>
  <c r="N170" i="14"/>
  <c r="M170" i="14"/>
  <c r="N169" i="14"/>
  <c r="M169" i="14"/>
  <c r="M168" i="14"/>
  <c r="N168" i="14"/>
  <c r="N167" i="14"/>
  <c r="M167" i="14"/>
  <c r="N166" i="14"/>
  <c r="M166" i="14"/>
  <c r="N165" i="14"/>
  <c r="M165" i="14"/>
  <c r="M164" i="14"/>
  <c r="N164" i="14"/>
  <c r="M163" i="14"/>
  <c r="N163" i="14"/>
  <c r="M162" i="14"/>
  <c r="N162" i="14"/>
  <c r="N161" i="14"/>
  <c r="M161" i="14"/>
  <c r="M160" i="14"/>
  <c r="N160" i="14"/>
  <c r="N159" i="14"/>
  <c r="M159" i="14"/>
  <c r="N158" i="14"/>
  <c r="M158" i="14"/>
  <c r="N157" i="14"/>
  <c r="M157" i="14"/>
  <c r="M156" i="14"/>
  <c r="N156" i="14"/>
  <c r="N155" i="14"/>
  <c r="M155" i="14"/>
  <c r="M154" i="14"/>
  <c r="N154" i="14"/>
  <c r="M153" i="14"/>
  <c r="N153" i="14"/>
  <c r="N152" i="14"/>
  <c r="M152" i="14"/>
  <c r="N151" i="14"/>
  <c r="M151" i="14"/>
  <c r="N150" i="14"/>
  <c r="M150" i="14"/>
  <c r="M149" i="14"/>
  <c r="N149" i="14"/>
  <c r="N148" i="14"/>
  <c r="M148" i="14"/>
  <c r="N147" i="14"/>
  <c r="M147" i="14"/>
  <c r="N146" i="14"/>
  <c r="M146" i="14"/>
  <c r="M145" i="14"/>
  <c r="N145" i="14"/>
  <c r="N144" i="14"/>
  <c r="M144" i="14"/>
  <c r="M143" i="14"/>
  <c r="N143" i="14"/>
  <c r="M142" i="14"/>
  <c r="N142" i="14"/>
  <c r="M141" i="14"/>
  <c r="N141" i="14"/>
  <c r="M140" i="14"/>
  <c r="N140" i="14"/>
  <c r="N139" i="14"/>
  <c r="M139" i="14"/>
  <c r="M138" i="14"/>
  <c r="N138" i="14"/>
  <c r="N137" i="14"/>
  <c r="M137" i="14"/>
  <c r="N136" i="14"/>
  <c r="M136" i="14"/>
  <c r="M135" i="14"/>
  <c r="N135" i="14"/>
  <c r="M134" i="14"/>
  <c r="N134" i="14"/>
  <c r="M133" i="14"/>
  <c r="N133" i="14"/>
  <c r="N132" i="14"/>
  <c r="M132" i="14"/>
  <c r="N131" i="14"/>
  <c r="M131" i="14"/>
  <c r="N130" i="14"/>
  <c r="M130" i="14"/>
  <c r="M129" i="14"/>
  <c r="N129" i="14"/>
  <c r="N128" i="14"/>
  <c r="M128" i="14"/>
  <c r="M127" i="14"/>
  <c r="N127" i="14"/>
  <c r="M126" i="14"/>
  <c r="N126" i="14"/>
  <c r="M125" i="14"/>
  <c r="N125" i="14"/>
  <c r="M124" i="14"/>
  <c r="N124" i="14"/>
  <c r="N123" i="14"/>
  <c r="M123" i="14"/>
  <c r="M122" i="14"/>
  <c r="N122" i="14"/>
  <c r="M121" i="14"/>
  <c r="N121" i="14"/>
  <c r="N120" i="14"/>
  <c r="M120" i="14"/>
  <c r="N119" i="14"/>
  <c r="M119" i="14"/>
  <c r="N118" i="14"/>
  <c r="M118" i="14"/>
  <c r="M117" i="14"/>
  <c r="N117" i="14"/>
  <c r="M116" i="14"/>
  <c r="N116" i="14"/>
  <c r="M115" i="14"/>
  <c r="N115" i="14"/>
  <c r="M114" i="14"/>
  <c r="N114" i="14"/>
  <c r="N113" i="14"/>
  <c r="M113" i="14"/>
  <c r="M112" i="14"/>
  <c r="N112" i="14"/>
  <c r="N111" i="14"/>
  <c r="M111" i="14"/>
  <c r="M110" i="14"/>
  <c r="N110" i="14"/>
  <c r="N109" i="14"/>
  <c r="M109" i="14"/>
  <c r="M108" i="14"/>
  <c r="N108" i="14"/>
  <c r="M107" i="14"/>
  <c r="N107" i="14"/>
  <c r="M106" i="14"/>
  <c r="N106" i="14"/>
  <c r="N105" i="14"/>
  <c r="M105" i="14"/>
  <c r="N104" i="14"/>
  <c r="M104" i="14"/>
  <c r="M103" i="14"/>
  <c r="N103" i="14"/>
  <c r="M102" i="14"/>
  <c r="N102" i="14"/>
  <c r="M101" i="14"/>
  <c r="N101" i="14"/>
  <c r="M100" i="14"/>
  <c r="N100" i="14"/>
  <c r="M99" i="14"/>
  <c r="N99" i="14"/>
  <c r="N98" i="14"/>
  <c r="M98" i="14"/>
  <c r="M97" i="14"/>
  <c r="N97" i="14"/>
  <c r="M96" i="14"/>
  <c r="N96" i="14"/>
  <c r="M95" i="14"/>
  <c r="N95" i="14"/>
  <c r="M94" i="14"/>
  <c r="N94" i="14"/>
  <c r="M93" i="14"/>
  <c r="N93" i="14"/>
  <c r="M92" i="14"/>
  <c r="N92" i="14"/>
  <c r="N91" i="14"/>
  <c r="M91" i="14"/>
  <c r="M90" i="14"/>
  <c r="N90" i="14"/>
  <c r="N89" i="14"/>
  <c r="M89" i="14"/>
  <c r="N88" i="14"/>
  <c r="M88" i="14"/>
  <c r="N87" i="14"/>
  <c r="M87" i="14"/>
  <c r="N86" i="14"/>
  <c r="M86" i="14"/>
  <c r="N85" i="14"/>
  <c r="M85" i="14"/>
  <c r="N84" i="14"/>
  <c r="M84" i="14"/>
  <c r="M83" i="14"/>
  <c r="N83" i="14"/>
  <c r="M82" i="14"/>
  <c r="N82" i="14"/>
  <c r="N81" i="14"/>
  <c r="M81" i="14"/>
  <c r="N80" i="14"/>
  <c r="M80" i="14"/>
  <c r="M79" i="14"/>
  <c r="N79" i="14"/>
  <c r="N78" i="14"/>
  <c r="M78" i="14"/>
  <c r="N77" i="14"/>
  <c r="M77" i="14"/>
  <c r="N76" i="14"/>
  <c r="M76" i="14"/>
  <c r="N75" i="14"/>
  <c r="M75" i="14"/>
  <c r="M74" i="14"/>
  <c r="N74" i="14"/>
  <c r="M73" i="14"/>
  <c r="N73" i="14"/>
  <c r="M72" i="14"/>
  <c r="N72" i="14"/>
  <c r="N71" i="14"/>
  <c r="M71" i="14"/>
  <c r="N70" i="14"/>
  <c r="M70" i="14"/>
  <c r="N69" i="14"/>
  <c r="M69" i="14"/>
  <c r="N68" i="14"/>
  <c r="M68" i="14"/>
  <c r="N67" i="14"/>
  <c r="M67" i="14"/>
  <c r="N66" i="14"/>
  <c r="M66" i="14"/>
  <c r="N65" i="14"/>
  <c r="M65" i="14"/>
  <c r="N64" i="14"/>
  <c r="M64" i="14"/>
  <c r="M63" i="14"/>
  <c r="N63" i="14"/>
  <c r="N62" i="14"/>
  <c r="M62" i="14"/>
  <c r="M61" i="14"/>
  <c r="N61" i="14"/>
  <c r="N60" i="14"/>
  <c r="M60" i="14"/>
  <c r="M59" i="14"/>
  <c r="N59" i="14"/>
  <c r="N58" i="14"/>
  <c r="M58" i="14"/>
  <c r="N57" i="14"/>
  <c r="M57" i="14"/>
  <c r="M56" i="14"/>
  <c r="N56" i="14"/>
  <c r="M55" i="14"/>
  <c r="N55" i="14"/>
  <c r="M54" i="14"/>
  <c r="N54" i="14"/>
  <c r="M53" i="14"/>
  <c r="N53" i="14"/>
  <c r="N52" i="14"/>
  <c r="M52" i="14"/>
  <c r="M51" i="14"/>
  <c r="N51" i="14"/>
  <c r="M50" i="14"/>
  <c r="N50" i="14"/>
  <c r="N49" i="14"/>
  <c r="M49" i="14"/>
  <c r="N48" i="14"/>
  <c r="M48" i="14"/>
  <c r="N47" i="14"/>
  <c r="M47" i="14"/>
  <c r="M46" i="14"/>
  <c r="N46" i="14"/>
  <c r="N45" i="14"/>
  <c r="M45" i="14"/>
  <c r="N44" i="14"/>
  <c r="M44" i="14"/>
  <c r="N43" i="14"/>
  <c r="M43" i="14"/>
  <c r="N42" i="14"/>
  <c r="M42" i="14"/>
  <c r="N41" i="14"/>
  <c r="M41" i="14"/>
  <c r="N40" i="14"/>
  <c r="M40" i="14"/>
  <c r="N39" i="14"/>
  <c r="M39" i="14"/>
  <c r="N38" i="14"/>
  <c r="M38" i="14"/>
  <c r="N37" i="14"/>
  <c r="M37" i="14"/>
  <c r="N36" i="14"/>
  <c r="M36" i="14"/>
  <c r="N35" i="14"/>
  <c r="M35" i="14"/>
  <c r="M34" i="14"/>
  <c r="N34" i="14"/>
  <c r="N33" i="14"/>
  <c r="M33" i="14"/>
  <c r="N32" i="14"/>
  <c r="M32" i="14"/>
  <c r="N31" i="14"/>
  <c r="M31" i="14"/>
  <c r="C29" i="12"/>
  <c r="I17" i="12"/>
  <c r="L17" i="2"/>
  <c r="M16" i="10"/>
  <c r="J16" i="10"/>
  <c r="N13" i="10"/>
  <c r="E23" i="10" s="1"/>
  <c r="N14" i="10"/>
  <c r="C23" i="10" s="1"/>
  <c r="N11" i="10"/>
  <c r="N12" i="10"/>
  <c r="M12" i="10"/>
  <c r="D21" i="10" s="1"/>
  <c r="M13" i="10"/>
  <c r="C21" i="10" s="1"/>
  <c r="M14" i="10"/>
  <c r="E21" i="10" s="1"/>
  <c r="M11" i="10"/>
  <c r="L11" i="10"/>
  <c r="L13" i="10"/>
  <c r="L12" i="10"/>
  <c r="L14" i="10"/>
  <c r="R20" i="8"/>
  <c r="R18" i="8"/>
  <c r="R16" i="13" s="1"/>
  <c r="Q20" i="8"/>
  <c r="Q18" i="8"/>
  <c r="Q16" i="13" s="1"/>
  <c r="P18" i="8"/>
  <c r="P16" i="13" s="1"/>
  <c r="P20" i="8"/>
  <c r="O20" i="8"/>
  <c r="O18" i="8"/>
  <c r="O16" i="13" s="1"/>
  <c r="N18" i="8"/>
  <c r="N16" i="13" s="1"/>
  <c r="N20" i="8"/>
  <c r="M20" i="8"/>
  <c r="M18" i="8"/>
  <c r="M16" i="13" s="1"/>
  <c r="L20" i="8"/>
  <c r="L18" i="8"/>
  <c r="L16" i="13" s="1"/>
  <c r="K20" i="8"/>
  <c r="K18" i="8"/>
  <c r="K16" i="13" s="1"/>
  <c r="J20" i="8"/>
  <c r="J18" i="8"/>
  <c r="J16" i="13" s="1"/>
  <c r="I20" i="8"/>
  <c r="I18" i="8"/>
  <c r="I16" i="13" s="1"/>
  <c r="C72" i="8"/>
  <c r="C22" i="16" s="1"/>
  <c r="F22" i="16" s="1"/>
  <c r="L9" i="2"/>
  <c r="C22" i="7"/>
  <c r="C26" i="7" s="1"/>
  <c r="H35" i="6"/>
  <c r="H37" i="6" s="1"/>
  <c r="H33" i="4"/>
  <c r="G35" i="6"/>
  <c r="G37" i="6" s="1"/>
  <c r="G40" i="6" s="1"/>
  <c r="G33" i="4"/>
  <c r="G42" i="4"/>
  <c r="F35" i="6"/>
  <c r="F37" i="6" s="1"/>
  <c r="F40" i="6" s="1"/>
  <c r="F10" i="4" s="1"/>
  <c r="F33" i="4"/>
  <c r="F42" i="4"/>
  <c r="E35" i="6"/>
  <c r="E37" i="6" s="1"/>
  <c r="E40" i="6" s="1"/>
  <c r="E10" i="4" s="1"/>
  <c r="E33" i="4"/>
  <c r="E42" i="4"/>
  <c r="D33" i="4"/>
  <c r="D42" i="4"/>
  <c r="D35" i="6"/>
  <c r="D37" i="6" s="1"/>
  <c r="D40" i="6" s="1"/>
  <c r="D10" i="4" s="1"/>
  <c r="D26" i="2"/>
  <c r="H9" i="4"/>
  <c r="C26" i="2"/>
  <c r="G9" i="4"/>
  <c r="G67" i="5"/>
  <c r="O57" i="5"/>
  <c r="G50" i="5"/>
  <c r="O40" i="5"/>
  <c r="S31" i="5"/>
  <c r="T31" i="5" s="1"/>
  <c r="E48" i="5"/>
  <c r="H48" i="5" s="1"/>
  <c r="N48" i="5" s="1"/>
  <c r="D48" i="5"/>
  <c r="F31" i="5"/>
  <c r="P31" i="5" s="1"/>
  <c r="S30" i="5"/>
  <c r="T30" i="5" s="1"/>
  <c r="E47" i="5"/>
  <c r="H47" i="5" s="1"/>
  <c r="N47" i="5" s="1"/>
  <c r="D47" i="5"/>
  <c r="F30" i="5"/>
  <c r="P30" i="5" s="1"/>
  <c r="S29" i="5"/>
  <c r="E46" i="5"/>
  <c r="H46" i="5" s="1"/>
  <c r="N46" i="5" s="1"/>
  <c r="F29" i="5"/>
  <c r="P29" i="5" s="1"/>
  <c r="D46" i="5"/>
  <c r="S28" i="5"/>
  <c r="E45" i="5"/>
  <c r="H45" i="5" s="1"/>
  <c r="N45" i="5" s="1"/>
  <c r="D45" i="5"/>
  <c r="F28" i="5"/>
  <c r="P28" i="5" s="1"/>
  <c r="S27" i="5"/>
  <c r="E44" i="5"/>
  <c r="H44" i="5" s="1"/>
  <c r="N44" i="5" s="1"/>
  <c r="D44" i="5"/>
  <c r="F27" i="5"/>
  <c r="P27" i="5" s="1"/>
  <c r="S26" i="5"/>
  <c r="E43" i="5"/>
  <c r="H43" i="5" s="1"/>
  <c r="N43" i="5" s="1"/>
  <c r="F26" i="5"/>
  <c r="P26" i="5" s="1"/>
  <c r="D43" i="5"/>
  <c r="S25" i="5"/>
  <c r="E42" i="5"/>
  <c r="H42" i="5" s="1"/>
  <c r="N42" i="5" s="1"/>
  <c r="F25" i="5"/>
  <c r="P25" i="5" s="1"/>
  <c r="D42" i="5"/>
  <c r="S24" i="5"/>
  <c r="E41" i="5"/>
  <c r="H41" i="5" s="1"/>
  <c r="N41" i="5" s="1"/>
  <c r="F24" i="5"/>
  <c r="P24" i="5" s="1"/>
  <c r="D41" i="5"/>
  <c r="R33" i="5"/>
  <c r="E40" i="5"/>
  <c r="O23" i="5"/>
  <c r="G33" i="5"/>
  <c r="H23" i="5"/>
  <c r="S23" i="5" s="1"/>
  <c r="E33" i="5"/>
  <c r="D33" i="5"/>
  <c r="F23" i="5"/>
  <c r="D40" i="5"/>
  <c r="H53" i="4"/>
  <c r="H51" i="4"/>
  <c r="G28" i="4"/>
  <c r="G25" i="4"/>
  <c r="F25" i="4"/>
  <c r="F28" i="4"/>
  <c r="E25" i="4"/>
  <c r="E28" i="4"/>
  <c r="D25" i="4"/>
  <c r="D28" i="4"/>
  <c r="C34" i="3"/>
  <c r="I51" i="6"/>
  <c r="O65" i="5"/>
  <c r="O64" i="5"/>
  <c r="O63" i="5"/>
  <c r="O62" i="5"/>
  <c r="O61" i="5"/>
  <c r="O60" i="5"/>
  <c r="O59" i="5"/>
  <c r="O58" i="5"/>
  <c r="O48" i="5"/>
  <c r="O47" i="5"/>
  <c r="O46" i="5"/>
  <c r="O45" i="5"/>
  <c r="O44" i="5"/>
  <c r="O43" i="5"/>
  <c r="O42" i="5"/>
  <c r="O41" i="5"/>
  <c r="M17" i="10" l="1"/>
  <c r="L18" i="2"/>
  <c r="C30" i="10"/>
  <c r="R7" i="9"/>
  <c r="R17" i="13"/>
  <c r="Q7" i="9"/>
  <c r="Q17" i="13"/>
  <c r="P7" i="9"/>
  <c r="P17" i="13"/>
  <c r="O7" i="9"/>
  <c r="O17" i="13"/>
  <c r="N7" i="9"/>
  <c r="N17" i="13"/>
  <c r="M7" i="9"/>
  <c r="M17" i="13"/>
  <c r="L7" i="9"/>
  <c r="L17" i="13"/>
  <c r="K7" i="9"/>
  <c r="K17" i="13"/>
  <c r="J7" i="9"/>
  <c r="J17" i="13"/>
  <c r="I7" i="9"/>
  <c r="I17" i="13"/>
  <c r="C44" i="7"/>
  <c r="C13" i="9"/>
  <c r="C31" i="13"/>
  <c r="C54" i="13"/>
  <c r="L10" i="2"/>
  <c r="H40" i="6"/>
  <c r="H54" i="4"/>
  <c r="H55" i="4" s="1"/>
  <c r="C27" i="2"/>
  <c r="G10" i="4"/>
  <c r="F11" i="4"/>
  <c r="F26" i="4"/>
  <c r="F27" i="4"/>
  <c r="F38" i="4"/>
  <c r="F41" i="4" s="1"/>
  <c r="E11" i="4"/>
  <c r="E26" i="4"/>
  <c r="E27" i="4"/>
  <c r="E38" i="4"/>
  <c r="E41" i="4" s="1"/>
  <c r="D11" i="4"/>
  <c r="D26" i="4"/>
  <c r="D38" i="4"/>
  <c r="D41" i="4" s="1"/>
  <c r="O67" i="5"/>
  <c r="O50" i="5"/>
  <c r="R48" i="5"/>
  <c r="F48" i="5"/>
  <c r="P48" i="5" s="1"/>
  <c r="D65" i="5"/>
  <c r="R47" i="5"/>
  <c r="F47" i="5"/>
  <c r="P47" i="5" s="1"/>
  <c r="D64" i="5"/>
  <c r="R46" i="5"/>
  <c r="F46" i="5"/>
  <c r="P46" i="5" s="1"/>
  <c r="D63" i="5"/>
  <c r="R45" i="5"/>
  <c r="F45" i="5"/>
  <c r="P45" i="5" s="1"/>
  <c r="D62" i="5"/>
  <c r="R44" i="5"/>
  <c r="F44" i="5"/>
  <c r="P44" i="5" s="1"/>
  <c r="D61" i="5"/>
  <c r="R43" i="5"/>
  <c r="F43" i="5"/>
  <c r="P43" i="5" s="1"/>
  <c r="D60" i="5"/>
  <c r="R42" i="5"/>
  <c r="F42" i="5"/>
  <c r="P42" i="5" s="1"/>
  <c r="D59" i="5"/>
  <c r="R41" i="5"/>
  <c r="F41" i="5"/>
  <c r="P41" i="5" s="1"/>
  <c r="D58" i="5"/>
  <c r="T23" i="5"/>
  <c r="S33" i="5"/>
  <c r="H40" i="5"/>
  <c r="E50" i="5"/>
  <c r="O33" i="5"/>
  <c r="N23" i="5"/>
  <c r="H33" i="5"/>
  <c r="I31" i="6"/>
  <c r="I63" i="6"/>
  <c r="I65" i="6" s="1"/>
  <c r="P23" i="5"/>
  <c r="F33" i="5"/>
  <c r="R40" i="5"/>
  <c r="F40" i="5"/>
  <c r="D50" i="5"/>
  <c r="D57" i="5"/>
  <c r="C40" i="7"/>
  <c r="C41" i="7" s="1"/>
  <c r="C45" i="7" s="1"/>
  <c r="C48" i="8"/>
  <c r="G27" i="11"/>
  <c r="J27" i="11"/>
  <c r="H16" i="10"/>
  <c r="H27" i="11"/>
  <c r="I27" i="11"/>
  <c r="C26" i="16"/>
  <c r="F26" i="16" s="1"/>
  <c r="L8" i="2"/>
  <c r="U30" i="5"/>
  <c r="V30" i="5" s="1"/>
  <c r="T29" i="5"/>
  <c r="U29" i="5" s="1"/>
  <c r="V29" i="5" s="1"/>
  <c r="T28" i="5"/>
  <c r="U28" i="5" s="1"/>
  <c r="V28" i="5" s="1"/>
  <c r="T27" i="5"/>
  <c r="U27" i="5" s="1"/>
  <c r="V27" i="5" s="1"/>
  <c r="T26" i="5"/>
  <c r="U26" i="5" s="1"/>
  <c r="V26" i="5" s="1"/>
  <c r="T25" i="5"/>
  <c r="U25" i="5" s="1"/>
  <c r="V25" i="5" s="1"/>
  <c r="T24" i="5"/>
  <c r="U24" i="5" s="1"/>
  <c r="V24" i="5" s="1"/>
  <c r="Q33" i="5"/>
  <c r="U31" i="5"/>
  <c r="V31" i="5" s="1"/>
  <c r="D23" i="10"/>
  <c r="N17" i="10"/>
  <c r="L11" i="2" l="1"/>
  <c r="Q20" i="12"/>
  <c r="Q23" i="12" s="1"/>
  <c r="O20" i="12"/>
  <c r="O23" i="12" s="1"/>
  <c r="M20" i="12"/>
  <c r="M23" i="12" s="1"/>
  <c r="J20" i="12"/>
  <c r="J23" i="12" s="1"/>
  <c r="R20" i="12"/>
  <c r="R23" i="12" s="1"/>
  <c r="P20" i="12"/>
  <c r="P23" i="12" s="1"/>
  <c r="N20" i="12"/>
  <c r="N23" i="12" s="1"/>
  <c r="L20" i="12"/>
  <c r="L23" i="12" s="1"/>
  <c r="K20" i="12"/>
  <c r="K23" i="12" s="1"/>
  <c r="I20" i="12"/>
  <c r="I23" i="12" s="1"/>
  <c r="C25" i="8"/>
  <c r="C18" i="15"/>
  <c r="C21" i="9"/>
  <c r="B28" i="9"/>
  <c r="B31" i="9"/>
  <c r="I8" i="9"/>
  <c r="K8" i="9"/>
  <c r="M8" i="9"/>
  <c r="O8" i="9"/>
  <c r="Q8" i="9"/>
  <c r="B27" i="9"/>
  <c r="B29" i="9"/>
  <c r="B30" i="9"/>
  <c r="J8" i="9"/>
  <c r="L8" i="9"/>
  <c r="N8" i="9"/>
  <c r="P8" i="9"/>
  <c r="R8" i="9"/>
  <c r="D27" i="2"/>
  <c r="H10" i="4"/>
  <c r="H11" i="4" s="1"/>
  <c r="G11" i="4"/>
  <c r="G26" i="4"/>
  <c r="G27" i="4"/>
  <c r="G38" i="4"/>
  <c r="G41" i="4" s="1"/>
  <c r="E65" i="5"/>
  <c r="S48" i="5"/>
  <c r="T48" i="5" s="1"/>
  <c r="U48" i="5" s="1"/>
  <c r="V48" i="5" s="1"/>
  <c r="R65" i="5"/>
  <c r="E64" i="5"/>
  <c r="S47" i="5"/>
  <c r="T47" i="5" s="1"/>
  <c r="U47" i="5" s="1"/>
  <c r="V47" i="5" s="1"/>
  <c r="R64" i="5"/>
  <c r="E63" i="5"/>
  <c r="S46" i="5"/>
  <c r="T46" i="5" s="1"/>
  <c r="U46" i="5" s="1"/>
  <c r="V46" i="5" s="1"/>
  <c r="R63" i="5"/>
  <c r="E62" i="5"/>
  <c r="H62" i="5" s="1"/>
  <c r="N62" i="5" s="1"/>
  <c r="S45" i="5"/>
  <c r="T45" i="5" s="1"/>
  <c r="U45" i="5" s="1"/>
  <c r="V45" i="5" s="1"/>
  <c r="R62" i="5"/>
  <c r="S62" i="5" s="1"/>
  <c r="F62" i="5"/>
  <c r="P62" i="5" s="1"/>
  <c r="E61" i="5"/>
  <c r="H61" i="5" s="1"/>
  <c r="N61" i="5" s="1"/>
  <c r="S44" i="5"/>
  <c r="T44" i="5" s="1"/>
  <c r="U44" i="5" s="1"/>
  <c r="V44" i="5" s="1"/>
  <c r="R61" i="5"/>
  <c r="S61" i="5" s="1"/>
  <c r="F61" i="5"/>
  <c r="P61" i="5" s="1"/>
  <c r="E60" i="5"/>
  <c r="H60" i="5" s="1"/>
  <c r="N60" i="5" s="1"/>
  <c r="S43" i="5"/>
  <c r="T43" i="5" s="1"/>
  <c r="U43" i="5" s="1"/>
  <c r="V43" i="5" s="1"/>
  <c r="R60" i="5"/>
  <c r="S60" i="5" s="1"/>
  <c r="F60" i="5"/>
  <c r="P60" i="5" s="1"/>
  <c r="E59" i="5"/>
  <c r="H59" i="5" s="1"/>
  <c r="N59" i="5" s="1"/>
  <c r="S42" i="5"/>
  <c r="T42" i="5" s="1"/>
  <c r="U42" i="5" s="1"/>
  <c r="V42" i="5" s="1"/>
  <c r="R59" i="5"/>
  <c r="S59" i="5" s="1"/>
  <c r="T59" i="5" s="1"/>
  <c r="F59" i="5"/>
  <c r="P59" i="5" s="1"/>
  <c r="E58" i="5"/>
  <c r="H58" i="5" s="1"/>
  <c r="N58" i="5" s="1"/>
  <c r="S41" i="5"/>
  <c r="T41" i="5" s="1"/>
  <c r="U41" i="5" s="1"/>
  <c r="V41" i="5" s="1"/>
  <c r="R58" i="5"/>
  <c r="S58" i="5" s="1"/>
  <c r="F58" i="5"/>
  <c r="P58" i="5" s="1"/>
  <c r="N40" i="5"/>
  <c r="H50" i="5"/>
  <c r="N33" i="5"/>
  <c r="I7" i="8"/>
  <c r="I12" i="8" s="1"/>
  <c r="I13" i="13"/>
  <c r="C13" i="16"/>
  <c r="F13" i="16" s="1"/>
  <c r="I77" i="6"/>
  <c r="I13" i="8"/>
  <c r="E57" i="5"/>
  <c r="R50" i="5"/>
  <c r="Q50" i="5" s="1"/>
  <c r="S40" i="5"/>
  <c r="P40" i="5"/>
  <c r="F50" i="5"/>
  <c r="J31" i="6"/>
  <c r="J63" i="6"/>
  <c r="R57" i="5"/>
  <c r="F57" i="5"/>
  <c r="D67" i="5"/>
  <c r="X48" i="5"/>
  <c r="Y48" i="5" s="1"/>
  <c r="Z48" i="5" s="1"/>
  <c r="V51" i="5"/>
  <c r="Z51" i="5" s="1"/>
  <c r="X47" i="5"/>
  <c r="Y47" i="5" s="1"/>
  <c r="Z47" i="5" s="1"/>
  <c r="X30" i="5"/>
  <c r="Y30" i="5"/>
  <c r="Z30" i="5" s="1"/>
  <c r="V34" i="5"/>
  <c r="Z34" i="5" s="1"/>
  <c r="I80" i="6" s="1"/>
  <c r="I81" i="6" s="1"/>
  <c r="I82" i="6" s="1"/>
  <c r="X29" i="5"/>
  <c r="Y29" i="5"/>
  <c r="Z29" i="5" s="1"/>
  <c r="X46" i="5"/>
  <c r="Y46" i="5" s="1"/>
  <c r="Z46" i="5" s="1"/>
  <c r="D16" i="11" s="1"/>
  <c r="E16" i="11" s="1"/>
  <c r="X28" i="5"/>
  <c r="Y28" i="5"/>
  <c r="Z28" i="5" s="1"/>
  <c r="X45" i="5"/>
  <c r="Y45" i="5" s="1"/>
  <c r="Z45" i="5" s="1"/>
  <c r="D15" i="11" s="1"/>
  <c r="E15" i="11" s="1"/>
  <c r="X27" i="5"/>
  <c r="Y27" i="5"/>
  <c r="Z27" i="5" s="1"/>
  <c r="X44" i="5"/>
  <c r="Y44" i="5" s="1"/>
  <c r="Z44" i="5" s="1"/>
  <c r="D14" i="11" s="1"/>
  <c r="E14" i="11" s="1"/>
  <c r="X26" i="5"/>
  <c r="Y26" i="5"/>
  <c r="Z26" i="5" s="1"/>
  <c r="X43" i="5"/>
  <c r="Y43" i="5" s="1"/>
  <c r="Z43" i="5" s="1"/>
  <c r="D13" i="11" s="1"/>
  <c r="E13" i="11" s="1"/>
  <c r="X25" i="5"/>
  <c r="Y25" i="5"/>
  <c r="Z25" i="5" s="1"/>
  <c r="X42" i="5"/>
  <c r="Y42" i="5" s="1"/>
  <c r="Z42" i="5" s="1"/>
  <c r="D12" i="11" s="1"/>
  <c r="E12" i="11" s="1"/>
  <c r="X24" i="5"/>
  <c r="Y24" i="5"/>
  <c r="Z24" i="5" s="1"/>
  <c r="X41" i="5"/>
  <c r="Y41" i="5" s="1"/>
  <c r="Z41" i="5" s="1"/>
  <c r="D11" i="11" s="1"/>
  <c r="E11" i="11" s="1"/>
  <c r="X31" i="5"/>
  <c r="Y31" i="5"/>
  <c r="Z31" i="5" s="1"/>
  <c r="P33" i="5"/>
  <c r="U23" i="5"/>
  <c r="C40" i="8" l="1"/>
  <c r="B76" i="8"/>
  <c r="B77" i="8"/>
  <c r="B78" i="8"/>
  <c r="B79" i="8"/>
  <c r="B80" i="8"/>
  <c r="B84" i="8"/>
  <c r="B85" i="8"/>
  <c r="B86" i="8"/>
  <c r="B87" i="8"/>
  <c r="B88" i="8"/>
  <c r="C46" i="12"/>
  <c r="C23" i="16"/>
  <c r="F23" i="16" s="1"/>
  <c r="I21" i="8"/>
  <c r="J21" i="8"/>
  <c r="K21" i="8"/>
  <c r="L21" i="8"/>
  <c r="M21" i="8"/>
  <c r="N21" i="8"/>
  <c r="O21" i="8"/>
  <c r="P21" i="8"/>
  <c r="Q21" i="8"/>
  <c r="R21" i="8"/>
  <c r="F32" i="15"/>
  <c r="E32" i="15"/>
  <c r="D32" i="15"/>
  <c r="C32" i="15"/>
  <c r="F31" i="15"/>
  <c r="E31" i="15"/>
  <c r="D31" i="15"/>
  <c r="C31" i="15"/>
  <c r="F30" i="15"/>
  <c r="E30" i="15"/>
  <c r="D30" i="15"/>
  <c r="C30" i="15"/>
  <c r="F29" i="15"/>
  <c r="E29" i="15"/>
  <c r="D29" i="15"/>
  <c r="C29" i="15"/>
  <c r="C21" i="15"/>
  <c r="C20" i="15"/>
  <c r="N50" i="5"/>
  <c r="H57" i="5"/>
  <c r="E67" i="5"/>
  <c r="T40" i="5"/>
  <c r="S50" i="5"/>
  <c r="U40" i="5"/>
  <c r="P50" i="5"/>
  <c r="J7" i="8"/>
  <c r="J12" i="8" s="1"/>
  <c r="J13" i="13"/>
  <c r="J64" i="6"/>
  <c r="J65" i="6"/>
  <c r="R67" i="5"/>
  <c r="Q67" i="5" s="1"/>
  <c r="C19" i="13" s="1"/>
  <c r="S57" i="5"/>
  <c r="P57" i="5"/>
  <c r="F67" i="5"/>
  <c r="K31" i="6"/>
  <c r="K63" i="6"/>
  <c r="J80" i="6"/>
  <c r="J81" i="6" s="1"/>
  <c r="J82" i="6" s="1"/>
  <c r="C52" i="8"/>
  <c r="C54" i="8" s="1"/>
  <c r="C56" i="8" s="1"/>
  <c r="C57" i="8" s="1"/>
  <c r="G22" i="11"/>
  <c r="G23" i="11" s="1"/>
  <c r="G30" i="11" s="1"/>
  <c r="I22" i="11"/>
  <c r="I23" i="11" s="1"/>
  <c r="I30" i="11" s="1"/>
  <c r="H22" i="11"/>
  <c r="H23" i="11" s="1"/>
  <c r="H30" i="11" s="1"/>
  <c r="J22" i="11"/>
  <c r="J23" i="11" s="1"/>
  <c r="J30" i="11" s="1"/>
  <c r="H16" i="11"/>
  <c r="J16" i="11"/>
  <c r="G16" i="11"/>
  <c r="I16" i="11"/>
  <c r="H15" i="11"/>
  <c r="G15" i="11"/>
  <c r="I15" i="11"/>
  <c r="J15" i="11"/>
  <c r="H14" i="11"/>
  <c r="J14" i="11"/>
  <c r="G14" i="11"/>
  <c r="I14" i="11"/>
  <c r="H13" i="11"/>
  <c r="G13" i="11"/>
  <c r="I13" i="11"/>
  <c r="J13" i="11"/>
  <c r="G12" i="11"/>
  <c r="I12" i="11"/>
  <c r="J12" i="11"/>
  <c r="H12" i="11"/>
  <c r="H11" i="11"/>
  <c r="G11" i="11"/>
  <c r="I11" i="11"/>
  <c r="J11" i="11"/>
  <c r="U59" i="5"/>
  <c r="V59" i="5" s="1"/>
  <c r="T62" i="5"/>
  <c r="U62" i="5" s="1"/>
  <c r="V62" i="5" s="1"/>
  <c r="T61" i="5"/>
  <c r="U61" i="5" s="1"/>
  <c r="V61" i="5" s="1"/>
  <c r="T60" i="5"/>
  <c r="U60" i="5" s="1"/>
  <c r="V60" i="5" s="1"/>
  <c r="T58" i="5"/>
  <c r="U58" i="5" s="1"/>
  <c r="V58" i="5" s="1"/>
  <c r="H65" i="5"/>
  <c r="F65" i="5"/>
  <c r="P65" i="5" s="1"/>
  <c r="H64" i="5"/>
  <c r="F64" i="5"/>
  <c r="P64" i="5" s="1"/>
  <c r="H63" i="5"/>
  <c r="F63" i="5"/>
  <c r="P63" i="5" s="1"/>
  <c r="U33" i="5"/>
  <c r="V23" i="5"/>
  <c r="N57" i="5" l="1"/>
  <c r="H67" i="5"/>
  <c r="I66" i="6"/>
  <c r="J77" i="6"/>
  <c r="J13" i="8"/>
  <c r="T57" i="5"/>
  <c r="S67" i="5"/>
  <c r="U57" i="5"/>
  <c r="U67" i="5" s="1"/>
  <c r="P67" i="5"/>
  <c r="L31" i="6"/>
  <c r="K7" i="8"/>
  <c r="K12" i="8" s="1"/>
  <c r="K13" i="13"/>
  <c r="L63" i="6"/>
  <c r="K64" i="6"/>
  <c r="J66" i="6" s="1"/>
  <c r="J68" i="6" s="1"/>
  <c r="K65" i="6"/>
  <c r="X59" i="5"/>
  <c r="Y59" i="5" s="1"/>
  <c r="Z59" i="5" s="1"/>
  <c r="X62" i="5"/>
  <c r="Y62" i="5" s="1"/>
  <c r="Z62" i="5" s="1"/>
  <c r="X61" i="5"/>
  <c r="Y61" i="5" s="1"/>
  <c r="Z61" i="5" s="1"/>
  <c r="X60" i="5"/>
  <c r="Y60" i="5" s="1"/>
  <c r="Z60" i="5" s="1"/>
  <c r="X58" i="5"/>
  <c r="Y58" i="5" s="1"/>
  <c r="Z58" i="5" s="1"/>
  <c r="S65" i="5"/>
  <c r="T65" i="5" s="1"/>
  <c r="U65" i="5" s="1"/>
  <c r="V65" i="5" s="1"/>
  <c r="N65" i="5"/>
  <c r="X65" i="5"/>
  <c r="Y65" i="5" s="1"/>
  <c r="Z65" i="5" s="1"/>
  <c r="S64" i="5"/>
  <c r="T64" i="5" s="1"/>
  <c r="U64" i="5" s="1"/>
  <c r="V64" i="5" s="1"/>
  <c r="X64" i="5" s="1"/>
  <c r="Y64" i="5" s="1"/>
  <c r="Z64" i="5" s="1"/>
  <c r="N64" i="5"/>
  <c r="V68" i="5"/>
  <c r="Z68" i="5" s="1"/>
  <c r="K80" i="6" s="1"/>
  <c r="S63" i="5"/>
  <c r="T63" i="5" s="1"/>
  <c r="U63" i="5" s="1"/>
  <c r="V63" i="5" s="1"/>
  <c r="N63" i="5"/>
  <c r="X63" i="5"/>
  <c r="Y63" i="5" s="1"/>
  <c r="Z63" i="5" s="1"/>
  <c r="V33" i="5"/>
  <c r="X23" i="5"/>
  <c r="C22" i="15"/>
  <c r="C23" i="15"/>
  <c r="U50" i="5"/>
  <c r="V40" i="5"/>
  <c r="V57" i="5" l="1"/>
  <c r="N67" i="5"/>
  <c r="I68" i="6"/>
  <c r="I52" i="6"/>
  <c r="I53" i="6" s="1"/>
  <c r="I14" i="8"/>
  <c r="J14" i="8"/>
  <c r="J52" i="6"/>
  <c r="M31" i="6"/>
  <c r="L7" i="8"/>
  <c r="L12" i="8" s="1"/>
  <c r="L13" i="13"/>
  <c r="M63" i="6"/>
  <c r="L64" i="6"/>
  <c r="L65" i="6"/>
  <c r="K77" i="6"/>
  <c r="K13" i="8"/>
  <c r="L80" i="6"/>
  <c r="K81" i="6"/>
  <c r="K82" i="6" s="1"/>
  <c r="C25" i="15"/>
  <c r="C41" i="15" s="1"/>
  <c r="C42" i="15" s="1"/>
  <c r="E11" i="2" s="1"/>
  <c r="C24" i="15"/>
  <c r="V50" i="5"/>
  <c r="X40" i="5"/>
  <c r="X33" i="5"/>
  <c r="Y23" i="5"/>
  <c r="X57" i="5" l="1"/>
  <c r="X67" i="5" s="1"/>
  <c r="Y57" i="5"/>
  <c r="V67" i="5"/>
  <c r="J51" i="6"/>
  <c r="I57" i="6"/>
  <c r="I54" i="6"/>
  <c r="I55" i="6" s="1"/>
  <c r="I34" i="6" s="1"/>
  <c r="I75" i="6" s="1"/>
  <c r="N31" i="6"/>
  <c r="M7" i="8"/>
  <c r="M12" i="8" s="1"/>
  <c r="M13" i="13"/>
  <c r="N63" i="6"/>
  <c r="M64" i="6"/>
  <c r="M65" i="6"/>
  <c r="K66" i="6"/>
  <c r="L66" i="6"/>
  <c r="L68" i="6"/>
  <c r="L77" i="6"/>
  <c r="L13" i="8"/>
  <c r="M80" i="6"/>
  <c r="L81" i="6"/>
  <c r="L82" i="6" s="1"/>
  <c r="Y33" i="5"/>
  <c r="Z35" i="5" s="1"/>
  <c r="Z23" i="5"/>
  <c r="Z33" i="5" s="1"/>
  <c r="X50" i="5"/>
  <c r="Y40" i="5"/>
  <c r="Z57" i="5" l="1"/>
  <c r="Z67" i="5" s="1"/>
  <c r="Y67" i="5"/>
  <c r="Z69" i="5" s="1"/>
  <c r="J53" i="6"/>
  <c r="J54" i="6"/>
  <c r="O31" i="6"/>
  <c r="N7" i="8"/>
  <c r="N12" i="8" s="1"/>
  <c r="N13" i="13"/>
  <c r="O63" i="6"/>
  <c r="N64" i="6"/>
  <c r="N65" i="6"/>
  <c r="M77" i="6"/>
  <c r="M13" i="8"/>
  <c r="K68" i="6"/>
  <c r="K52" i="6"/>
  <c r="K14" i="8"/>
  <c r="L14" i="8"/>
  <c r="L52" i="6"/>
  <c r="N80" i="6"/>
  <c r="M81" i="6"/>
  <c r="M82" i="6" s="1"/>
  <c r="F79" i="5"/>
  <c r="F80" i="5"/>
  <c r="F81" i="5"/>
  <c r="F82" i="5"/>
  <c r="I24" i="6"/>
  <c r="C5" i="16"/>
  <c r="F5" i="16" s="1"/>
  <c r="Y50" i="5"/>
  <c r="Z52" i="5" s="1"/>
  <c r="Z40" i="5"/>
  <c r="H79" i="5" l="1"/>
  <c r="H80" i="5"/>
  <c r="H81" i="5"/>
  <c r="H82" i="5"/>
  <c r="K24" i="6"/>
  <c r="C43" i="12"/>
  <c r="C44" i="12"/>
  <c r="C7" i="16"/>
  <c r="F7" i="16" s="1"/>
  <c r="J57" i="6"/>
  <c r="K51" i="6"/>
  <c r="J55" i="6"/>
  <c r="J34" i="6" s="1"/>
  <c r="J75" i="6" s="1"/>
  <c r="C27" i="13"/>
  <c r="P31" i="6"/>
  <c r="O7" i="8"/>
  <c r="O12" i="8" s="1"/>
  <c r="O13" i="13"/>
  <c r="P63" i="6"/>
  <c r="O64" i="6"/>
  <c r="O65" i="6"/>
  <c r="M66" i="6"/>
  <c r="N66" i="6"/>
  <c r="N68" i="6"/>
  <c r="N77" i="6"/>
  <c r="N13" i="8"/>
  <c r="O80" i="6"/>
  <c r="N81" i="6"/>
  <c r="N82" i="6" s="1"/>
  <c r="I25" i="6"/>
  <c r="I26" i="6"/>
  <c r="I27" i="6"/>
  <c r="I28" i="6"/>
  <c r="I29" i="6"/>
  <c r="I33" i="6"/>
  <c r="I74" i="6" s="1"/>
  <c r="I69" i="6"/>
  <c r="I70" i="6" s="1"/>
  <c r="I11" i="13"/>
  <c r="E24" i="2"/>
  <c r="G79" i="5"/>
  <c r="G80" i="5"/>
  <c r="G81" i="5"/>
  <c r="G82" i="5"/>
  <c r="J24" i="6"/>
  <c r="C6" i="16"/>
  <c r="F6" i="16" s="1"/>
  <c r="Z50" i="5"/>
  <c r="D75" i="5"/>
  <c r="D10" i="11"/>
  <c r="F83" i="5"/>
  <c r="L24" i="6" l="1"/>
  <c r="K25" i="6"/>
  <c r="K26" i="6"/>
  <c r="K27" i="6"/>
  <c r="K28" i="6"/>
  <c r="K29" i="6"/>
  <c r="K33" i="6"/>
  <c r="K74" i="6" s="1"/>
  <c r="K69" i="6"/>
  <c r="K70" i="6" s="1"/>
  <c r="K11" i="13"/>
  <c r="G24" i="2"/>
  <c r="K53" i="6"/>
  <c r="K54" i="6"/>
  <c r="K55" i="6" s="1"/>
  <c r="K34" i="6" s="1"/>
  <c r="K75" i="6" s="1"/>
  <c r="E35" i="13"/>
  <c r="G35" i="13" s="1"/>
  <c r="F35" i="13"/>
  <c r="H35" i="13" s="1"/>
  <c r="E36" i="13"/>
  <c r="G36" i="13" s="1"/>
  <c r="F36" i="13"/>
  <c r="H36" i="13" s="1"/>
  <c r="E37" i="13"/>
  <c r="G37" i="13" s="1"/>
  <c r="F37" i="13"/>
  <c r="H37" i="13" s="1"/>
  <c r="Q31" i="6"/>
  <c r="P7" i="8"/>
  <c r="P12" i="8" s="1"/>
  <c r="P13" i="13"/>
  <c r="Q63" i="6"/>
  <c r="P64" i="6"/>
  <c r="P65" i="6"/>
  <c r="O77" i="6"/>
  <c r="O13" i="8"/>
  <c r="M68" i="6"/>
  <c r="M52" i="6"/>
  <c r="M14" i="8"/>
  <c r="N14" i="8"/>
  <c r="N52" i="6"/>
  <c r="P80" i="6"/>
  <c r="O81" i="6"/>
  <c r="O82" i="6" s="1"/>
  <c r="I58" i="6"/>
  <c r="I30" i="6"/>
  <c r="I32" i="6"/>
  <c r="I48" i="6"/>
  <c r="I59" i="6"/>
  <c r="E29" i="2" s="1"/>
  <c r="I73" i="6"/>
  <c r="I6" i="8"/>
  <c r="I8" i="8" s="1"/>
  <c r="C8" i="16"/>
  <c r="F8" i="16" s="1"/>
  <c r="E25" i="2"/>
  <c r="I15" i="13"/>
  <c r="I16" i="8"/>
  <c r="J25" i="6"/>
  <c r="J26" i="6"/>
  <c r="J27" i="6"/>
  <c r="J28" i="6"/>
  <c r="J29" i="6"/>
  <c r="J33" i="6"/>
  <c r="J74" i="6" s="1"/>
  <c r="J69" i="6"/>
  <c r="J70" i="6" s="1"/>
  <c r="J11" i="13"/>
  <c r="F24" i="2"/>
  <c r="C50" i="8"/>
  <c r="L19" i="2"/>
  <c r="D19" i="11"/>
  <c r="E10" i="11"/>
  <c r="H83" i="5"/>
  <c r="G83" i="5"/>
  <c r="M24" i="6" l="1"/>
  <c r="L25" i="6"/>
  <c r="L26" i="6"/>
  <c r="L27" i="6"/>
  <c r="L28" i="6"/>
  <c r="L29" i="6"/>
  <c r="L33" i="6"/>
  <c r="L74" i="6" s="1"/>
  <c r="L69" i="6"/>
  <c r="L70" i="6" s="1"/>
  <c r="L11" i="13"/>
  <c r="K30" i="6"/>
  <c r="K32" i="6"/>
  <c r="K48" i="6"/>
  <c r="K59" i="6"/>
  <c r="G29" i="2" s="1"/>
  <c r="K73" i="6"/>
  <c r="K6" i="8"/>
  <c r="K8" i="8" s="1"/>
  <c r="C10" i="16"/>
  <c r="F10" i="16" s="1"/>
  <c r="G25" i="2"/>
  <c r="K15" i="13"/>
  <c r="K16" i="8"/>
  <c r="K57" i="6"/>
  <c r="K58" i="6" s="1"/>
  <c r="L51" i="6"/>
  <c r="R31" i="6"/>
  <c r="Q7" i="8"/>
  <c r="Q12" i="8" s="1"/>
  <c r="Q13" i="13"/>
  <c r="R63" i="6"/>
  <c r="Q64" i="6"/>
  <c r="Q65" i="6"/>
  <c r="O66" i="6"/>
  <c r="P66" i="6"/>
  <c r="P68" i="6"/>
  <c r="P77" i="6"/>
  <c r="P13" i="8"/>
  <c r="Q80" i="6"/>
  <c r="P81" i="6"/>
  <c r="P82" i="6" s="1"/>
  <c r="I12" i="13"/>
  <c r="E26" i="2"/>
  <c r="I35" i="6"/>
  <c r="I44" i="6"/>
  <c r="I60" i="6"/>
  <c r="C33" i="7" s="1"/>
  <c r="I10" i="8"/>
  <c r="I11" i="8"/>
  <c r="J58" i="6"/>
  <c r="J30" i="6"/>
  <c r="J32" i="6"/>
  <c r="J48" i="6"/>
  <c r="J59" i="6"/>
  <c r="F29" i="2" s="1"/>
  <c r="J73" i="6"/>
  <c r="J6" i="8"/>
  <c r="J8" i="8" s="1"/>
  <c r="C9" i="16"/>
  <c r="F9" i="16" s="1"/>
  <c r="F25" i="2"/>
  <c r="J15" i="13"/>
  <c r="J16" i="8"/>
  <c r="D44" i="12"/>
  <c r="D43" i="12"/>
  <c r="D46" i="12"/>
  <c r="K16" i="10"/>
  <c r="E22" i="10"/>
  <c r="E24" i="10" s="1"/>
  <c r="C22" i="10"/>
  <c r="C24" i="10" s="1"/>
  <c r="D22" i="10"/>
  <c r="D24" i="10" s="1"/>
  <c r="D54" i="13"/>
  <c r="D53" i="13"/>
  <c r="C56" i="13" s="1"/>
  <c r="D55" i="13"/>
  <c r="H10" i="11"/>
  <c r="H19" i="11" s="1"/>
  <c r="H26" i="11" s="1"/>
  <c r="H28" i="11" s="1"/>
  <c r="I10" i="11"/>
  <c r="I19" i="11" s="1"/>
  <c r="I26" i="11" s="1"/>
  <c r="I28" i="11" s="1"/>
  <c r="J10" i="11"/>
  <c r="J19" i="11" s="1"/>
  <c r="J26" i="11" s="1"/>
  <c r="J28" i="11" s="1"/>
  <c r="E19" i="11"/>
  <c r="G37" i="11" s="1"/>
  <c r="G10" i="11"/>
  <c r="G38" i="13"/>
  <c r="H38" i="13"/>
  <c r="N24" i="6" l="1"/>
  <c r="M25" i="6"/>
  <c r="M26" i="6"/>
  <c r="M27" i="6"/>
  <c r="M28" i="6"/>
  <c r="M29" i="6"/>
  <c r="M33" i="6"/>
  <c r="M74" i="6" s="1"/>
  <c r="M69" i="6"/>
  <c r="M70" i="6" s="1"/>
  <c r="M11" i="13"/>
  <c r="H24" i="2"/>
  <c r="L30" i="6"/>
  <c r="L12" i="13" s="1"/>
  <c r="L32" i="6"/>
  <c r="L73" i="6"/>
  <c r="L6" i="8"/>
  <c r="L8" i="8" s="1"/>
  <c r="L15" i="13"/>
  <c r="U421" i="14" s="1"/>
  <c r="L16" i="8"/>
  <c r="U31" i="14"/>
  <c r="U32" i="14"/>
  <c r="U33" i="14"/>
  <c r="U34" i="14"/>
  <c r="U35" i="14"/>
  <c r="U36" i="14"/>
  <c r="U37" i="14"/>
  <c r="U38" i="14"/>
  <c r="U39" i="14"/>
  <c r="U40" i="14"/>
  <c r="U41" i="14"/>
  <c r="U42" i="14"/>
  <c r="U43" i="14"/>
  <c r="U44" i="14"/>
  <c r="U45" i="14"/>
  <c r="U46" i="14"/>
  <c r="U47" i="14"/>
  <c r="U48" i="14"/>
  <c r="U49" i="14"/>
  <c r="U50" i="14"/>
  <c r="U51" i="14"/>
  <c r="U52" i="14"/>
  <c r="U53" i="14"/>
  <c r="U54" i="14"/>
  <c r="U55" i="14"/>
  <c r="U56" i="14"/>
  <c r="U57" i="14"/>
  <c r="U58" i="14"/>
  <c r="U59" i="14"/>
  <c r="U60" i="14"/>
  <c r="U61" i="14"/>
  <c r="U62" i="14"/>
  <c r="U63" i="14"/>
  <c r="U64" i="14"/>
  <c r="U65" i="14"/>
  <c r="U66" i="14"/>
  <c r="U67" i="14"/>
  <c r="U68" i="14"/>
  <c r="U69" i="14"/>
  <c r="U70" i="14"/>
  <c r="U71" i="14"/>
  <c r="U72" i="14"/>
  <c r="U73" i="14"/>
  <c r="U74" i="14"/>
  <c r="U75" i="14"/>
  <c r="U76" i="14"/>
  <c r="U77" i="14"/>
  <c r="U78" i="14"/>
  <c r="U79" i="14"/>
  <c r="U80" i="14"/>
  <c r="U81" i="14"/>
  <c r="U82" i="14"/>
  <c r="U83" i="14"/>
  <c r="U84" i="14"/>
  <c r="U85" i="14"/>
  <c r="U208" i="14"/>
  <c r="U249" i="14"/>
  <c r="U290" i="14"/>
  <c r="U93" i="14"/>
  <c r="U94" i="14"/>
  <c r="U97" i="14"/>
  <c r="U98" i="14"/>
  <c r="U103" i="14"/>
  <c r="U108" i="14"/>
  <c r="U126" i="14"/>
  <c r="U129" i="14"/>
  <c r="U133" i="14"/>
  <c r="U134" i="14"/>
  <c r="U135" i="14"/>
  <c r="U145" i="14"/>
  <c r="U147" i="14"/>
  <c r="U149" i="14"/>
  <c r="U159" i="14"/>
  <c r="U160" i="14"/>
  <c r="U161" i="14"/>
  <c r="U173" i="14"/>
  <c r="U176" i="14"/>
  <c r="U177" i="14"/>
  <c r="U178" i="14"/>
  <c r="U179" i="14"/>
  <c r="U186" i="14"/>
  <c r="U189" i="14"/>
  <c r="U196" i="14"/>
  <c r="U204" i="14"/>
  <c r="U209" i="14"/>
  <c r="U211" i="14"/>
  <c r="U215" i="14"/>
  <c r="U220" i="14"/>
  <c r="U224" i="14"/>
  <c r="U228" i="14"/>
  <c r="U229" i="14"/>
  <c r="U231" i="14"/>
  <c r="U232" i="14"/>
  <c r="U236" i="14"/>
  <c r="U237" i="14"/>
  <c r="U245" i="14"/>
  <c r="U246" i="14"/>
  <c r="U247" i="14"/>
  <c r="U248" i="14"/>
  <c r="U250" i="14"/>
  <c r="U251" i="14"/>
  <c r="U252" i="14"/>
  <c r="U253" i="14"/>
  <c r="U257" i="14"/>
  <c r="U258" i="14"/>
  <c r="U259" i="14"/>
  <c r="U260" i="14"/>
  <c r="U261" i="14"/>
  <c r="U262" i="14"/>
  <c r="U423" i="14"/>
  <c r="U424" i="14"/>
  <c r="U426" i="14"/>
  <c r="U427" i="14"/>
  <c r="U428" i="14"/>
  <c r="U430" i="14"/>
  <c r="U431" i="14"/>
  <c r="U432" i="14"/>
  <c r="U434" i="14"/>
  <c r="U436" i="14"/>
  <c r="U439" i="14"/>
  <c r="U86" i="14"/>
  <c r="U87" i="14"/>
  <c r="U110" i="14"/>
  <c r="U116" i="14"/>
  <c r="U117" i="14"/>
  <c r="U118" i="14"/>
  <c r="U119" i="14"/>
  <c r="U120" i="14"/>
  <c r="U125" i="14"/>
  <c r="U128" i="14"/>
  <c r="U131" i="14"/>
  <c r="U139" i="14"/>
  <c r="U146" i="14"/>
  <c r="U158" i="14"/>
  <c r="U162" i="14"/>
  <c r="U164" i="14"/>
  <c r="U165" i="14"/>
  <c r="U167" i="14"/>
  <c r="U170" i="14"/>
  <c r="U192" i="14"/>
  <c r="U193" i="14"/>
  <c r="U88" i="14"/>
  <c r="U89" i="14"/>
  <c r="U90" i="14"/>
  <c r="U100" i="14"/>
  <c r="U101" i="14"/>
  <c r="U130" i="14"/>
  <c r="U132" i="14"/>
  <c r="U140" i="14"/>
  <c r="U144" i="14"/>
  <c r="U148" i="14"/>
  <c r="U153" i="14"/>
  <c r="U155" i="14"/>
  <c r="U156" i="14"/>
  <c r="U163" i="14"/>
  <c r="U166" i="14"/>
  <c r="U168" i="14"/>
  <c r="U169" i="14"/>
  <c r="U171" i="14"/>
  <c r="U174" i="14"/>
  <c r="U175" i="14"/>
  <c r="U191" i="14"/>
  <c r="U194" i="14"/>
  <c r="L6" i="13"/>
  <c r="L7" i="13"/>
  <c r="L8" i="13"/>
  <c r="K12" i="13"/>
  <c r="G26" i="2"/>
  <c r="K35" i="6"/>
  <c r="K44" i="6"/>
  <c r="K60" i="6"/>
  <c r="K10" i="8"/>
  <c r="K11" i="8"/>
  <c r="C71" i="8" s="1"/>
  <c r="L53" i="6"/>
  <c r="L54" i="6"/>
  <c r="L55" i="6" s="1"/>
  <c r="L34" i="6" s="1"/>
  <c r="R7" i="8"/>
  <c r="R12" i="8" s="1"/>
  <c r="R13" i="13"/>
  <c r="R64" i="6"/>
  <c r="R65" i="6"/>
  <c r="Q77" i="6"/>
  <c r="Q13" i="8"/>
  <c r="O68" i="6"/>
  <c r="O52" i="6"/>
  <c r="O14" i="8"/>
  <c r="P14" i="8"/>
  <c r="P52" i="6"/>
  <c r="R80" i="6"/>
  <c r="R81" i="6" s="1"/>
  <c r="R82" i="6" s="1"/>
  <c r="Q81" i="6"/>
  <c r="Q82" i="6" s="1"/>
  <c r="R170" i="14"/>
  <c r="R142" i="14"/>
  <c r="R109" i="14"/>
  <c r="R89" i="14"/>
  <c r="R85" i="14"/>
  <c r="R80" i="14"/>
  <c r="R73" i="14"/>
  <c r="R68" i="14"/>
  <c r="R62" i="14"/>
  <c r="R57" i="14"/>
  <c r="R52" i="14"/>
  <c r="R48" i="14"/>
  <c r="R45" i="14"/>
  <c r="R42" i="14"/>
  <c r="R38" i="14"/>
  <c r="R34" i="14"/>
  <c r="I8" i="13"/>
  <c r="I7" i="13"/>
  <c r="I6" i="13"/>
  <c r="R193" i="14"/>
  <c r="R192" i="14"/>
  <c r="R191" i="14"/>
  <c r="R176" i="14"/>
  <c r="R168" i="14"/>
  <c r="R163" i="14"/>
  <c r="R160" i="14"/>
  <c r="R157" i="14"/>
  <c r="R152" i="14"/>
  <c r="R150" i="14"/>
  <c r="R141" i="14"/>
  <c r="R138" i="14"/>
  <c r="R136" i="14"/>
  <c r="R133" i="14"/>
  <c r="R129" i="14"/>
  <c r="R126" i="14"/>
  <c r="R121" i="14"/>
  <c r="R114" i="14"/>
  <c r="R105" i="14"/>
  <c r="R100" i="14"/>
  <c r="R95" i="14"/>
  <c r="R93" i="14"/>
  <c r="R92" i="14"/>
  <c r="R86" i="14"/>
  <c r="R194" i="14"/>
  <c r="R173" i="14"/>
  <c r="R172" i="14"/>
  <c r="R171" i="14"/>
  <c r="R162" i="14"/>
  <c r="R155" i="14"/>
  <c r="R151" i="14"/>
  <c r="R148" i="14"/>
  <c r="R145" i="14"/>
  <c r="R139" i="14"/>
  <c r="R134" i="14"/>
  <c r="R130" i="14"/>
  <c r="R124" i="14"/>
  <c r="R123" i="14"/>
  <c r="R119" i="14"/>
  <c r="R115" i="14"/>
  <c r="R112" i="14"/>
  <c r="R111" i="14"/>
  <c r="R91" i="14"/>
  <c r="R88" i="14"/>
  <c r="R439" i="14"/>
  <c r="R438" i="14"/>
  <c r="R435" i="14"/>
  <c r="R433" i="14"/>
  <c r="R432" i="14"/>
  <c r="R431" i="14"/>
  <c r="R430" i="14"/>
  <c r="R429" i="14"/>
  <c r="R426" i="14"/>
  <c r="R424" i="14"/>
  <c r="R423" i="14"/>
  <c r="R420" i="14"/>
  <c r="R416" i="14"/>
  <c r="R179" i="14"/>
  <c r="R154" i="14"/>
  <c r="R113" i="14"/>
  <c r="R96" i="14"/>
  <c r="R249" i="14"/>
  <c r="R83" i="14"/>
  <c r="R78" i="14"/>
  <c r="R74" i="14"/>
  <c r="R70" i="14"/>
  <c r="R66" i="14"/>
  <c r="R61" i="14"/>
  <c r="R56" i="14"/>
  <c r="R415" i="14"/>
  <c r="R218" i="14"/>
  <c r="R188" i="14"/>
  <c r="R182" i="14"/>
  <c r="R144" i="14"/>
  <c r="R127" i="14"/>
  <c r="R108" i="14"/>
  <c r="R99" i="14"/>
  <c r="R498" i="14"/>
  <c r="R488" i="14"/>
  <c r="R484" i="14"/>
  <c r="R480" i="14"/>
  <c r="R463" i="14"/>
  <c r="R459" i="14"/>
  <c r="R442" i="14"/>
  <c r="R440" i="14"/>
  <c r="R419" i="14"/>
  <c r="R531" i="14"/>
  <c r="R526" i="14"/>
  <c r="R522" i="14"/>
  <c r="R519" i="14"/>
  <c r="R514" i="14"/>
  <c r="R510" i="14"/>
  <c r="R506" i="14"/>
  <c r="R502" i="14"/>
  <c r="R495" i="14"/>
  <c r="R476" i="14"/>
  <c r="R468" i="14"/>
  <c r="R462" i="14"/>
  <c r="R454" i="14"/>
  <c r="R446" i="14"/>
  <c r="R436" i="14"/>
  <c r="R243" i="14"/>
  <c r="R222" i="14"/>
  <c r="R210" i="14"/>
  <c r="R156" i="14"/>
  <c r="R94" i="14"/>
  <c r="R412" i="14"/>
  <c r="R410" i="14"/>
  <c r="R406" i="14"/>
  <c r="R403" i="14"/>
  <c r="R399" i="14"/>
  <c r="R395" i="14"/>
  <c r="R392" i="14"/>
  <c r="R388" i="14"/>
  <c r="R385" i="14"/>
  <c r="R381" i="14"/>
  <c r="R378" i="14"/>
  <c r="R374" i="14"/>
  <c r="R322" i="14"/>
  <c r="R316" i="14"/>
  <c r="R304" i="14"/>
  <c r="R297" i="14"/>
  <c r="R291" i="14"/>
  <c r="R281" i="14"/>
  <c r="R275" i="14"/>
  <c r="R269" i="14"/>
  <c r="R253" i="14"/>
  <c r="R242" i="14"/>
  <c r="R224" i="14"/>
  <c r="R223" i="14"/>
  <c r="R219" i="14"/>
  <c r="R216" i="14"/>
  <c r="R206" i="14"/>
  <c r="R204" i="14"/>
  <c r="R202" i="14"/>
  <c r="R200" i="14"/>
  <c r="R199" i="14"/>
  <c r="R196" i="14"/>
  <c r="R190" i="14"/>
  <c r="R187" i="14"/>
  <c r="R185" i="14"/>
  <c r="R183" i="14"/>
  <c r="R178" i="14"/>
  <c r="R177" i="14"/>
  <c r="R175" i="14"/>
  <c r="R174" i="14"/>
  <c r="R167" i="14"/>
  <c r="R165" i="14"/>
  <c r="R164" i="14"/>
  <c r="R159" i="14"/>
  <c r="R143" i="14"/>
  <c r="R140" i="14"/>
  <c r="R128" i="14"/>
  <c r="R117" i="14"/>
  <c r="R116" i="14"/>
  <c r="R106" i="14"/>
  <c r="R90" i="14"/>
  <c r="R371" i="14"/>
  <c r="R370" i="14"/>
  <c r="R369" i="14"/>
  <c r="R368" i="14"/>
  <c r="R367" i="14"/>
  <c r="R366" i="14"/>
  <c r="R365" i="14"/>
  <c r="R364" i="14"/>
  <c r="R363" i="14"/>
  <c r="R362" i="14"/>
  <c r="R161" i="14"/>
  <c r="R132" i="14"/>
  <c r="R103" i="14"/>
  <c r="R290" i="14"/>
  <c r="R81" i="14"/>
  <c r="R76" i="14"/>
  <c r="R71" i="14"/>
  <c r="R65" i="14"/>
  <c r="R59" i="14"/>
  <c r="R54" i="14"/>
  <c r="R51" i="14"/>
  <c r="R46" i="14"/>
  <c r="R41" i="14"/>
  <c r="R37" i="14"/>
  <c r="R31" i="14"/>
  <c r="R227" i="14"/>
  <c r="R184" i="14"/>
  <c r="R147" i="14"/>
  <c r="R131" i="14"/>
  <c r="R110" i="14"/>
  <c r="R101" i="14"/>
  <c r="R500" i="14"/>
  <c r="R486" i="14"/>
  <c r="R482" i="14"/>
  <c r="R475" i="14"/>
  <c r="R471" i="14"/>
  <c r="R464" i="14"/>
  <c r="R451" i="14"/>
  <c r="R444" i="14"/>
  <c r="R422" i="14"/>
  <c r="R417" i="14"/>
  <c r="R528" i="14"/>
  <c r="R524" i="14"/>
  <c r="R520" i="14"/>
  <c r="R513" i="14"/>
  <c r="R509" i="14"/>
  <c r="R505" i="14"/>
  <c r="R499" i="14"/>
  <c r="R493" i="14"/>
  <c r="R474" i="14"/>
  <c r="R458" i="14"/>
  <c r="R449" i="14"/>
  <c r="R437" i="14"/>
  <c r="R427" i="14"/>
  <c r="R213" i="14"/>
  <c r="R203" i="14"/>
  <c r="R97" i="14"/>
  <c r="R411" i="14"/>
  <c r="R407" i="14"/>
  <c r="R401" i="14"/>
  <c r="R397" i="14"/>
  <c r="R393" i="14"/>
  <c r="R389" i="14"/>
  <c r="R384" i="14"/>
  <c r="R379" i="14"/>
  <c r="R375" i="14"/>
  <c r="R327" i="14"/>
  <c r="R305" i="14"/>
  <c r="R299" i="14"/>
  <c r="R292" i="14"/>
  <c r="R284" i="14"/>
  <c r="R274" i="14"/>
  <c r="R263" i="14"/>
  <c r="R251" i="14"/>
  <c r="R239" i="14"/>
  <c r="R360" i="14"/>
  <c r="R357" i="14"/>
  <c r="R354" i="14"/>
  <c r="R350" i="14"/>
  <c r="R347" i="14"/>
  <c r="R345" i="14"/>
  <c r="R343" i="14"/>
  <c r="R342" i="14"/>
  <c r="R341" i="14"/>
  <c r="R340" i="14"/>
  <c r="R339" i="14"/>
  <c r="R338" i="14"/>
  <c r="R337" i="14"/>
  <c r="R336" i="14"/>
  <c r="R335" i="14"/>
  <c r="R334" i="14"/>
  <c r="R333" i="14"/>
  <c r="R332" i="14"/>
  <c r="R330" i="14"/>
  <c r="R329" i="14"/>
  <c r="R328" i="14"/>
  <c r="R158" i="14"/>
  <c r="R120" i="14"/>
  <c r="R104" i="14"/>
  <c r="R331" i="14"/>
  <c r="R84" i="14"/>
  <c r="R79" i="14"/>
  <c r="R75" i="14"/>
  <c r="R69" i="14"/>
  <c r="R64" i="14"/>
  <c r="R60" i="14"/>
  <c r="R55" i="14"/>
  <c r="R50" i="14"/>
  <c r="R47" i="14"/>
  <c r="R43" i="14"/>
  <c r="R39" i="14"/>
  <c r="R36" i="14"/>
  <c r="R33" i="14"/>
  <c r="R238" i="14"/>
  <c r="R207" i="14"/>
  <c r="R198" i="14"/>
  <c r="R180" i="14"/>
  <c r="R137" i="14"/>
  <c r="R122" i="14"/>
  <c r="R107" i="14"/>
  <c r="R87" i="14"/>
  <c r="R491" i="14"/>
  <c r="R489" i="14"/>
  <c r="R485" i="14"/>
  <c r="R481" i="14"/>
  <c r="R477" i="14"/>
  <c r="R472" i="14"/>
  <c r="R469" i="14"/>
  <c r="R461" i="14"/>
  <c r="R457" i="14"/>
  <c r="R448" i="14"/>
  <c r="R441" i="14"/>
  <c r="R421" i="14"/>
  <c r="R413" i="14"/>
  <c r="R529" i="14"/>
  <c r="R525" i="14"/>
  <c r="R521" i="14"/>
  <c r="R518" i="14"/>
  <c r="R516" i="14"/>
  <c r="R512" i="14"/>
  <c r="R508" i="14"/>
  <c r="R504" i="14"/>
  <c r="R497" i="14"/>
  <c r="R478" i="14"/>
  <c r="R466" i="14"/>
  <c r="R456" i="14"/>
  <c r="R452" i="14"/>
  <c r="R445" i="14"/>
  <c r="R428" i="14"/>
  <c r="R230" i="14"/>
  <c r="R211" i="14"/>
  <c r="R153" i="14"/>
  <c r="R453" i="14"/>
  <c r="R408" i="14"/>
  <c r="R404" i="14"/>
  <c r="R400" i="14"/>
  <c r="R396" i="14"/>
  <c r="R390" i="14"/>
  <c r="R386" i="14"/>
  <c r="R382" i="14"/>
  <c r="R377" i="14"/>
  <c r="R373" i="14"/>
  <c r="R321" i="14"/>
  <c r="R307" i="14"/>
  <c r="R301" i="14"/>
  <c r="R295" i="14"/>
  <c r="R286" i="14"/>
  <c r="R276" i="14"/>
  <c r="R273" i="14"/>
  <c r="R257" i="14"/>
  <c r="R250" i="14"/>
  <c r="R234" i="14"/>
  <c r="R359" i="14"/>
  <c r="R356" i="14"/>
  <c r="R353" i="14"/>
  <c r="R351" i="14"/>
  <c r="R348" i="14"/>
  <c r="R346" i="14"/>
  <c r="R344" i="14"/>
  <c r="R326" i="14"/>
  <c r="R325" i="14"/>
  <c r="R324" i="14"/>
  <c r="R323" i="14"/>
  <c r="R320" i="14"/>
  <c r="R319" i="14"/>
  <c r="R318" i="14"/>
  <c r="R315" i="14"/>
  <c r="R314" i="14"/>
  <c r="R313" i="14"/>
  <c r="R312" i="14"/>
  <c r="R311" i="14"/>
  <c r="R310" i="14"/>
  <c r="R309" i="14"/>
  <c r="R308" i="14"/>
  <c r="R303" i="14"/>
  <c r="R302" i="14"/>
  <c r="R298" i="14"/>
  <c r="R294" i="14"/>
  <c r="R293" i="14"/>
  <c r="R288" i="14"/>
  <c r="R287" i="14"/>
  <c r="R285" i="14"/>
  <c r="R283" i="14"/>
  <c r="R282" i="14"/>
  <c r="R280" i="14"/>
  <c r="R279" i="14"/>
  <c r="R277" i="14"/>
  <c r="R271" i="14"/>
  <c r="R270" i="14"/>
  <c r="R268" i="14"/>
  <c r="R267" i="14"/>
  <c r="R265" i="14"/>
  <c r="R264" i="14"/>
  <c r="R166" i="14"/>
  <c r="R149" i="14"/>
  <c r="R118" i="14"/>
  <c r="R98" i="14"/>
  <c r="R208" i="14"/>
  <c r="R82" i="14"/>
  <c r="R77" i="14"/>
  <c r="R72" i="14"/>
  <c r="R67" i="14"/>
  <c r="R63" i="14"/>
  <c r="R58" i="14"/>
  <c r="R53" i="14"/>
  <c r="R49" i="14"/>
  <c r="R44" i="14"/>
  <c r="R40" i="14"/>
  <c r="R35" i="14"/>
  <c r="R32" i="14"/>
  <c r="R414" i="14"/>
  <c r="R201" i="14"/>
  <c r="R186" i="14"/>
  <c r="R169" i="14"/>
  <c r="R135" i="14"/>
  <c r="R125" i="14"/>
  <c r="R102" i="14"/>
  <c r="R501" i="14"/>
  <c r="R490" i="14"/>
  <c r="R487" i="14"/>
  <c r="R483" i="14"/>
  <c r="R479" i="14"/>
  <c r="R473" i="14"/>
  <c r="R467" i="14"/>
  <c r="R460" i="14"/>
  <c r="R450" i="14"/>
  <c r="R443" i="14"/>
  <c r="R425" i="14"/>
  <c r="R418" i="14"/>
  <c r="R530" i="14"/>
  <c r="R527" i="14"/>
  <c r="R523" i="14"/>
  <c r="R517" i="14"/>
  <c r="R515" i="14"/>
  <c r="R511" i="14"/>
  <c r="R507" i="14"/>
  <c r="R503" i="14"/>
  <c r="R496" i="14"/>
  <c r="R492" i="14"/>
  <c r="R470" i="14"/>
  <c r="R465" i="14"/>
  <c r="R455" i="14"/>
  <c r="R447" i="14"/>
  <c r="R434" i="14"/>
  <c r="R232" i="14"/>
  <c r="R220" i="14"/>
  <c r="R205" i="14"/>
  <c r="R146" i="14"/>
  <c r="R494" i="14"/>
  <c r="R409" i="14"/>
  <c r="R405" i="14"/>
  <c r="R402" i="14"/>
  <c r="R398" i="14"/>
  <c r="R394" i="14"/>
  <c r="R391" i="14"/>
  <c r="R387" i="14"/>
  <c r="R383" i="14"/>
  <c r="R380" i="14"/>
  <c r="R376" i="14"/>
  <c r="R372" i="14"/>
  <c r="R317" i="14"/>
  <c r="R306" i="14"/>
  <c r="R300" i="14"/>
  <c r="R296" i="14"/>
  <c r="R289" i="14"/>
  <c r="R278" i="14"/>
  <c r="R272" i="14"/>
  <c r="R266" i="14"/>
  <c r="R252" i="14"/>
  <c r="R241" i="14"/>
  <c r="R361" i="14"/>
  <c r="R358" i="14"/>
  <c r="R355" i="14"/>
  <c r="R352" i="14"/>
  <c r="R349" i="14"/>
  <c r="R262" i="14"/>
  <c r="R261" i="14"/>
  <c r="R260" i="14"/>
  <c r="R259" i="14"/>
  <c r="R258" i="14"/>
  <c r="R256" i="14"/>
  <c r="R255" i="14"/>
  <c r="R254" i="14"/>
  <c r="R248" i="14"/>
  <c r="R247" i="14"/>
  <c r="R246" i="14"/>
  <c r="R245" i="14"/>
  <c r="R244" i="14"/>
  <c r="R240" i="14"/>
  <c r="R237" i="14"/>
  <c r="R236" i="14"/>
  <c r="R235" i="14"/>
  <c r="R233" i="14"/>
  <c r="R231" i="14"/>
  <c r="R229" i="14"/>
  <c r="R228" i="14"/>
  <c r="R226" i="14"/>
  <c r="R225" i="14"/>
  <c r="R221" i="14"/>
  <c r="R217" i="14"/>
  <c r="R215" i="14"/>
  <c r="R214" i="14"/>
  <c r="R212" i="14"/>
  <c r="R209" i="14"/>
  <c r="R197" i="14"/>
  <c r="R195" i="14"/>
  <c r="R189" i="14"/>
  <c r="R181" i="14"/>
  <c r="I36" i="6"/>
  <c r="I76" i="6" s="1"/>
  <c r="I78" i="6" s="1"/>
  <c r="I79" i="6" s="1"/>
  <c r="I37" i="6"/>
  <c r="I40" i="6" s="1"/>
  <c r="I46" i="6"/>
  <c r="C11" i="16"/>
  <c r="F11" i="16" s="1"/>
  <c r="C34" i="7"/>
  <c r="C35" i="7"/>
  <c r="C36" i="7" s="1"/>
  <c r="I17" i="8"/>
  <c r="C68" i="8"/>
  <c r="I15" i="12"/>
  <c r="I16" i="12"/>
  <c r="I18" i="12" s="1"/>
  <c r="J17" i="12" s="1"/>
  <c r="J12" i="13"/>
  <c r="F26" i="2"/>
  <c r="J35" i="6"/>
  <c r="J44" i="6"/>
  <c r="J46" i="6" s="1"/>
  <c r="J60" i="6"/>
  <c r="J10" i="8"/>
  <c r="J11" i="8"/>
  <c r="C27" i="16"/>
  <c r="L16" i="10"/>
  <c r="L17" i="10" s="1"/>
  <c r="C38" i="2"/>
  <c r="E38" i="2"/>
  <c r="D38" i="2" s="1"/>
  <c r="D25" i="10"/>
  <c r="C9" i="2"/>
  <c r="F38" i="2"/>
  <c r="H29" i="11"/>
  <c r="H32" i="11"/>
  <c r="H33" i="11" s="1"/>
  <c r="I29" i="11"/>
  <c r="I32" i="11"/>
  <c r="I33" i="11" s="1"/>
  <c r="J29" i="11"/>
  <c r="J32" i="11"/>
  <c r="J33" i="11" s="1"/>
  <c r="G39" i="11"/>
  <c r="G19" i="11"/>
  <c r="G26" i="11" s="1"/>
  <c r="G28" i="11" s="1"/>
  <c r="G39" i="13"/>
  <c r="O24" i="6" l="1"/>
  <c r="N25" i="6"/>
  <c r="N26" i="6"/>
  <c r="N27" i="6"/>
  <c r="N28" i="6"/>
  <c r="N29" i="6"/>
  <c r="N33" i="6"/>
  <c r="N74" i="6" s="1"/>
  <c r="N69" i="6"/>
  <c r="N70" i="6" s="1"/>
  <c r="N11" i="13"/>
  <c r="M30" i="6"/>
  <c r="M32" i="6"/>
  <c r="M73" i="6"/>
  <c r="M6" i="8"/>
  <c r="M8" i="8" s="1"/>
  <c r="H25" i="2"/>
  <c r="M15" i="13"/>
  <c r="M16" i="8"/>
  <c r="L35" i="6"/>
  <c r="L60" i="6"/>
  <c r="L10" i="8"/>
  <c r="L11" i="8" s="1"/>
  <c r="K6" i="13"/>
  <c r="T172" i="14"/>
  <c r="T165" i="14"/>
  <c r="T162" i="14"/>
  <c r="T149" i="14"/>
  <c r="T145" i="14"/>
  <c r="T143" i="14"/>
  <c r="T127" i="14"/>
  <c r="T106" i="14"/>
  <c r="T103" i="14"/>
  <c r="T99" i="14"/>
  <c r="T196" i="14"/>
  <c r="T191" i="14"/>
  <c r="T169" i="14"/>
  <c r="T160" i="14"/>
  <c r="T141" i="14"/>
  <c r="T133" i="14"/>
  <c r="T109" i="14"/>
  <c r="T96" i="14"/>
  <c r="T90" i="14"/>
  <c r="T439" i="14"/>
  <c r="T435" i="14"/>
  <c r="T432" i="14"/>
  <c r="T431" i="14"/>
  <c r="T429" i="14"/>
  <c r="T425" i="14"/>
  <c r="T420" i="14"/>
  <c r="T416" i="14"/>
  <c r="T415" i="14"/>
  <c r="T414" i="14"/>
  <c r="T241" i="14"/>
  <c r="T236" i="14"/>
  <c r="T234" i="14"/>
  <c r="T233" i="14"/>
  <c r="T232" i="14"/>
  <c r="T228" i="14"/>
  <c r="T225" i="14"/>
  <c r="T222" i="14"/>
  <c r="T221" i="14"/>
  <c r="T220" i="14"/>
  <c r="T209" i="14"/>
  <c r="T205" i="14"/>
  <c r="T202" i="14"/>
  <c r="T200" i="14"/>
  <c r="T193" i="14"/>
  <c r="T192" i="14"/>
  <c r="T190" i="14"/>
  <c r="T187" i="14"/>
  <c r="T174" i="14"/>
  <c r="T173" i="14"/>
  <c r="T171" i="14"/>
  <c r="T170" i="14"/>
  <c r="T136" i="14"/>
  <c r="T123" i="14"/>
  <c r="T120" i="14"/>
  <c r="T119" i="14"/>
  <c r="T118" i="14"/>
  <c r="T105" i="14"/>
  <c r="T97" i="14"/>
  <c r="T95" i="14"/>
  <c r="T88" i="14"/>
  <c r="T501" i="14"/>
  <c r="T500" i="14"/>
  <c r="T498" i="14"/>
  <c r="T491" i="14"/>
  <c r="T490" i="14"/>
  <c r="T489" i="14"/>
  <c r="T488" i="14"/>
  <c r="T487" i="14"/>
  <c r="T486" i="14"/>
  <c r="T485" i="14"/>
  <c r="T484" i="14"/>
  <c r="T483" i="14"/>
  <c r="T482" i="14"/>
  <c r="T481" i="14"/>
  <c r="T480" i="14"/>
  <c r="T479" i="14"/>
  <c r="T477" i="14"/>
  <c r="T473" i="14"/>
  <c r="T472" i="14"/>
  <c r="T471" i="14"/>
  <c r="T469" i="14"/>
  <c r="T467" i="14"/>
  <c r="T464" i="14"/>
  <c r="T461" i="14"/>
  <c r="T460" i="14"/>
  <c r="T459" i="14"/>
  <c r="T457" i="14"/>
  <c r="T451" i="14"/>
  <c r="T450" i="14"/>
  <c r="T444" i="14"/>
  <c r="T443" i="14"/>
  <c r="T442" i="14"/>
  <c r="T441" i="14"/>
  <c r="T440" i="14"/>
  <c r="T424" i="14"/>
  <c r="T423" i="14"/>
  <c r="T422" i="14"/>
  <c r="T421" i="14"/>
  <c r="T419" i="14"/>
  <c r="T418" i="14"/>
  <c r="T417" i="14"/>
  <c r="T413" i="14"/>
  <c r="T531" i="14"/>
  <c r="T530" i="14"/>
  <c r="T529" i="14"/>
  <c r="T528" i="14"/>
  <c r="T527" i="14"/>
  <c r="T526" i="14"/>
  <c r="T525" i="14"/>
  <c r="T524" i="14"/>
  <c r="T523" i="14"/>
  <c r="T522" i="14"/>
  <c r="T521" i="14"/>
  <c r="T520" i="14"/>
  <c r="T519" i="14"/>
  <c r="T518" i="14"/>
  <c r="T517" i="14"/>
  <c r="T516" i="14"/>
  <c r="T515" i="14"/>
  <c r="T514" i="14"/>
  <c r="T513" i="14"/>
  <c r="T512" i="14"/>
  <c r="T511" i="14"/>
  <c r="T510" i="14"/>
  <c r="T509" i="14"/>
  <c r="T508" i="14"/>
  <c r="T506" i="14"/>
  <c r="T505" i="14"/>
  <c r="T504" i="14"/>
  <c r="T503" i="14"/>
  <c r="T502" i="14"/>
  <c r="T499" i="14"/>
  <c r="T497" i="14"/>
  <c r="T496" i="14"/>
  <c r="T507" i="14"/>
  <c r="T495" i="14"/>
  <c r="T493" i="14"/>
  <c r="T492" i="14"/>
  <c r="T478" i="14"/>
  <c r="T476" i="14"/>
  <c r="T475" i="14"/>
  <c r="T474" i="14"/>
  <c r="T470" i="14"/>
  <c r="T468" i="14"/>
  <c r="T466" i="14"/>
  <c r="T465" i="14"/>
  <c r="T463" i="14"/>
  <c r="T462" i="14"/>
  <c r="T458" i="14"/>
  <c r="T456" i="14"/>
  <c r="T455" i="14"/>
  <c r="T454" i="14"/>
  <c r="T452" i="14"/>
  <c r="T449" i="14"/>
  <c r="T448" i="14"/>
  <c r="T447" i="14"/>
  <c r="T446" i="14"/>
  <c r="T445" i="14"/>
  <c r="T437" i="14"/>
  <c r="K8" i="13"/>
  <c r="K7" i="13"/>
  <c r="T178" i="14"/>
  <c r="T164" i="14"/>
  <c r="T161" i="14"/>
  <c r="T158" i="14"/>
  <c r="T147" i="14"/>
  <c r="T135" i="14"/>
  <c r="T128" i="14"/>
  <c r="T116" i="14"/>
  <c r="T104" i="14"/>
  <c r="T102" i="14"/>
  <c r="T87" i="14"/>
  <c r="T195" i="14"/>
  <c r="T177" i="14"/>
  <c r="T168" i="14"/>
  <c r="T159" i="14"/>
  <c r="T140" i="14"/>
  <c r="T121" i="14"/>
  <c r="T107" i="14"/>
  <c r="T93" i="14"/>
  <c r="T89" i="14"/>
  <c r="T438" i="14"/>
  <c r="T433" i="14"/>
  <c r="T436" i="14"/>
  <c r="T434" i="14"/>
  <c r="T430" i="14"/>
  <c r="T428" i="14"/>
  <c r="T427" i="14"/>
  <c r="T426" i="14"/>
  <c r="T244" i="14"/>
  <c r="T242" i="14"/>
  <c r="T231" i="14"/>
  <c r="T229" i="14"/>
  <c r="T226" i="14"/>
  <c r="T224" i="14"/>
  <c r="T219" i="14"/>
  <c r="T206" i="14"/>
  <c r="T204" i="14"/>
  <c r="T183" i="14"/>
  <c r="T182" i="14"/>
  <c r="T157" i="14"/>
  <c r="T144" i="14"/>
  <c r="T100" i="14"/>
  <c r="T98" i="14"/>
  <c r="T494" i="14"/>
  <c r="T453" i="14"/>
  <c r="T412" i="14"/>
  <c r="T411" i="14"/>
  <c r="T410" i="14"/>
  <c r="T409" i="14"/>
  <c r="T408" i="14"/>
  <c r="T407" i="14"/>
  <c r="T406" i="14"/>
  <c r="T405" i="14"/>
  <c r="T404" i="14"/>
  <c r="T403" i="14"/>
  <c r="T402" i="14"/>
  <c r="T401" i="14"/>
  <c r="T400" i="14"/>
  <c r="T399" i="14"/>
  <c r="T398" i="14"/>
  <c r="T397" i="14"/>
  <c r="T396" i="14"/>
  <c r="T395" i="14"/>
  <c r="T394" i="14"/>
  <c r="T393" i="14"/>
  <c r="T392" i="14"/>
  <c r="T391" i="14"/>
  <c r="T390" i="14"/>
  <c r="T389" i="14"/>
  <c r="T388" i="14"/>
  <c r="T387" i="14"/>
  <c r="T386" i="14"/>
  <c r="T385" i="14"/>
  <c r="T384" i="14"/>
  <c r="T383" i="14"/>
  <c r="T382" i="14"/>
  <c r="T381" i="14"/>
  <c r="T380" i="14"/>
  <c r="T379" i="14"/>
  <c r="T378" i="14"/>
  <c r="T377" i="14"/>
  <c r="T376" i="14"/>
  <c r="T375" i="14"/>
  <c r="T374" i="14"/>
  <c r="T373" i="14"/>
  <c r="T372" i="14"/>
  <c r="T327" i="14"/>
  <c r="T324" i="14"/>
  <c r="T323" i="14"/>
  <c r="T322" i="14"/>
  <c r="T321" i="14"/>
  <c r="T317" i="14"/>
  <c r="T316" i="14"/>
  <c r="T308" i="14"/>
  <c r="T307" i="14"/>
  <c r="T305" i="14"/>
  <c r="T304" i="14"/>
  <c r="T303" i="14"/>
  <c r="T301" i="14"/>
  <c r="T300" i="14"/>
  <c r="T297" i="14"/>
  <c r="T295" i="14"/>
  <c r="T292" i="14"/>
  <c r="T291" i="14"/>
  <c r="T289" i="14"/>
  <c r="T286" i="14"/>
  <c r="T284" i="14"/>
  <c r="T282" i="14"/>
  <c r="T281" i="14"/>
  <c r="T280" i="14"/>
  <c r="T278" i="14"/>
  <c r="T276" i="14"/>
  <c r="T275" i="14"/>
  <c r="T274" i="14"/>
  <c r="T273" i="14"/>
  <c r="T272" i="14"/>
  <c r="T269" i="14"/>
  <c r="T266" i="14"/>
  <c r="T264" i="14"/>
  <c r="T263" i="14"/>
  <c r="T257" i="14"/>
  <c r="T253" i="14"/>
  <c r="T252" i="14"/>
  <c r="T251" i="14"/>
  <c r="T250" i="14"/>
  <c r="T246" i="14"/>
  <c r="T245" i="14"/>
  <c r="T240" i="14"/>
  <c r="T239" i="14"/>
  <c r="T237" i="14"/>
  <c r="T230" i="14"/>
  <c r="T217" i="14"/>
  <c r="T215" i="14"/>
  <c r="T214" i="14"/>
  <c r="T212" i="14"/>
  <c r="T211" i="14"/>
  <c r="T210" i="14"/>
  <c r="T201" i="14"/>
  <c r="T198" i="14"/>
  <c r="T197" i="14"/>
  <c r="T189" i="14"/>
  <c r="T186" i="14"/>
  <c r="T181" i="14"/>
  <c r="T180" i="14"/>
  <c r="T179" i="14"/>
  <c r="T176" i="14"/>
  <c r="T166" i="14"/>
  <c r="T163" i="14"/>
  <c r="T156" i="14"/>
  <c r="T155" i="14"/>
  <c r="T154" i="14"/>
  <c r="T153" i="14"/>
  <c r="T150" i="14"/>
  <c r="T148" i="14"/>
  <c r="T142" i="14"/>
  <c r="T139" i="14"/>
  <c r="T138" i="14"/>
  <c r="T137" i="14"/>
  <c r="T134" i="14"/>
  <c r="T132" i="14"/>
  <c r="T130" i="14"/>
  <c r="T129" i="14"/>
  <c r="T126" i="14"/>
  <c r="T125" i="14"/>
  <c r="T115" i="14"/>
  <c r="T113" i="14"/>
  <c r="T108" i="14"/>
  <c r="T94" i="14"/>
  <c r="T86" i="14"/>
  <c r="T371" i="14"/>
  <c r="T370" i="14"/>
  <c r="T369" i="14"/>
  <c r="T368" i="14"/>
  <c r="T367" i="14"/>
  <c r="T366" i="14"/>
  <c r="T365" i="14"/>
  <c r="T364" i="14"/>
  <c r="T363" i="14"/>
  <c r="T362" i="14"/>
  <c r="T361" i="14"/>
  <c r="T360" i="14"/>
  <c r="T359" i="14"/>
  <c r="T358" i="14"/>
  <c r="T357" i="14"/>
  <c r="T356" i="14"/>
  <c r="T355" i="14"/>
  <c r="T354" i="14"/>
  <c r="T353" i="14"/>
  <c r="T352" i="14"/>
  <c r="T351" i="14"/>
  <c r="T350" i="14"/>
  <c r="T349" i="14"/>
  <c r="T348" i="14"/>
  <c r="T347" i="14"/>
  <c r="T346" i="14"/>
  <c r="T345" i="14"/>
  <c r="T344" i="14"/>
  <c r="T343" i="14"/>
  <c r="T342" i="14"/>
  <c r="T341" i="14"/>
  <c r="T340" i="14"/>
  <c r="T339" i="14"/>
  <c r="T338" i="14"/>
  <c r="T337" i="14"/>
  <c r="T336" i="14"/>
  <c r="T335" i="14"/>
  <c r="T334" i="14"/>
  <c r="T333" i="14"/>
  <c r="T332" i="14"/>
  <c r="T331" i="14"/>
  <c r="T330" i="14"/>
  <c r="T329" i="14"/>
  <c r="T328" i="14"/>
  <c r="T326" i="14"/>
  <c r="T325" i="14"/>
  <c r="T320" i="14"/>
  <c r="T319" i="14"/>
  <c r="T318" i="14"/>
  <c r="T315" i="14"/>
  <c r="T314" i="14"/>
  <c r="T313" i="14"/>
  <c r="T312" i="14"/>
  <c r="T311" i="14"/>
  <c r="T310" i="14"/>
  <c r="T309" i="14"/>
  <c r="T306" i="14"/>
  <c r="T302" i="14"/>
  <c r="T299" i="14"/>
  <c r="T298" i="14"/>
  <c r="T296" i="14"/>
  <c r="T294" i="14"/>
  <c r="T293" i="14"/>
  <c r="T288" i="14"/>
  <c r="T287" i="14"/>
  <c r="T285" i="14"/>
  <c r="T283" i="14"/>
  <c r="T279" i="14"/>
  <c r="T277" i="14"/>
  <c r="T271" i="14"/>
  <c r="T270" i="14"/>
  <c r="T268" i="14"/>
  <c r="T267" i="14"/>
  <c r="T265" i="14"/>
  <c r="T262" i="14"/>
  <c r="T261" i="14"/>
  <c r="T260" i="14"/>
  <c r="T259" i="14"/>
  <c r="T258" i="14"/>
  <c r="T256" i="14"/>
  <c r="T255" i="14"/>
  <c r="T254" i="14"/>
  <c r="T248" i="14"/>
  <c r="T247" i="14"/>
  <c r="T243" i="14"/>
  <c r="T238" i="14"/>
  <c r="T235" i="14"/>
  <c r="T227" i="14"/>
  <c r="T223" i="14"/>
  <c r="T218" i="14"/>
  <c r="T216" i="14"/>
  <c r="T213" i="14"/>
  <c r="T207" i="14"/>
  <c r="T203" i="14"/>
  <c r="T199" i="14"/>
  <c r="T194" i="14"/>
  <c r="T188" i="14"/>
  <c r="T185" i="14"/>
  <c r="T184" i="14"/>
  <c r="T175" i="14"/>
  <c r="T167" i="14"/>
  <c r="T152" i="14"/>
  <c r="T151" i="14"/>
  <c r="T146" i="14"/>
  <c r="T131" i="14"/>
  <c r="T124" i="14"/>
  <c r="T122" i="14"/>
  <c r="T117" i="14"/>
  <c r="T114" i="14"/>
  <c r="T112" i="14"/>
  <c r="T111" i="14"/>
  <c r="T110" i="14"/>
  <c r="T101" i="14"/>
  <c r="T92" i="14"/>
  <c r="T91" i="14"/>
  <c r="T290" i="14"/>
  <c r="T249" i="14"/>
  <c r="T208" i="14"/>
  <c r="T85" i="14"/>
  <c r="T84" i="14"/>
  <c r="T83" i="14"/>
  <c r="T82" i="14"/>
  <c r="T81" i="14"/>
  <c r="T80" i="14"/>
  <c r="T79" i="14"/>
  <c r="T78" i="14"/>
  <c r="T77" i="14"/>
  <c r="T76" i="14"/>
  <c r="T75" i="14"/>
  <c r="T74" i="14"/>
  <c r="T73" i="14"/>
  <c r="T72" i="14"/>
  <c r="T71" i="14"/>
  <c r="T70" i="14"/>
  <c r="T69" i="14"/>
  <c r="T68" i="14"/>
  <c r="T67" i="14"/>
  <c r="T66" i="14"/>
  <c r="T65" i="14"/>
  <c r="T64" i="14"/>
  <c r="T63" i="14"/>
  <c r="T62" i="14"/>
  <c r="T61" i="14"/>
  <c r="T60" i="14"/>
  <c r="T59" i="14"/>
  <c r="T58" i="14"/>
  <c r="T57" i="14"/>
  <c r="T56" i="14"/>
  <c r="T55" i="14"/>
  <c r="T54" i="14"/>
  <c r="T53" i="14"/>
  <c r="T52" i="14"/>
  <c r="T51" i="14"/>
  <c r="T50" i="14"/>
  <c r="T49" i="14"/>
  <c r="T48" i="14"/>
  <c r="T47" i="14"/>
  <c r="T46" i="14"/>
  <c r="T45" i="14"/>
  <c r="T44" i="14"/>
  <c r="T43" i="14"/>
  <c r="T42" i="14"/>
  <c r="T41" i="14"/>
  <c r="T40" i="14"/>
  <c r="T39" i="14"/>
  <c r="T38" i="14"/>
  <c r="T37" i="14"/>
  <c r="T36" i="14"/>
  <c r="T35" i="14"/>
  <c r="T34" i="14"/>
  <c r="T33" i="14"/>
  <c r="T32" i="14"/>
  <c r="T31" i="14"/>
  <c r="K36" i="6"/>
  <c r="K76" i="6" s="1"/>
  <c r="K78" i="6" s="1"/>
  <c r="K79" i="6" s="1"/>
  <c r="K37" i="6"/>
  <c r="K40" i="6" s="1"/>
  <c r="K46" i="6"/>
  <c r="C12" i="16"/>
  <c r="F12" i="16" s="1"/>
  <c r="K17" i="8"/>
  <c r="K16" i="12" s="1"/>
  <c r="K18" i="12" s="1"/>
  <c r="L17" i="12" s="1"/>
  <c r="K15" i="12"/>
  <c r="L57" i="6"/>
  <c r="L58" i="6" s="1"/>
  <c r="M51" i="6"/>
  <c r="Q66" i="6"/>
  <c r="R66" i="6"/>
  <c r="R68" i="6"/>
  <c r="R77" i="6"/>
  <c r="R13" i="8"/>
  <c r="I84" i="6"/>
  <c r="I42" i="6"/>
  <c r="E27" i="2"/>
  <c r="I19" i="8"/>
  <c r="I25" i="12"/>
  <c r="I26" i="12" s="1"/>
  <c r="E30" i="2"/>
  <c r="I19" i="12"/>
  <c r="I22" i="12"/>
  <c r="I24" i="12" s="1"/>
  <c r="J8" i="13"/>
  <c r="S177" i="14"/>
  <c r="S154" i="14"/>
  <c r="S125" i="14"/>
  <c r="S115" i="14"/>
  <c r="S107" i="14"/>
  <c r="S190" i="14"/>
  <c r="S166" i="14"/>
  <c r="S157" i="14"/>
  <c r="S129" i="14"/>
  <c r="S108" i="14"/>
  <c r="S92" i="14"/>
  <c r="S434" i="14"/>
  <c r="S427" i="14"/>
  <c r="S246" i="14"/>
  <c r="S229" i="14"/>
  <c r="S199" i="14"/>
  <c r="S185" i="14"/>
  <c r="S178" i="14"/>
  <c r="S132" i="14"/>
  <c r="S126" i="14"/>
  <c r="S116" i="14"/>
  <c r="S106" i="14"/>
  <c r="S504" i="14"/>
  <c r="S502" i="14"/>
  <c r="S493" i="14"/>
  <c r="S489" i="14"/>
  <c r="S484" i="14"/>
  <c r="S483" i="14"/>
  <c r="S480" i="14"/>
  <c r="S476" i="14"/>
  <c r="S474" i="14"/>
  <c r="S472" i="14"/>
  <c r="S470" i="14"/>
  <c r="S466" i="14"/>
  <c r="S458" i="14"/>
  <c r="S456" i="14"/>
  <c r="S449" i="14"/>
  <c r="S447" i="14"/>
  <c r="S445" i="14"/>
  <c r="S443" i="14"/>
  <c r="S441" i="14"/>
  <c r="S440" i="14"/>
  <c r="S426" i="14"/>
  <c r="S417" i="14"/>
  <c r="S415" i="14"/>
  <c r="S414" i="14"/>
  <c r="S530" i="14"/>
  <c r="S528" i="14"/>
  <c r="S526" i="14"/>
  <c r="S524" i="14"/>
  <c r="S521" i="14"/>
  <c r="S519" i="14"/>
  <c r="S517" i="14"/>
  <c r="S516" i="14"/>
  <c r="S514" i="14"/>
  <c r="S512" i="14"/>
  <c r="S509" i="14"/>
  <c r="S507" i="14"/>
  <c r="S506" i="14"/>
  <c r="S501" i="14"/>
  <c r="S498" i="14"/>
  <c r="S495" i="14"/>
  <c r="S491" i="14"/>
  <c r="S485" i="14"/>
  <c r="S478" i="14"/>
  <c r="S475" i="14"/>
  <c r="S467" i="14"/>
  <c r="S463" i="14"/>
  <c r="S460" i="14"/>
  <c r="S457" i="14"/>
  <c r="S451" i="14"/>
  <c r="S437" i="14"/>
  <c r="S433" i="14"/>
  <c r="S429" i="14"/>
  <c r="S424" i="14"/>
  <c r="S423" i="14"/>
  <c r="S245" i="14"/>
  <c r="S241" i="14"/>
  <c r="S240" i="14"/>
  <c r="S233" i="14"/>
  <c r="S228" i="14"/>
  <c r="S227" i="14"/>
  <c r="S225" i="14"/>
  <c r="S223" i="14"/>
  <c r="S221" i="14"/>
  <c r="S217" i="14"/>
  <c r="S216" i="14"/>
  <c r="S215" i="14"/>
  <c r="S214" i="14"/>
  <c r="S212" i="14"/>
  <c r="S207" i="14"/>
  <c r="S181" i="14"/>
  <c r="S149" i="14"/>
  <c r="S147" i="14"/>
  <c r="S143" i="14"/>
  <c r="S139" i="14"/>
  <c r="S138" i="14"/>
  <c r="S136" i="14"/>
  <c r="S135" i="14"/>
  <c r="S134" i="14"/>
  <c r="S133" i="14"/>
  <c r="S131" i="14"/>
  <c r="S101" i="14"/>
  <c r="S93" i="14"/>
  <c r="S494" i="14"/>
  <c r="S453" i="14"/>
  <c r="S412" i="14"/>
  <c r="S411" i="14"/>
  <c r="S410" i="14"/>
  <c r="S409" i="14"/>
  <c r="S408" i="14"/>
  <c r="S407" i="14"/>
  <c r="S406" i="14"/>
  <c r="S405" i="14"/>
  <c r="S404" i="14"/>
  <c r="S403" i="14"/>
  <c r="S402" i="14"/>
  <c r="S401" i="14"/>
  <c r="S400" i="14"/>
  <c r="S399" i="14"/>
  <c r="S398" i="14"/>
  <c r="S397" i="14"/>
  <c r="S396" i="14"/>
  <c r="S395" i="14"/>
  <c r="S394" i="14"/>
  <c r="S393" i="14"/>
  <c r="S392" i="14"/>
  <c r="S391" i="14"/>
  <c r="S390" i="14"/>
  <c r="S389" i="14"/>
  <c r="S388" i="14"/>
  <c r="S387" i="14"/>
  <c r="S386" i="14"/>
  <c r="S385" i="14"/>
  <c r="S384" i="14"/>
  <c r="S383" i="14"/>
  <c r="S382" i="14"/>
  <c r="S381" i="14"/>
  <c r="S380" i="14"/>
  <c r="S379" i="14"/>
  <c r="S378" i="14"/>
  <c r="S377" i="14"/>
  <c r="S376" i="14"/>
  <c r="S375" i="14"/>
  <c r="S374" i="14"/>
  <c r="S373" i="14"/>
  <c r="S372" i="14"/>
  <c r="S331" i="14"/>
  <c r="S330" i="14"/>
  <c r="S329" i="14"/>
  <c r="S328" i="14"/>
  <c r="S326" i="14"/>
  <c r="S325" i="14"/>
  <c r="S324" i="14"/>
  <c r="S323" i="14"/>
  <c r="S320" i="14"/>
  <c r="S319" i="14"/>
  <c r="S315" i="14"/>
  <c r="S314" i="14"/>
  <c r="S313" i="14"/>
  <c r="S312" i="14"/>
  <c r="S311" i="14"/>
  <c r="S310" i="14"/>
  <c r="S309" i="14"/>
  <c r="S306" i="14"/>
  <c r="S302" i="14"/>
  <c r="S298" i="14"/>
  <c r="S297" i="14"/>
  <c r="S296" i="14"/>
  <c r="S294" i="14"/>
  <c r="S293" i="14"/>
  <c r="S288" i="14"/>
  <c r="S287" i="14"/>
  <c r="S285" i="14"/>
  <c r="S279" i="14"/>
  <c r="S278" i="14"/>
  <c r="S277" i="14"/>
  <c r="S271" i="14"/>
  <c r="S270" i="14"/>
  <c r="S268" i="14"/>
  <c r="S267" i="14"/>
  <c r="S265" i="14"/>
  <c r="S264" i="14"/>
  <c r="S256" i="14"/>
  <c r="S255" i="14"/>
  <c r="S254" i="14"/>
  <c r="S244" i="14"/>
  <c r="S243" i="14"/>
  <c r="S238" i="14"/>
  <c r="S236" i="14"/>
  <c r="S235" i="14"/>
  <c r="S226" i="14"/>
  <c r="S220" i="14"/>
  <c r="S218" i="14"/>
  <c r="S213" i="14"/>
  <c r="S209" i="14"/>
  <c r="S203" i="14"/>
  <c r="S194" i="14"/>
  <c r="S184" i="14"/>
  <c r="S172" i="14"/>
  <c r="S171" i="14"/>
  <c r="S170" i="14"/>
  <c r="S169" i="14"/>
  <c r="S160" i="14"/>
  <c r="S158" i="14"/>
  <c r="S152" i="14"/>
  <c r="S145" i="14"/>
  <c r="S144" i="14"/>
  <c r="S121" i="14"/>
  <c r="S119" i="14"/>
  <c r="S118" i="14"/>
  <c r="S109" i="14"/>
  <c r="S104" i="14"/>
  <c r="S103" i="14"/>
  <c r="J7" i="13"/>
  <c r="S173" i="14"/>
  <c r="S151" i="14"/>
  <c r="S124" i="14"/>
  <c r="S112" i="14"/>
  <c r="S91" i="14"/>
  <c r="S188" i="14"/>
  <c r="S161" i="14"/>
  <c r="S128" i="14"/>
  <c r="S113" i="14"/>
  <c r="S439" i="14"/>
  <c r="S432" i="14"/>
  <c r="S421" i="14"/>
  <c r="S413" i="14"/>
  <c r="S224" i="14"/>
  <c r="S204" i="14"/>
  <c r="S196" i="14"/>
  <c r="S179" i="14"/>
  <c r="S176" i="14"/>
  <c r="S130" i="14"/>
  <c r="S114" i="14"/>
  <c r="S96" i="14"/>
  <c r="S503" i="14"/>
  <c r="S499" i="14"/>
  <c r="S492" i="14"/>
  <c r="S490" i="14"/>
  <c r="S488" i="14"/>
  <c r="S482" i="14"/>
  <c r="S481" i="14"/>
  <c r="S479" i="14"/>
  <c r="S473" i="14"/>
  <c r="S471" i="14"/>
  <c r="S468" i="14"/>
  <c r="S465" i="14"/>
  <c r="S462" i="14"/>
  <c r="S454" i="14"/>
  <c r="S452" i="14"/>
  <c r="S448" i="14"/>
  <c r="S446" i="14"/>
  <c r="S444" i="14"/>
  <c r="S442" i="14"/>
  <c r="S422" i="14"/>
  <c r="S420" i="14"/>
  <c r="S416" i="14"/>
  <c r="S531" i="14"/>
  <c r="S529" i="14"/>
  <c r="S527" i="14"/>
  <c r="S525" i="14"/>
  <c r="S523" i="14"/>
  <c r="S522" i="14"/>
  <c r="S520" i="14"/>
  <c r="S518" i="14"/>
  <c r="S515" i="14"/>
  <c r="S513" i="14"/>
  <c r="S511" i="14"/>
  <c r="S510" i="14"/>
  <c r="S508" i="14"/>
  <c r="S505" i="14"/>
  <c r="S500" i="14"/>
  <c r="S497" i="14"/>
  <c r="S496" i="14"/>
  <c r="S487" i="14"/>
  <c r="S486" i="14"/>
  <c r="S477" i="14"/>
  <c r="S469" i="14"/>
  <c r="S464" i="14"/>
  <c r="S461" i="14"/>
  <c r="S459" i="14"/>
  <c r="S455" i="14"/>
  <c r="S450" i="14"/>
  <c r="S435" i="14"/>
  <c r="S430" i="14"/>
  <c r="S425" i="14"/>
  <c r="S98" i="14"/>
  <c r="S97" i="14"/>
  <c r="S89" i="14"/>
  <c r="S88" i="14"/>
  <c r="S371" i="14"/>
  <c r="S370" i="14"/>
  <c r="S369" i="14"/>
  <c r="S368" i="14"/>
  <c r="S367" i="14"/>
  <c r="S366" i="14"/>
  <c r="S365" i="14"/>
  <c r="S364" i="14"/>
  <c r="S363" i="14"/>
  <c r="S362" i="14"/>
  <c r="S361" i="14"/>
  <c r="S360" i="14"/>
  <c r="S359" i="14"/>
  <c r="S358" i="14"/>
  <c r="S357" i="14"/>
  <c r="S356" i="14"/>
  <c r="S355" i="14"/>
  <c r="S354" i="14"/>
  <c r="S353" i="14"/>
  <c r="S352" i="14"/>
  <c r="S351" i="14"/>
  <c r="S350" i="14"/>
  <c r="S349" i="14"/>
  <c r="S348" i="14"/>
  <c r="S347" i="14"/>
  <c r="S346" i="14"/>
  <c r="S345" i="14"/>
  <c r="S344" i="14"/>
  <c r="S343" i="14"/>
  <c r="S342" i="14"/>
  <c r="S341" i="14"/>
  <c r="S340" i="14"/>
  <c r="S339" i="14"/>
  <c r="S338" i="14"/>
  <c r="S337" i="14"/>
  <c r="S336" i="14"/>
  <c r="S335" i="14"/>
  <c r="S334" i="14"/>
  <c r="S333" i="14"/>
  <c r="S332" i="14"/>
  <c r="S327" i="14"/>
  <c r="S322" i="14"/>
  <c r="S321" i="14"/>
  <c r="S318" i="14"/>
  <c r="S317" i="14"/>
  <c r="S316" i="14"/>
  <c r="S308" i="14"/>
  <c r="S307" i="14"/>
  <c r="S305" i="14"/>
  <c r="S304" i="14"/>
  <c r="S303" i="14"/>
  <c r="S301" i="14"/>
  <c r="S300" i="14"/>
  <c r="S299" i="14"/>
  <c r="S295" i="14"/>
  <c r="S292" i="14"/>
  <c r="S291" i="14"/>
  <c r="S289" i="14"/>
  <c r="S286" i="14"/>
  <c r="S284" i="14"/>
  <c r="S283" i="14"/>
  <c r="S282" i="14"/>
  <c r="S281" i="14"/>
  <c r="S280" i="14"/>
  <c r="S276" i="14"/>
  <c r="S275" i="14"/>
  <c r="S274" i="14"/>
  <c r="S273" i="14"/>
  <c r="S272" i="14"/>
  <c r="S269" i="14"/>
  <c r="S266" i="14"/>
  <c r="S263" i="14"/>
  <c r="S262" i="14"/>
  <c r="S261" i="14"/>
  <c r="S260" i="14"/>
  <c r="S259" i="14"/>
  <c r="S258" i="14"/>
  <c r="S257" i="14"/>
  <c r="S253" i="14"/>
  <c r="S252" i="14"/>
  <c r="S251" i="14"/>
  <c r="S250" i="14"/>
  <c r="S248" i="14"/>
  <c r="S247" i="14"/>
  <c r="S242" i="14"/>
  <c r="S239" i="14"/>
  <c r="S234" i="14"/>
  <c r="S232" i="14"/>
  <c r="S230" i="14"/>
  <c r="S222" i="14"/>
  <c r="S219" i="14"/>
  <c r="S210" i="14"/>
  <c r="S205" i="14"/>
  <c r="S202" i="14"/>
  <c r="S201" i="14"/>
  <c r="S200" i="14"/>
  <c r="S198" i="14"/>
  <c r="S193" i="14"/>
  <c r="S192" i="14"/>
  <c r="S191" i="14"/>
  <c r="S187" i="14"/>
  <c r="S186" i="14"/>
  <c r="S183" i="14"/>
  <c r="S182" i="14"/>
  <c r="S180" i="14"/>
  <c r="S174" i="14"/>
  <c r="S168" i="14"/>
  <c r="S165" i="14"/>
  <c r="S164" i="14"/>
  <c r="S162" i="14"/>
  <c r="S156" i="14"/>
  <c r="S155" i="14"/>
  <c r="S150" i="14"/>
  <c r="S148" i="14"/>
  <c r="S141" i="14"/>
  <c r="S140" i="14"/>
  <c r="S123" i="14"/>
  <c r="S105" i="14"/>
  <c r="S102" i="14"/>
  <c r="S100" i="14"/>
  <c r="S99" i="14"/>
  <c r="S90" i="14"/>
  <c r="S87" i="14"/>
  <c r="S86" i="14"/>
  <c r="S290" i="14"/>
  <c r="S249" i="14"/>
  <c r="S208" i="14"/>
  <c r="S85" i="14"/>
  <c r="S84" i="14"/>
  <c r="S83" i="14"/>
  <c r="S82" i="14"/>
  <c r="S81" i="14"/>
  <c r="S80" i="14"/>
  <c r="S79" i="14"/>
  <c r="S78" i="14"/>
  <c r="J6" i="13"/>
  <c r="S167" i="14"/>
  <c r="S137" i="14"/>
  <c r="S117" i="14"/>
  <c r="S110" i="14"/>
  <c r="S189" i="14"/>
  <c r="S163" i="14"/>
  <c r="S142" i="14"/>
  <c r="S127" i="14"/>
  <c r="S95" i="14"/>
  <c r="S438" i="14"/>
  <c r="S428" i="14"/>
  <c r="S418" i="14"/>
  <c r="S231" i="14"/>
  <c r="S206" i="14"/>
  <c r="S76" i="14"/>
  <c r="S75" i="14"/>
  <c r="S73" i="14"/>
  <c r="S71" i="14"/>
  <c r="S69" i="14"/>
  <c r="S67" i="14"/>
  <c r="S65" i="14"/>
  <c r="S61" i="14"/>
  <c r="S58" i="14"/>
  <c r="S57" i="14"/>
  <c r="S55" i="14"/>
  <c r="S53" i="14"/>
  <c r="S51" i="14"/>
  <c r="S49" i="14"/>
  <c r="S46" i="14"/>
  <c r="S44" i="14"/>
  <c r="S195" i="14"/>
  <c r="S159" i="14"/>
  <c r="S146" i="14"/>
  <c r="S120" i="14"/>
  <c r="S111" i="14"/>
  <c r="S197" i="14"/>
  <c r="S175" i="14"/>
  <c r="S153" i="14"/>
  <c r="S122" i="14"/>
  <c r="S94" i="14"/>
  <c r="S436" i="14"/>
  <c r="S431" i="14"/>
  <c r="S419" i="14"/>
  <c r="S237" i="14"/>
  <c r="S211" i="14"/>
  <c r="S77" i="14"/>
  <c r="S74" i="14"/>
  <c r="S72" i="14"/>
  <c r="S70" i="14"/>
  <c r="S68" i="14"/>
  <c r="S66" i="14"/>
  <c r="S64" i="14"/>
  <c r="S63" i="14"/>
  <c r="S62" i="14"/>
  <c r="S60" i="14"/>
  <c r="S59" i="14"/>
  <c r="S56" i="14"/>
  <c r="S54" i="14"/>
  <c r="S52" i="14"/>
  <c r="S50" i="14"/>
  <c r="S48" i="14"/>
  <c r="S47" i="14"/>
  <c r="S45" i="14"/>
  <c r="S43" i="14"/>
  <c r="S42" i="14"/>
  <c r="S41" i="14"/>
  <c r="S40" i="14"/>
  <c r="S39" i="14"/>
  <c r="S38" i="14"/>
  <c r="S37" i="14"/>
  <c r="S36" i="14"/>
  <c r="S35" i="14"/>
  <c r="S34" i="14"/>
  <c r="S33" i="14"/>
  <c r="S32" i="14"/>
  <c r="S31" i="14"/>
  <c r="J36" i="6"/>
  <c r="J76" i="6" s="1"/>
  <c r="J78" i="6" s="1"/>
  <c r="J79" i="6" s="1"/>
  <c r="J85" i="6" s="1"/>
  <c r="J86" i="6" s="1"/>
  <c r="J37" i="6"/>
  <c r="J40" i="6" s="1"/>
  <c r="J17" i="8"/>
  <c r="J15" i="12"/>
  <c r="J16" i="12"/>
  <c r="J18" i="12" s="1"/>
  <c r="K17" i="12" s="1"/>
  <c r="E9" i="2"/>
  <c r="F9" i="2"/>
  <c r="H35" i="11"/>
  <c r="H36" i="11"/>
  <c r="I36" i="11"/>
  <c r="I35" i="11"/>
  <c r="C37" i="2"/>
  <c r="E37" i="2"/>
  <c r="D37" i="2" s="1"/>
  <c r="J35" i="11"/>
  <c r="J36" i="11"/>
  <c r="G29" i="11"/>
  <c r="G32" i="11"/>
  <c r="G33" i="11" s="1"/>
  <c r="U263" i="14"/>
  <c r="U264" i="14"/>
  <c r="U266" i="14"/>
  <c r="U269" i="14"/>
  <c r="U270" i="14"/>
  <c r="U272" i="14"/>
  <c r="U273" i="14"/>
  <c r="U274" i="14"/>
  <c r="U275" i="14"/>
  <c r="U276" i="14"/>
  <c r="U280" i="14"/>
  <c r="U281" i="14"/>
  <c r="U282" i="14"/>
  <c r="U283" i="14"/>
  <c r="U284" i="14"/>
  <c r="U286" i="14"/>
  <c r="U289" i="14"/>
  <c r="U291" i="14"/>
  <c r="U292" i="14"/>
  <c r="U295" i="14"/>
  <c r="U299" i="14"/>
  <c r="U300" i="14"/>
  <c r="U301" i="14"/>
  <c r="U303" i="14"/>
  <c r="U304" i="14"/>
  <c r="U307" i="14"/>
  <c r="U308" i="14"/>
  <c r="U315" i="14"/>
  <c r="U317" i="14"/>
  <c r="U321" i="14"/>
  <c r="U322" i="14"/>
  <c r="U323" i="14"/>
  <c r="U324" i="14"/>
  <c r="U327" i="14"/>
  <c r="U332" i="14"/>
  <c r="U333" i="14"/>
  <c r="U334" i="14"/>
  <c r="U335" i="14"/>
  <c r="U336" i="14"/>
  <c r="U337" i="14"/>
  <c r="U338" i="14"/>
  <c r="U339" i="14"/>
  <c r="U340" i="14"/>
  <c r="U341" i="14"/>
  <c r="U342" i="14"/>
  <c r="U343" i="14"/>
  <c r="U344" i="14"/>
  <c r="U345" i="14"/>
  <c r="U346" i="14"/>
  <c r="U347" i="14"/>
  <c r="U348" i="14"/>
  <c r="U349" i="14"/>
  <c r="U350" i="14"/>
  <c r="U351" i="14"/>
  <c r="U352" i="14"/>
  <c r="U353" i="14"/>
  <c r="U354" i="14"/>
  <c r="U355" i="14"/>
  <c r="U356" i="14"/>
  <c r="U357" i="14"/>
  <c r="U358" i="14"/>
  <c r="U359" i="14"/>
  <c r="U360" i="14"/>
  <c r="U361" i="14"/>
  <c r="U362" i="14"/>
  <c r="U363" i="14"/>
  <c r="U364" i="14"/>
  <c r="U365" i="14"/>
  <c r="U366" i="14"/>
  <c r="U367" i="14"/>
  <c r="U368" i="14"/>
  <c r="U369" i="14"/>
  <c r="U370" i="14"/>
  <c r="U371" i="14"/>
  <c r="U91" i="14"/>
  <c r="U96" i="14"/>
  <c r="U102" i="14"/>
  <c r="U105" i="14"/>
  <c r="U106" i="14"/>
  <c r="U107" i="14"/>
  <c r="U109" i="14"/>
  <c r="U112" i="14"/>
  <c r="U114" i="14"/>
  <c r="U122" i="14"/>
  <c r="U123" i="14"/>
  <c r="U124" i="14"/>
  <c r="U127" i="14"/>
  <c r="U136" i="14"/>
  <c r="U151" i="14"/>
  <c r="U157" i="14"/>
  <c r="U185" i="14"/>
  <c r="U187" i="14"/>
  <c r="U188" i="14"/>
  <c r="U190" i="14"/>
  <c r="U199" i="14"/>
  <c r="U200" i="14"/>
  <c r="U202" i="14"/>
  <c r="U205" i="14"/>
  <c r="U206" i="14"/>
  <c r="U207" i="14"/>
  <c r="U221" i="14"/>
  <c r="U222" i="14"/>
  <c r="U225" i="14"/>
  <c r="U233" i="14"/>
  <c r="U234" i="14"/>
  <c r="U241" i="14"/>
  <c r="U254" i="14"/>
  <c r="U255" i="14"/>
  <c r="U256" i="14"/>
  <c r="U265" i="14"/>
  <c r="U267" i="14"/>
  <c r="U268" i="14"/>
  <c r="U271" i="14"/>
  <c r="U277" i="14"/>
  <c r="U278" i="14"/>
  <c r="U279" i="14"/>
  <c r="U285" i="14"/>
  <c r="U287" i="14"/>
  <c r="U288" i="14"/>
  <c r="U293" i="14"/>
  <c r="U294" i="14"/>
  <c r="U296" i="14"/>
  <c r="U297" i="14"/>
  <c r="U298" i="14"/>
  <c r="U302" i="14"/>
  <c r="U305" i="14"/>
  <c r="U306" i="14"/>
  <c r="U309" i="14"/>
  <c r="U310" i="14"/>
  <c r="U311" i="14"/>
  <c r="U312" i="14"/>
  <c r="U313" i="14"/>
  <c r="U314" i="14"/>
  <c r="U316" i="14"/>
  <c r="U318" i="14"/>
  <c r="U319" i="14"/>
  <c r="U320" i="14"/>
  <c r="U325" i="14"/>
  <c r="U326" i="14"/>
  <c r="U328" i="14"/>
  <c r="U329" i="14"/>
  <c r="U330" i="14"/>
  <c r="U331" i="14"/>
  <c r="U372" i="14"/>
  <c r="U373" i="14"/>
  <c r="U374" i="14"/>
  <c r="U375" i="14"/>
  <c r="U376" i="14"/>
  <c r="U377" i="14"/>
  <c r="U378" i="14"/>
  <c r="U379" i="14"/>
  <c r="U380" i="14"/>
  <c r="U381" i="14"/>
  <c r="U382" i="14"/>
  <c r="U383" i="14"/>
  <c r="U384" i="14"/>
  <c r="U385" i="14"/>
  <c r="U386" i="14"/>
  <c r="U387" i="14"/>
  <c r="U388" i="14"/>
  <c r="U389" i="14"/>
  <c r="U390" i="14"/>
  <c r="U391" i="14"/>
  <c r="U392" i="14"/>
  <c r="U393" i="14"/>
  <c r="U394" i="14"/>
  <c r="U395" i="14"/>
  <c r="U396" i="14"/>
  <c r="U397" i="14"/>
  <c r="U398" i="14"/>
  <c r="U399" i="14"/>
  <c r="U400" i="14"/>
  <c r="U401" i="14"/>
  <c r="U402" i="14"/>
  <c r="U403" i="14"/>
  <c r="U404" i="14"/>
  <c r="U405" i="14"/>
  <c r="U406" i="14"/>
  <c r="U407" i="14"/>
  <c r="U408" i="14"/>
  <c r="U409" i="14"/>
  <c r="U410" i="14"/>
  <c r="U411" i="14"/>
  <c r="U412" i="14"/>
  <c r="U453" i="14"/>
  <c r="U494" i="14"/>
  <c r="U92" i="14"/>
  <c r="U95" i="14"/>
  <c r="U99" i="14"/>
  <c r="U137" i="14"/>
  <c r="U141" i="14"/>
  <c r="U142" i="14"/>
  <c r="U150" i="14"/>
  <c r="U152" i="14"/>
  <c r="U154" i="14"/>
  <c r="U203" i="14"/>
  <c r="U213" i="14"/>
  <c r="U214" i="14"/>
  <c r="U218" i="14"/>
  <c r="U429" i="14"/>
  <c r="U433" i="14"/>
  <c r="U435" i="14"/>
  <c r="U437" i="14"/>
  <c r="U438" i="14"/>
  <c r="U450" i="14"/>
  <c r="U451" i="14"/>
  <c r="U457" i="14"/>
  <c r="U459" i="14"/>
  <c r="U460" i="14"/>
  <c r="U461" i="14"/>
  <c r="U464" i="14"/>
  <c r="U466" i="14"/>
  <c r="U467" i="14"/>
  <c r="U469" i="14"/>
  <c r="U477" i="14"/>
  <c r="U478" i="14"/>
  <c r="U485" i="14"/>
  <c r="U486" i="14"/>
  <c r="U487" i="14"/>
  <c r="U491" i="14"/>
  <c r="U493" i="14"/>
  <c r="U495" i="14"/>
  <c r="U496" i="14"/>
  <c r="U497" i="14"/>
  <c r="U498" i="14"/>
  <c r="U500" i="14"/>
  <c r="U501" i="14"/>
  <c r="U504" i="14"/>
  <c r="U505" i="14"/>
  <c r="U506" i="14"/>
  <c r="U507" i="14"/>
  <c r="U508" i="14"/>
  <c r="U509" i="14"/>
  <c r="U510" i="14"/>
  <c r="U511" i="14"/>
  <c r="U512" i="14"/>
  <c r="U513" i="14"/>
  <c r="U514" i="14"/>
  <c r="U515" i="14"/>
  <c r="U516" i="14"/>
  <c r="U517" i="14"/>
  <c r="U518" i="14"/>
  <c r="U519" i="14"/>
  <c r="U520" i="14"/>
  <c r="U521" i="14"/>
  <c r="U522" i="14"/>
  <c r="U523" i="14"/>
  <c r="U524" i="14"/>
  <c r="U525" i="14"/>
  <c r="U526" i="14"/>
  <c r="U527" i="14"/>
  <c r="U528" i="14"/>
  <c r="U529" i="14"/>
  <c r="U530" i="14"/>
  <c r="U531" i="14"/>
  <c r="U414" i="14"/>
  <c r="U415" i="14"/>
  <c r="U416" i="14"/>
  <c r="U417" i="14"/>
  <c r="U420" i="14"/>
  <c r="U422" i="14"/>
  <c r="U425" i="14"/>
  <c r="U440" i="14"/>
  <c r="U441" i="14"/>
  <c r="U442" i="14"/>
  <c r="U443" i="14"/>
  <c r="U444" i="14"/>
  <c r="U445" i="14"/>
  <c r="U446" i="14"/>
  <c r="U447" i="14"/>
  <c r="U448" i="14"/>
  <c r="U449" i="14"/>
  <c r="U452" i="14"/>
  <c r="U454" i="14"/>
  <c r="U455" i="14"/>
  <c r="U456" i="14"/>
  <c r="U458" i="14"/>
  <c r="U462" i="14"/>
  <c r="U463" i="14"/>
  <c r="U465" i="14"/>
  <c r="U468" i="14"/>
  <c r="U470" i="14"/>
  <c r="U471" i="14"/>
  <c r="U472" i="14"/>
  <c r="U473" i="14"/>
  <c r="U474" i="14"/>
  <c r="U475" i="14"/>
  <c r="U476" i="14"/>
  <c r="U479" i="14"/>
  <c r="U480" i="14"/>
  <c r="U481" i="14"/>
  <c r="U482" i="14"/>
  <c r="U483" i="14"/>
  <c r="U484" i="14"/>
  <c r="U488" i="14"/>
  <c r="U489" i="14"/>
  <c r="U490" i="14"/>
  <c r="U492" i="14"/>
  <c r="U499" i="14"/>
  <c r="U502" i="14"/>
  <c r="U503" i="14"/>
  <c r="U104" i="14"/>
  <c r="U111" i="14"/>
  <c r="U113" i="14"/>
  <c r="U115" i="14"/>
  <c r="U121" i="14"/>
  <c r="U138" i="14"/>
  <c r="U143" i="14"/>
  <c r="U172" i="14"/>
  <c r="U180" i="14"/>
  <c r="U181" i="14"/>
  <c r="U182" i="14"/>
  <c r="U183" i="14"/>
  <c r="U184" i="14"/>
  <c r="U195" i="14"/>
  <c r="U197" i="14"/>
  <c r="U198" i="14"/>
  <c r="U201" i="14"/>
  <c r="U210" i="14"/>
  <c r="U212" i="14"/>
  <c r="U216" i="14"/>
  <c r="U217" i="14"/>
  <c r="U219" i="14"/>
  <c r="U223" i="14"/>
  <c r="U226" i="14"/>
  <c r="U227" i="14"/>
  <c r="U230" i="14"/>
  <c r="U235" i="14"/>
  <c r="U238" i="14"/>
  <c r="U239" i="14"/>
  <c r="U240" i="14"/>
  <c r="U242" i="14"/>
  <c r="U243" i="14"/>
  <c r="U244" i="14"/>
  <c r="U413" i="14"/>
  <c r="U418" i="14"/>
  <c r="U419" i="14"/>
  <c r="L75" i="6"/>
  <c r="L59" i="6"/>
  <c r="P24" i="6" l="1"/>
  <c r="O25" i="6"/>
  <c r="O26" i="6"/>
  <c r="O27" i="6"/>
  <c r="O28" i="6"/>
  <c r="O29" i="6"/>
  <c r="O33" i="6"/>
  <c r="O74" i="6" s="1"/>
  <c r="O69" i="6"/>
  <c r="O70" i="6" s="1"/>
  <c r="O11" i="13"/>
  <c r="N30" i="6"/>
  <c r="N12" i="13" s="1"/>
  <c r="N32" i="6"/>
  <c r="N73" i="6"/>
  <c r="N6" i="8"/>
  <c r="N8" i="8" s="1"/>
  <c r="N15" i="13"/>
  <c r="N16" i="8"/>
  <c r="W31" i="14"/>
  <c r="W32" i="14"/>
  <c r="W33" i="14"/>
  <c r="W34" i="14"/>
  <c r="W35" i="14"/>
  <c r="W36" i="14"/>
  <c r="W37" i="14"/>
  <c r="W38" i="14"/>
  <c r="W39" i="14"/>
  <c r="W40" i="14"/>
  <c r="W41" i="14"/>
  <c r="W42" i="14"/>
  <c r="W43" i="14"/>
  <c r="W44" i="14"/>
  <c r="W45" i="14"/>
  <c r="W46" i="14"/>
  <c r="W47" i="14"/>
  <c r="W48" i="14"/>
  <c r="W49" i="14"/>
  <c r="W50" i="14"/>
  <c r="W51" i="14"/>
  <c r="W52" i="14"/>
  <c r="W53" i="14"/>
  <c r="W54" i="14"/>
  <c r="W55" i="14"/>
  <c r="W56" i="14"/>
  <c r="W57" i="14"/>
  <c r="W58" i="14"/>
  <c r="W59" i="14"/>
  <c r="W60" i="14"/>
  <c r="W61" i="14"/>
  <c r="W62" i="14"/>
  <c r="W63" i="14"/>
  <c r="W64" i="14"/>
  <c r="W65" i="14"/>
  <c r="W66" i="14"/>
  <c r="W414" i="14"/>
  <c r="W421" i="14"/>
  <c r="W422" i="14"/>
  <c r="W423" i="14"/>
  <c r="W424" i="14"/>
  <c r="W440" i="14"/>
  <c r="W441" i="14"/>
  <c r="W442" i="14"/>
  <c r="W443" i="14"/>
  <c r="W444" i="14"/>
  <c r="W445" i="14"/>
  <c r="W446" i="14"/>
  <c r="W447" i="14"/>
  <c r="W448" i="14"/>
  <c r="W452" i="14"/>
  <c r="W454" i="14"/>
  <c r="M12" i="13"/>
  <c r="H26" i="2"/>
  <c r="M10" i="8"/>
  <c r="M11" i="8"/>
  <c r="L36" i="6"/>
  <c r="L76" i="6" s="1"/>
  <c r="L78" i="6" s="1"/>
  <c r="L79" i="6" s="1"/>
  <c r="L85" i="6" s="1"/>
  <c r="L86" i="6" s="1"/>
  <c r="L37" i="6"/>
  <c r="L40" i="6" s="1"/>
  <c r="L42" i="6" s="1"/>
  <c r="L17" i="8"/>
  <c r="L15" i="12"/>
  <c r="L16" i="12"/>
  <c r="L18" i="12" s="1"/>
  <c r="M17" i="12" s="1"/>
  <c r="K42" i="6"/>
  <c r="G27" i="2"/>
  <c r="K19" i="8"/>
  <c r="K22" i="8" s="1"/>
  <c r="K25" i="12"/>
  <c r="K26" i="12" s="1"/>
  <c r="G30" i="2"/>
  <c r="K19" i="12"/>
  <c r="K22" i="12"/>
  <c r="K24" i="12" s="1"/>
  <c r="M53" i="6"/>
  <c r="M54" i="6"/>
  <c r="M55" i="6" s="1"/>
  <c r="M34" i="6" s="1"/>
  <c r="Q68" i="6"/>
  <c r="Q52" i="6"/>
  <c r="Q14" i="8"/>
  <c r="R14" i="8"/>
  <c r="R52" i="6"/>
  <c r="I22" i="8"/>
  <c r="I21" i="12"/>
  <c r="E31" i="2"/>
  <c r="F28" i="2"/>
  <c r="J5" i="9"/>
  <c r="J6" i="9" s="1"/>
  <c r="J9" i="9" s="1"/>
  <c r="J42" i="6"/>
  <c r="F27" i="2"/>
  <c r="J19" i="8"/>
  <c r="J25" i="12"/>
  <c r="J26" i="12" s="1"/>
  <c r="F30" i="2"/>
  <c r="J19" i="12"/>
  <c r="J22" i="12"/>
  <c r="J24" i="12" s="1"/>
  <c r="G35" i="11"/>
  <c r="G36" i="11"/>
  <c r="C8" i="2"/>
  <c r="F37" i="2"/>
  <c r="L5" i="9"/>
  <c r="L6" i="9" s="1"/>
  <c r="L9" i="9" s="1"/>
  <c r="J84" i="6"/>
  <c r="K84" i="6" s="1"/>
  <c r="I85" i="6"/>
  <c r="I86" i="6" s="1"/>
  <c r="J87" i="6" s="1"/>
  <c r="Q24" i="6" l="1"/>
  <c r="P25" i="6"/>
  <c r="P26" i="6"/>
  <c r="P27" i="6"/>
  <c r="P28" i="6"/>
  <c r="P29" i="6"/>
  <c r="P33" i="6"/>
  <c r="P74" i="6" s="1"/>
  <c r="P69" i="6"/>
  <c r="P70" i="6" s="1"/>
  <c r="P11" i="13"/>
  <c r="O30" i="6"/>
  <c r="O12" i="13" s="1"/>
  <c r="O32" i="6"/>
  <c r="O73" i="6"/>
  <c r="O6" i="8"/>
  <c r="O8" i="8" s="1"/>
  <c r="O15" i="13"/>
  <c r="O16" i="8"/>
  <c r="X31" i="14"/>
  <c r="X32" i="14"/>
  <c r="X33" i="14"/>
  <c r="X34" i="14"/>
  <c r="X35" i="14"/>
  <c r="X36" i="14"/>
  <c r="X37" i="14"/>
  <c r="X38" i="14"/>
  <c r="X39" i="14"/>
  <c r="X40" i="14"/>
  <c r="X41" i="14"/>
  <c r="X42" i="14"/>
  <c r="X43" i="14"/>
  <c r="X44" i="14"/>
  <c r="X45" i="14"/>
  <c r="X46" i="14"/>
  <c r="X47" i="14"/>
  <c r="X48" i="14"/>
  <c r="X49" i="14"/>
  <c r="X50" i="14"/>
  <c r="X51" i="14"/>
  <c r="X52" i="14"/>
  <c r="X53" i="14"/>
  <c r="X54" i="14"/>
  <c r="X55" i="14"/>
  <c r="X56" i="14"/>
  <c r="X57" i="14"/>
  <c r="X58" i="14"/>
  <c r="X59" i="14"/>
  <c r="X60" i="14"/>
  <c r="X61" i="14"/>
  <c r="X62" i="14"/>
  <c r="X63" i="14"/>
  <c r="X64" i="14"/>
  <c r="X65" i="14"/>
  <c r="X66" i="14"/>
  <c r="X67" i="14"/>
  <c r="X68" i="14"/>
  <c r="X69" i="14"/>
  <c r="X70" i="14"/>
  <c r="X71" i="14"/>
  <c r="X72" i="14"/>
  <c r="X73" i="14"/>
  <c r="X74" i="14"/>
  <c r="X75" i="14"/>
  <c r="X76" i="14"/>
  <c r="X77" i="14"/>
  <c r="X78" i="14"/>
  <c r="X79" i="14"/>
  <c r="X80" i="14"/>
  <c r="X81" i="14"/>
  <c r="X82" i="14"/>
  <c r="X83" i="14"/>
  <c r="X84" i="14"/>
  <c r="X85" i="14"/>
  <c r="X208" i="14"/>
  <c r="X249" i="14"/>
  <c r="X96" i="14"/>
  <c r="X98" i="14"/>
  <c r="X99" i="14"/>
  <c r="X114" i="14"/>
  <c r="X117" i="14"/>
  <c r="X122" i="14"/>
  <c r="X124" i="14"/>
  <c r="X138" i="14"/>
  <c r="X141" i="14"/>
  <c r="X142" i="14"/>
  <c r="X143" i="14"/>
  <c r="X149" i="14"/>
  <c r="X156" i="14"/>
  <c r="X161" i="14"/>
  <c r="X173" i="14"/>
  <c r="X178" i="14"/>
  <c r="X179" i="14"/>
  <c r="X185" i="14"/>
  <c r="X186" i="14"/>
  <c r="X189" i="14"/>
  <c r="X198" i="14"/>
  <c r="X200" i="14"/>
  <c r="X204" i="14"/>
  <c r="X205" i="14"/>
  <c r="X211" i="14"/>
  <c r="X213" i="14"/>
  <c r="X216" i="14"/>
  <c r="X218" i="14"/>
  <c r="X223" i="14"/>
  <c r="X227" i="14"/>
  <c r="X228" i="14"/>
  <c r="X245" i="14"/>
  <c r="X246" i="14"/>
  <c r="X247" i="14"/>
  <c r="X254" i="14"/>
  <c r="X256" i="14"/>
  <c r="X258" i="14"/>
  <c r="X259" i="14"/>
  <c r="X260" i="14"/>
  <c r="X261" i="14"/>
  <c r="X262" i="14"/>
  <c r="X264" i="14"/>
  <c r="X278" i="14"/>
  <c r="X279" i="14"/>
  <c r="X283" i="14"/>
  <c r="X287" i="14"/>
  <c r="X288" i="14"/>
  <c r="X293" i="14"/>
  <c r="X298" i="14"/>
  <c r="X299" i="14"/>
  <c r="X302" i="14"/>
  <c r="X304" i="14"/>
  <c r="X305" i="14"/>
  <c r="X306" i="14"/>
  <c r="X309" i="14"/>
  <c r="X310" i="14"/>
  <c r="X312" i="14"/>
  <c r="X313" i="14"/>
  <c r="X314" i="14"/>
  <c r="X316" i="14"/>
  <c r="X319" i="14"/>
  <c r="X320" i="14"/>
  <c r="X321" i="14"/>
  <c r="X326" i="14"/>
  <c r="X328" i="14"/>
  <c r="X329" i="14"/>
  <c r="X330" i="14"/>
  <c r="X331" i="14"/>
  <c r="X332" i="14"/>
  <c r="X333" i="14"/>
  <c r="X334" i="14"/>
  <c r="X335" i="14"/>
  <c r="X336" i="14"/>
  <c r="X337" i="14"/>
  <c r="X338" i="14"/>
  <c r="X339" i="14"/>
  <c r="X340" i="14"/>
  <c r="X341" i="14"/>
  <c r="X342" i="14"/>
  <c r="X343" i="14"/>
  <c r="X344" i="14"/>
  <c r="X345" i="14"/>
  <c r="X346" i="14"/>
  <c r="X347" i="14"/>
  <c r="X348" i="14"/>
  <c r="X349" i="14"/>
  <c r="X350" i="14"/>
  <c r="X351" i="14"/>
  <c r="X352" i="14"/>
  <c r="X353" i="14"/>
  <c r="X354" i="14"/>
  <c r="X355" i="14"/>
  <c r="X356" i="14"/>
  <c r="X357" i="14"/>
  <c r="X358" i="14"/>
  <c r="X359" i="14"/>
  <c r="X360" i="14"/>
  <c r="X361" i="14"/>
  <c r="X362" i="14"/>
  <c r="X363" i="14"/>
  <c r="X364" i="14"/>
  <c r="X365" i="14"/>
  <c r="X366" i="14"/>
  <c r="X367" i="14"/>
  <c r="X368" i="14"/>
  <c r="X369" i="14"/>
  <c r="X370" i="14"/>
  <c r="X371" i="14"/>
  <c r="X87" i="14"/>
  <c r="X94" i="14"/>
  <c r="X97" i="14"/>
  <c r="X102" i="14"/>
  <c r="X103" i="14"/>
  <c r="X104" i="14"/>
  <c r="X113" i="14"/>
  <c r="X115" i="14"/>
  <c r="X127" i="14"/>
  <c r="X129" i="14"/>
  <c r="X130" i="14"/>
  <c r="X131" i="14"/>
  <c r="X132" i="14"/>
  <c r="X145" i="14"/>
  <c r="X154" i="14"/>
  <c r="X170" i="14"/>
  <c r="X171" i="14"/>
  <c r="X184" i="14"/>
  <c r="X193" i="14"/>
  <c r="X194" i="14"/>
  <c r="X199" i="14"/>
  <c r="X202" i="14"/>
  <c r="X203" i="14"/>
  <c r="X206" i="14"/>
  <c r="X217" i="14"/>
  <c r="X221" i="14"/>
  <c r="X225" i="14"/>
  <c r="X233" i="14"/>
  <c r="X235" i="14"/>
  <c r="X240" i="14"/>
  <c r="X241" i="14"/>
  <c r="X242" i="14"/>
  <c r="X248" i="14"/>
  <c r="X250" i="14"/>
  <c r="X251" i="14"/>
  <c r="X252" i="14"/>
  <c r="X253" i="14"/>
  <c r="X255" i="14"/>
  <c r="X257" i="14"/>
  <c r="X263" i="14"/>
  <c r="X265" i="14"/>
  <c r="X266" i="14"/>
  <c r="X267" i="14"/>
  <c r="X268" i="14"/>
  <c r="X269" i="14"/>
  <c r="X270" i="14"/>
  <c r="X271" i="14"/>
  <c r="X272" i="14"/>
  <c r="X273" i="14"/>
  <c r="X274" i="14"/>
  <c r="X275" i="14"/>
  <c r="X276" i="14"/>
  <c r="X277" i="14"/>
  <c r="X280" i="14"/>
  <c r="X281" i="14"/>
  <c r="X282" i="14"/>
  <c r="X284" i="14"/>
  <c r="X285" i="14"/>
  <c r="X286" i="14"/>
  <c r="X289" i="14"/>
  <c r="X290" i="14"/>
  <c r="X291" i="14"/>
  <c r="X292" i="14"/>
  <c r="X294" i="14"/>
  <c r="X295" i="14"/>
  <c r="X296" i="14"/>
  <c r="X297" i="14"/>
  <c r="X300" i="14"/>
  <c r="X301" i="14"/>
  <c r="X303" i="14"/>
  <c r="X307" i="14"/>
  <c r="X308" i="14"/>
  <c r="X311" i="14"/>
  <c r="X315" i="14"/>
  <c r="X317" i="14"/>
  <c r="X318" i="14"/>
  <c r="X322" i="14"/>
  <c r="X323" i="14"/>
  <c r="X324" i="14"/>
  <c r="X325" i="14"/>
  <c r="X327" i="14"/>
  <c r="X372" i="14"/>
  <c r="X373" i="14"/>
  <c r="X374" i="14"/>
  <c r="X375" i="14"/>
  <c r="X376" i="14"/>
  <c r="X377" i="14"/>
  <c r="X378" i="14"/>
  <c r="X379" i="14"/>
  <c r="X380" i="14"/>
  <c r="X381" i="14"/>
  <c r="X382" i="14"/>
  <c r="X383" i="14"/>
  <c r="X384" i="14"/>
  <c r="X385" i="14"/>
  <c r="X386" i="14"/>
  <c r="X387" i="14"/>
  <c r="X388" i="14"/>
  <c r="X389" i="14"/>
  <c r="X390" i="14"/>
  <c r="X391" i="14"/>
  <c r="X392" i="14"/>
  <c r="X393" i="14"/>
  <c r="X394" i="14"/>
  <c r="X395" i="14"/>
  <c r="X396" i="14"/>
  <c r="X397" i="14"/>
  <c r="X398" i="14"/>
  <c r="X399" i="14"/>
  <c r="X400" i="14"/>
  <c r="X401" i="14"/>
  <c r="X402" i="14"/>
  <c r="X403" i="14"/>
  <c r="X404" i="14"/>
  <c r="X405" i="14"/>
  <c r="X406" i="14"/>
  <c r="X407" i="14"/>
  <c r="X408" i="14"/>
  <c r="X409" i="14"/>
  <c r="X410" i="14"/>
  <c r="X411" i="14"/>
  <c r="X412" i="14"/>
  <c r="X453" i="14"/>
  <c r="X494" i="14"/>
  <c r="X93" i="14"/>
  <c r="X100" i="14"/>
  <c r="X134" i="14"/>
  <c r="X135" i="14"/>
  <c r="X139" i="14"/>
  <c r="X147" i="14"/>
  <c r="X182" i="14"/>
  <c r="X183" i="14"/>
  <c r="X207" i="14"/>
  <c r="X212" i="14"/>
  <c r="X214" i="14"/>
  <c r="X219" i="14"/>
  <c r="X224" i="14"/>
  <c r="X229" i="14"/>
  <c r="X231" i="14"/>
  <c r="X232" i="14"/>
  <c r="X239" i="14"/>
  <c r="X244" i="14"/>
  <c r="X423" i="14"/>
  <c r="X424" i="14"/>
  <c r="X426" i="14"/>
  <c r="X427" i="14"/>
  <c r="X428" i="14"/>
  <c r="X429" i="14"/>
  <c r="X430" i="14"/>
  <c r="X434" i="14"/>
  <c r="X437" i="14"/>
  <c r="X445" i="14"/>
  <c r="X448" i="14"/>
  <c r="X449" i="14"/>
  <c r="X452" i="14"/>
  <c r="X454" i="14"/>
  <c r="X455" i="14"/>
  <c r="X456" i="14"/>
  <c r="X458" i="14"/>
  <c r="X459" i="14"/>
  <c r="X465" i="14"/>
  <c r="X468" i="14"/>
  <c r="X470" i="14"/>
  <c r="X475" i="14"/>
  <c r="X477" i="14"/>
  <c r="X478" i="14"/>
  <c r="X486" i="14"/>
  <c r="X487" i="14"/>
  <c r="X491" i="14"/>
  <c r="X492" i="14"/>
  <c r="X495" i="14"/>
  <c r="X496" i="14"/>
  <c r="X497" i="14"/>
  <c r="X499" i="14"/>
  <c r="X502" i="14"/>
  <c r="X503" i="14"/>
  <c r="X504" i="14"/>
  <c r="X505" i="14"/>
  <c r="X506" i="14"/>
  <c r="X507" i="14"/>
  <c r="X508" i="14"/>
  <c r="X509" i="14"/>
  <c r="X510" i="14"/>
  <c r="X511" i="14"/>
  <c r="X512" i="14"/>
  <c r="X513" i="14"/>
  <c r="X514" i="14"/>
  <c r="X515" i="14"/>
  <c r="X516" i="14"/>
  <c r="X517" i="14"/>
  <c r="X518" i="14"/>
  <c r="X519" i="14"/>
  <c r="X520" i="14"/>
  <c r="X521" i="14"/>
  <c r="X522" i="14"/>
  <c r="X523" i="14"/>
  <c r="X524" i="14"/>
  <c r="X525" i="14"/>
  <c r="X526" i="14"/>
  <c r="X527" i="14"/>
  <c r="X528" i="14"/>
  <c r="X529" i="14"/>
  <c r="X530" i="14"/>
  <c r="X531" i="14"/>
  <c r="X413" i="14"/>
  <c r="X415" i="14"/>
  <c r="X417" i="14"/>
  <c r="X418" i="14"/>
  <c r="X419" i="14"/>
  <c r="X422" i="14"/>
  <c r="X425" i="14"/>
  <c r="X440" i="14"/>
  <c r="X441" i="14"/>
  <c r="X442" i="14"/>
  <c r="X443" i="14"/>
  <c r="X444" i="14"/>
  <c r="X446" i="14"/>
  <c r="X447" i="14"/>
  <c r="X450" i="14"/>
  <c r="X451" i="14"/>
  <c r="X457" i="14"/>
  <c r="X460" i="14"/>
  <c r="X461" i="14"/>
  <c r="X462" i="14"/>
  <c r="X463" i="14"/>
  <c r="X464" i="14"/>
  <c r="X466" i="14"/>
  <c r="X467" i="14"/>
  <c r="X469" i="14"/>
  <c r="X471" i="14"/>
  <c r="X472" i="14"/>
  <c r="X473" i="14"/>
  <c r="X474" i="14"/>
  <c r="X476" i="14"/>
  <c r="X479" i="14"/>
  <c r="X480" i="14"/>
  <c r="X481" i="14"/>
  <c r="X482" i="14"/>
  <c r="X483" i="14"/>
  <c r="X484" i="14"/>
  <c r="X485" i="14"/>
  <c r="X488" i="14"/>
  <c r="X489" i="14"/>
  <c r="X490" i="14"/>
  <c r="X493" i="14"/>
  <c r="X498" i="14"/>
  <c r="X500" i="14"/>
  <c r="X501" i="14"/>
  <c r="X105" i="14"/>
  <c r="X106" i="14"/>
  <c r="X109" i="14"/>
  <c r="X126" i="14"/>
  <c r="X136" i="14"/>
  <c r="X137" i="14"/>
  <c r="X140" i="14"/>
  <c r="X144" i="14"/>
  <c r="X148" i="14"/>
  <c r="X176" i="14"/>
  <c r="X180" i="14"/>
  <c r="X181" i="14"/>
  <c r="X187" i="14"/>
  <c r="X192" i="14"/>
  <c r="X201" i="14"/>
  <c r="X209" i="14"/>
  <c r="X210" i="14"/>
  <c r="X215" i="14"/>
  <c r="X220" i="14"/>
  <c r="X222" i="14"/>
  <c r="X226" i="14"/>
  <c r="X230" i="14"/>
  <c r="X234" i="14"/>
  <c r="X236" i="14"/>
  <c r="X237" i="14"/>
  <c r="X238" i="14"/>
  <c r="X243" i="14"/>
  <c r="X414" i="14"/>
  <c r="X416" i="14"/>
  <c r="X420" i="14"/>
  <c r="X421" i="14"/>
  <c r="X431" i="14"/>
  <c r="X432" i="14"/>
  <c r="X433" i="14"/>
  <c r="X435" i="14"/>
  <c r="X436" i="14"/>
  <c r="X438" i="14"/>
  <c r="X439" i="14"/>
  <c r="X86" i="14"/>
  <c r="X89" i="14"/>
  <c r="X91" i="14"/>
  <c r="X92" i="14"/>
  <c r="X95" i="14"/>
  <c r="X108" i="14"/>
  <c r="X110" i="14"/>
  <c r="X111" i="14"/>
  <c r="X118" i="14"/>
  <c r="X119" i="14"/>
  <c r="X121" i="14"/>
  <c r="X125" i="14"/>
  <c r="X133" i="14"/>
  <c r="X150" i="14"/>
  <c r="X152" i="14"/>
  <c r="X153" i="14"/>
  <c r="X157" i="14"/>
  <c r="X160" i="14"/>
  <c r="X162" i="14"/>
  <c r="X164" i="14"/>
  <c r="X167" i="14"/>
  <c r="X168" i="14"/>
  <c r="X174" i="14"/>
  <c r="X177" i="14"/>
  <c r="X188" i="14"/>
  <c r="X190" i="14"/>
  <c r="X191" i="14"/>
  <c r="X196" i="14"/>
  <c r="X197" i="14"/>
  <c r="X88" i="14"/>
  <c r="X90" i="14"/>
  <c r="X101" i="14"/>
  <c r="X107" i="14"/>
  <c r="X112" i="14"/>
  <c r="X116" i="14"/>
  <c r="X120" i="14"/>
  <c r="X123" i="14"/>
  <c r="X128" i="14"/>
  <c r="X146" i="14"/>
  <c r="X151" i="14"/>
  <c r="X155" i="14"/>
  <c r="X158" i="14"/>
  <c r="X159" i="14"/>
  <c r="X163" i="14"/>
  <c r="X165" i="14"/>
  <c r="X166" i="14"/>
  <c r="X169" i="14"/>
  <c r="X172" i="14"/>
  <c r="X175" i="14"/>
  <c r="X195" i="14"/>
  <c r="O6" i="13"/>
  <c r="O7" i="13"/>
  <c r="O8" i="13"/>
  <c r="N10" i="8"/>
  <c r="N11" i="8"/>
  <c r="M8" i="13"/>
  <c r="V196" i="14"/>
  <c r="V170" i="14"/>
  <c r="V159" i="14"/>
  <c r="V133" i="14"/>
  <c r="V125" i="14"/>
  <c r="V119" i="14"/>
  <c r="V113" i="14"/>
  <c r="M7" i="13"/>
  <c r="V192" i="14"/>
  <c r="V152" i="14"/>
  <c r="V131" i="14"/>
  <c r="V122" i="14"/>
  <c r="V118" i="14"/>
  <c r="V110" i="14"/>
  <c r="V108" i="14"/>
  <c r="V104" i="14"/>
  <c r="V94" i="14"/>
  <c r="V194" i="14"/>
  <c r="V136" i="14"/>
  <c r="V130" i="14"/>
  <c r="V124" i="14"/>
  <c r="V112" i="14"/>
  <c r="V438" i="14"/>
  <c r="V433" i="14"/>
  <c r="V431" i="14"/>
  <c r="V416" i="14"/>
  <c r="V246" i="14"/>
  <c r="V218" i="14"/>
  <c r="V207" i="14"/>
  <c r="V204" i="14"/>
  <c r="V177" i="14"/>
  <c r="V146" i="14"/>
  <c r="V139" i="14"/>
  <c r="V127" i="14"/>
  <c r="V100" i="14"/>
  <c r="V93" i="14"/>
  <c r="V504" i="14"/>
  <c r="V500" i="14"/>
  <c r="V491" i="14"/>
  <c r="V489" i="14"/>
  <c r="V487" i="14"/>
  <c r="V484" i="14"/>
  <c r="V482" i="14"/>
  <c r="V480" i="14"/>
  <c r="V473" i="14"/>
  <c r="V469" i="14"/>
  <c r="V466" i="14"/>
  <c r="V461" i="14"/>
  <c r="V459" i="14"/>
  <c r="V451" i="14"/>
  <c r="V444" i="14"/>
  <c r="V442" i="14"/>
  <c r="V440" i="14"/>
  <c r="V421" i="14"/>
  <c r="V418" i="14"/>
  <c r="V413" i="14"/>
  <c r="V530" i="14"/>
  <c r="V528" i="14"/>
  <c r="V526" i="14"/>
  <c r="V523" i="14"/>
  <c r="V521" i="14"/>
  <c r="V519" i="14"/>
  <c r="V516" i="14"/>
  <c r="V514" i="14"/>
  <c r="V512" i="14"/>
  <c r="V510" i="14"/>
  <c r="V508" i="14"/>
  <c r="V506" i="14"/>
  <c r="V503" i="14"/>
  <c r="V499" i="14"/>
  <c r="V496" i="14"/>
  <c r="V492" i="14"/>
  <c r="V478" i="14"/>
  <c r="V476" i="14"/>
  <c r="V474" i="14"/>
  <c r="V468" i="14"/>
  <c r="V463" i="14"/>
  <c r="V458" i="14"/>
  <c r="V455" i="14"/>
  <c r="V452" i="14"/>
  <c r="V447" i="14"/>
  <c r="V445" i="14"/>
  <c r="V436" i="14"/>
  <c r="V430" i="14"/>
  <c r="V427" i="14"/>
  <c r="V425" i="14"/>
  <c r="V424" i="14"/>
  <c r="V423" i="14"/>
  <c r="V245" i="14"/>
  <c r="V241" i="14"/>
  <c r="V232" i="14"/>
  <c r="V231" i="14"/>
  <c r="V228" i="14"/>
  <c r="V227" i="14"/>
  <c r="V225" i="14"/>
  <c r="V223" i="14"/>
  <c r="V222" i="14"/>
  <c r="V220" i="14"/>
  <c r="V212" i="14"/>
  <c r="V211" i="14"/>
  <c r="V210" i="14"/>
  <c r="V209" i="14"/>
  <c r="V205" i="14"/>
  <c r="V156" i="14"/>
  <c r="V148" i="14"/>
  <c r="V145" i="14"/>
  <c r="V494" i="14"/>
  <c r="V453" i="14"/>
  <c r="V412" i="14"/>
  <c r="V411" i="14"/>
  <c r="V410" i="14"/>
  <c r="V409" i="14"/>
  <c r="V408" i="14"/>
  <c r="V407" i="14"/>
  <c r="V406" i="14"/>
  <c r="V405" i="14"/>
  <c r="V404" i="14"/>
  <c r="V403" i="14"/>
  <c r="V402" i="14"/>
  <c r="V401" i="14"/>
  <c r="V400" i="14"/>
  <c r="V399" i="14"/>
  <c r="V398" i="14"/>
  <c r="V397" i="14"/>
  <c r="V396" i="14"/>
  <c r="V395" i="14"/>
  <c r="V394" i="14"/>
  <c r="V393" i="14"/>
  <c r="V392" i="14"/>
  <c r="V391" i="14"/>
  <c r="V390" i="14"/>
  <c r="V389" i="14"/>
  <c r="V388" i="14"/>
  <c r="V387" i="14"/>
  <c r="V386" i="14"/>
  <c r="V385" i="14"/>
  <c r="V384" i="14"/>
  <c r="V383" i="14"/>
  <c r="V382" i="14"/>
  <c r="V381" i="14"/>
  <c r="V380" i="14"/>
  <c r="V379" i="14"/>
  <c r="V378" i="14"/>
  <c r="V377" i="14"/>
  <c r="V376" i="14"/>
  <c r="V375" i="14"/>
  <c r="V374" i="14"/>
  <c r="V373" i="14"/>
  <c r="V372" i="14"/>
  <c r="V327" i="14"/>
  <c r="V325" i="14"/>
  <c r="V324" i="14"/>
  <c r="V323" i="14"/>
  <c r="V322" i="14"/>
  <c r="V318" i="14"/>
  <c r="V317" i="14"/>
  <c r="V315" i="14"/>
  <c r="V311" i="14"/>
  <c r="V308" i="14"/>
  <c r="V307" i="14"/>
  <c r="V304" i="14"/>
  <c r="V303" i="14"/>
  <c r="V301" i="14"/>
  <c r="V300" i="14"/>
  <c r="V297" i="14"/>
  <c r="V296" i="14"/>
  <c r="V295" i="14"/>
  <c r="V292" i="14"/>
  <c r="V291" i="14"/>
  <c r="V289" i="14"/>
  <c r="V286" i="14"/>
  <c r="V284" i="14"/>
  <c r="V282" i="14"/>
  <c r="V281" i="14"/>
  <c r="V280" i="14"/>
  <c r="V277" i="14"/>
  <c r="V276" i="14"/>
  <c r="V275" i="14"/>
  <c r="V274" i="14"/>
  <c r="V273" i="14"/>
  <c r="V272" i="14"/>
  <c r="V271" i="14"/>
  <c r="V270" i="14"/>
  <c r="V269" i="14"/>
  <c r="V266" i="14"/>
  <c r="V263" i="14"/>
  <c r="V257" i="14"/>
  <c r="V255" i="14"/>
  <c r="V253" i="14"/>
  <c r="V252" i="14"/>
  <c r="V250" i="14"/>
  <c r="V244" i="14"/>
  <c r="V243" i="14"/>
  <c r="V242" i="14"/>
  <c r="V238" i="14"/>
  <c r="V237" i="14"/>
  <c r="V236" i="14"/>
  <c r="V224" i="14"/>
  <c r="V219" i="14"/>
  <c r="V216" i="14"/>
  <c r="V215" i="14"/>
  <c r="V214" i="14"/>
  <c r="V203" i="14"/>
  <c r="V186" i="14"/>
  <c r="V185" i="14"/>
  <c r="V184" i="14"/>
  <c r="V182" i="14"/>
  <c r="V179" i="14"/>
  <c r="V178" i="14"/>
  <c r="V175" i="14"/>
  <c r="V173" i="14"/>
  <c r="V169" i="14"/>
  <c r="V168" i="14"/>
  <c r="V167" i="14"/>
  <c r="V165" i="14"/>
  <c r="V164" i="14"/>
  <c r="V155" i="14"/>
  <c r="V140" i="14"/>
  <c r="V120" i="14"/>
  <c r="V117" i="14"/>
  <c r="V101" i="14"/>
  <c r="V92" i="14"/>
  <c r="V90" i="14"/>
  <c r="V87" i="14"/>
  <c r="V371" i="14"/>
  <c r="V370" i="14"/>
  <c r="V369" i="14"/>
  <c r="V368" i="14"/>
  <c r="V367" i="14"/>
  <c r="V366" i="14"/>
  <c r="V365" i="14"/>
  <c r="V364" i="14"/>
  <c r="V363" i="14"/>
  <c r="V362" i="14"/>
  <c r="V361" i="14"/>
  <c r="V360" i="14"/>
  <c r="V359" i="14"/>
  <c r="V358" i="14"/>
  <c r="V357" i="14"/>
  <c r="V356" i="14"/>
  <c r="V355" i="14"/>
  <c r="V354" i="14"/>
  <c r="V353" i="14"/>
  <c r="M6" i="13"/>
  <c r="V193" i="14"/>
  <c r="V160" i="14"/>
  <c r="V142" i="14"/>
  <c r="V129" i="14"/>
  <c r="V121" i="14"/>
  <c r="V114" i="14"/>
  <c r="V111" i="14"/>
  <c r="V109" i="14"/>
  <c r="V105" i="14"/>
  <c r="V98" i="14"/>
  <c r="V97" i="14"/>
  <c r="V91" i="14"/>
  <c r="V190" i="14"/>
  <c r="V189" i="14"/>
  <c r="V176" i="14"/>
  <c r="V161" i="14"/>
  <c r="V154" i="14"/>
  <c r="V151" i="14"/>
  <c r="V147" i="14"/>
  <c r="V143" i="14"/>
  <c r="V138" i="14"/>
  <c r="V134" i="14"/>
  <c r="V126" i="14"/>
  <c r="V123" i="14"/>
  <c r="V115" i="14"/>
  <c r="V439" i="14"/>
  <c r="V435" i="14"/>
  <c r="V432" i="14"/>
  <c r="V429" i="14"/>
  <c r="V420" i="14"/>
  <c r="V414" i="14"/>
  <c r="V229" i="14"/>
  <c r="V213" i="14"/>
  <c r="V206" i="14"/>
  <c r="V199" i="14"/>
  <c r="V188" i="14"/>
  <c r="V149" i="14"/>
  <c r="V141" i="14"/>
  <c r="V135" i="14"/>
  <c r="V128" i="14"/>
  <c r="V103" i="14"/>
  <c r="V99" i="14"/>
  <c r="V86" i="14"/>
  <c r="V501" i="14"/>
  <c r="V498" i="14"/>
  <c r="V493" i="14"/>
  <c r="V490" i="14"/>
  <c r="V488" i="14"/>
  <c r="V485" i="14"/>
  <c r="V483" i="14"/>
  <c r="V481" i="14"/>
  <c r="V479" i="14"/>
  <c r="V472" i="14"/>
  <c r="V471" i="14"/>
  <c r="V467" i="14"/>
  <c r="V464" i="14"/>
  <c r="V460" i="14"/>
  <c r="V457" i="14"/>
  <c r="V450" i="14"/>
  <c r="V449" i="14"/>
  <c r="V443" i="14"/>
  <c r="V441" i="14"/>
  <c r="V422" i="14"/>
  <c r="V419" i="14"/>
  <c r="V417" i="14"/>
  <c r="V415" i="14"/>
  <c r="V531" i="14"/>
  <c r="V529" i="14"/>
  <c r="V527" i="14"/>
  <c r="V525" i="14"/>
  <c r="V524" i="14"/>
  <c r="V522" i="14"/>
  <c r="V520" i="14"/>
  <c r="V518" i="14"/>
  <c r="V517" i="14"/>
  <c r="V515" i="14"/>
  <c r="V513" i="14"/>
  <c r="V511" i="14"/>
  <c r="V509" i="14"/>
  <c r="V507" i="14"/>
  <c r="V505" i="14"/>
  <c r="V502" i="14"/>
  <c r="V497" i="14"/>
  <c r="V495" i="14"/>
  <c r="V486" i="14"/>
  <c r="V477" i="14"/>
  <c r="V475" i="14"/>
  <c r="V470" i="14"/>
  <c r="V465" i="14"/>
  <c r="V462" i="14"/>
  <c r="V456" i="14"/>
  <c r="V454" i="14"/>
  <c r="V448" i="14"/>
  <c r="V446" i="14"/>
  <c r="V437" i="14"/>
  <c r="V434" i="14"/>
  <c r="V428" i="14"/>
  <c r="V426" i="14"/>
  <c r="V352" i="14"/>
  <c r="V351" i="14"/>
  <c r="V350" i="14"/>
  <c r="V349" i="14"/>
  <c r="V348" i="14"/>
  <c r="V347" i="14"/>
  <c r="V346" i="14"/>
  <c r="V345" i="14"/>
  <c r="V344" i="14"/>
  <c r="V343" i="14"/>
  <c r="V342" i="14"/>
  <c r="V341" i="14"/>
  <c r="V340" i="14"/>
  <c r="V339" i="14"/>
  <c r="V338" i="14"/>
  <c r="V337" i="14"/>
  <c r="V336" i="14"/>
  <c r="V335" i="14"/>
  <c r="V334" i="14"/>
  <c r="V333" i="14"/>
  <c r="V332" i="14"/>
  <c r="V331" i="14"/>
  <c r="V330" i="14"/>
  <c r="V329" i="14"/>
  <c r="V328" i="14"/>
  <c r="V326" i="14"/>
  <c r="V321" i="14"/>
  <c r="V320" i="14"/>
  <c r="V319" i="14"/>
  <c r="V316" i="14"/>
  <c r="V314" i="14"/>
  <c r="V313" i="14"/>
  <c r="V312" i="14"/>
  <c r="V310" i="14"/>
  <c r="V309" i="14"/>
  <c r="V306" i="14"/>
  <c r="V305" i="14"/>
  <c r="V302" i="14"/>
  <c r="V299" i="14"/>
  <c r="V298" i="14"/>
  <c r="V294" i="14"/>
  <c r="V293" i="14"/>
  <c r="V288" i="14"/>
  <c r="V287" i="14"/>
  <c r="V285" i="14"/>
  <c r="V283" i="14"/>
  <c r="V279" i="14"/>
  <c r="V278" i="14"/>
  <c r="V268" i="14"/>
  <c r="V267" i="14"/>
  <c r="V265" i="14"/>
  <c r="V264" i="14"/>
  <c r="V262" i="14"/>
  <c r="V261" i="14"/>
  <c r="V260" i="14"/>
  <c r="V259" i="14"/>
  <c r="V258" i="14"/>
  <c r="V256" i="14"/>
  <c r="V254" i="14"/>
  <c r="V251" i="14"/>
  <c r="V248" i="14"/>
  <c r="V247" i="14"/>
  <c r="V240" i="14"/>
  <c r="V239" i="14"/>
  <c r="V235" i="14"/>
  <c r="V234" i="14"/>
  <c r="V233" i="14"/>
  <c r="V230" i="14"/>
  <c r="V226" i="14"/>
  <c r="V221" i="14"/>
  <c r="V217" i="14"/>
  <c r="V202" i="14"/>
  <c r="V201" i="14"/>
  <c r="V200" i="14"/>
  <c r="V198" i="14"/>
  <c r="V197" i="14"/>
  <c r="V195" i="14"/>
  <c r="V191" i="14"/>
  <c r="V187" i="14"/>
  <c r="V183" i="14"/>
  <c r="V181" i="14"/>
  <c r="V180" i="14"/>
  <c r="V174" i="14"/>
  <c r="V172" i="14"/>
  <c r="V171" i="14"/>
  <c r="V166" i="14"/>
  <c r="V163" i="14"/>
  <c r="V162" i="14"/>
  <c r="V158" i="14"/>
  <c r="V157" i="14"/>
  <c r="V153" i="14"/>
  <c r="V150" i="14"/>
  <c r="V144" i="14"/>
  <c r="V137" i="14"/>
  <c r="V132" i="14"/>
  <c r="V116" i="14"/>
  <c r="V107" i="14"/>
  <c r="V106" i="14"/>
  <c r="V102" i="14"/>
  <c r="V96" i="14"/>
  <c r="V95" i="14"/>
  <c r="V89" i="14"/>
  <c r="V88" i="14"/>
  <c r="V290" i="14"/>
  <c r="V249" i="14"/>
  <c r="V208" i="14"/>
  <c r="V85" i="14"/>
  <c r="V84" i="14"/>
  <c r="V83" i="14"/>
  <c r="V82" i="14"/>
  <c r="V81" i="14"/>
  <c r="V80" i="14"/>
  <c r="V79" i="14"/>
  <c r="V78" i="14"/>
  <c r="V77" i="14"/>
  <c r="V76" i="14"/>
  <c r="V75" i="14"/>
  <c r="V74" i="14"/>
  <c r="V73" i="14"/>
  <c r="V72" i="14"/>
  <c r="V71" i="14"/>
  <c r="V70" i="14"/>
  <c r="V69" i="14"/>
  <c r="V68" i="14"/>
  <c r="V67" i="14"/>
  <c r="V66" i="14"/>
  <c r="V65" i="14"/>
  <c r="V64" i="14"/>
  <c r="V63" i="14"/>
  <c r="V62" i="14"/>
  <c r="V61" i="14"/>
  <c r="V60" i="14"/>
  <c r="V59" i="14"/>
  <c r="V58" i="14"/>
  <c r="V57" i="14"/>
  <c r="V56" i="14"/>
  <c r="V55" i="14"/>
  <c r="V54" i="14"/>
  <c r="V53" i="14"/>
  <c r="V52" i="14"/>
  <c r="V51" i="14"/>
  <c r="V50" i="14"/>
  <c r="V49" i="14"/>
  <c r="V48" i="14"/>
  <c r="V47" i="14"/>
  <c r="V46" i="14"/>
  <c r="V45" i="14"/>
  <c r="V44" i="14"/>
  <c r="V43" i="14"/>
  <c r="V42" i="14"/>
  <c r="V41" i="14"/>
  <c r="V40" i="14"/>
  <c r="V39" i="14"/>
  <c r="V38" i="14"/>
  <c r="V37" i="14"/>
  <c r="V36" i="14"/>
  <c r="V35" i="14"/>
  <c r="V34" i="14"/>
  <c r="V33" i="14"/>
  <c r="V32" i="14"/>
  <c r="V31" i="14"/>
  <c r="M17" i="8"/>
  <c r="M15" i="12"/>
  <c r="M16" i="12"/>
  <c r="M18" i="12" s="1"/>
  <c r="N17" i="12" s="1"/>
  <c r="L19" i="8"/>
  <c r="L22" i="8" s="1"/>
  <c r="L25" i="12"/>
  <c r="L26" i="12" s="1"/>
  <c r="L19" i="12"/>
  <c r="L22" i="12"/>
  <c r="L24" i="12" s="1"/>
  <c r="K21" i="12"/>
  <c r="G31" i="2"/>
  <c r="M57" i="6"/>
  <c r="M58" i="6" s="1"/>
  <c r="N51" i="6"/>
  <c r="M59" i="6"/>
  <c r="H29" i="2" s="1"/>
  <c r="M75" i="6"/>
  <c r="F31" i="2"/>
  <c r="J21" i="12"/>
  <c r="E8" i="2"/>
  <c r="F8" i="2"/>
  <c r="K85" i="6"/>
  <c r="K86" i="6" s="1"/>
  <c r="L84" i="6"/>
  <c r="M84" i="6" s="1"/>
  <c r="N84" i="6" s="1"/>
  <c r="O84" i="6" s="1"/>
  <c r="P84" i="6" s="1"/>
  <c r="Q84" i="6" s="1"/>
  <c r="R84" i="6" s="1"/>
  <c r="E28" i="2"/>
  <c r="C19" i="16"/>
  <c r="F19" i="16" s="1"/>
  <c r="I5" i="9"/>
  <c r="I6" i="9" s="1"/>
  <c r="I87" i="6"/>
  <c r="W67" i="14"/>
  <c r="W68" i="14"/>
  <c r="W69" i="14"/>
  <c r="W70" i="14"/>
  <c r="W71" i="14"/>
  <c r="W72" i="14"/>
  <c r="W73" i="14"/>
  <c r="W74" i="14"/>
  <c r="W75" i="14"/>
  <c r="W76" i="14"/>
  <c r="W77" i="14"/>
  <c r="W78" i="14"/>
  <c r="W79" i="14"/>
  <c r="W80" i="14"/>
  <c r="W81" i="14"/>
  <c r="W82" i="14"/>
  <c r="W83" i="14"/>
  <c r="W84" i="14"/>
  <c r="W85" i="14"/>
  <c r="W208" i="14"/>
  <c r="W249" i="14"/>
  <c r="W86" i="14"/>
  <c r="W90" i="14"/>
  <c r="W91" i="14"/>
  <c r="W101" i="14"/>
  <c r="W104" i="14"/>
  <c r="W105" i="14"/>
  <c r="W109" i="14"/>
  <c r="W110" i="14"/>
  <c r="W120" i="14"/>
  <c r="W123" i="14"/>
  <c r="W125" i="14"/>
  <c r="W140" i="14"/>
  <c r="W148" i="14"/>
  <c r="W164" i="14"/>
  <c r="W165" i="14"/>
  <c r="W168" i="14"/>
  <c r="W170" i="14"/>
  <c r="W175" i="14"/>
  <c r="W182" i="14"/>
  <c r="W184" i="14"/>
  <c r="W190" i="14"/>
  <c r="W192" i="14"/>
  <c r="W193" i="14"/>
  <c r="W199" i="14"/>
  <c r="W203" i="14"/>
  <c r="W207" i="14"/>
  <c r="W210" i="14"/>
  <c r="W212" i="14"/>
  <c r="W214" i="14"/>
  <c r="W219" i="14"/>
  <c r="W222" i="14"/>
  <c r="W225" i="14"/>
  <c r="W232" i="14"/>
  <c r="W236" i="14"/>
  <c r="W237" i="14"/>
  <c r="W238" i="14"/>
  <c r="W243" i="14"/>
  <c r="W244" i="14"/>
  <c r="W247" i="14"/>
  <c r="W337" i="14"/>
  <c r="W338" i="14"/>
  <c r="W339" i="14"/>
  <c r="W340" i="14"/>
  <c r="W341" i="14"/>
  <c r="W342" i="14"/>
  <c r="W343" i="14"/>
  <c r="W344" i="14"/>
  <c r="W345" i="14"/>
  <c r="W346" i="14"/>
  <c r="W347" i="14"/>
  <c r="W348" i="14"/>
  <c r="W349" i="14"/>
  <c r="W350" i="14"/>
  <c r="W351" i="14"/>
  <c r="W352" i="14"/>
  <c r="W354" i="14"/>
  <c r="W355" i="14"/>
  <c r="W357" i="14"/>
  <c r="W359" i="14"/>
  <c r="W360" i="14"/>
  <c r="W362" i="14"/>
  <c r="W364" i="14"/>
  <c r="W366" i="14"/>
  <c r="W368" i="14"/>
  <c r="W369" i="14"/>
  <c r="W371" i="14"/>
  <c r="W89" i="14"/>
  <c r="W95" i="14"/>
  <c r="W118" i="14"/>
  <c r="W121" i="14"/>
  <c r="W128" i="14"/>
  <c r="W139" i="14"/>
  <c r="W223" i="14"/>
  <c r="W229" i="14"/>
  <c r="W239" i="14"/>
  <c r="W246" i="14"/>
  <c r="W254" i="14"/>
  <c r="W264" i="14"/>
  <c r="W266" i="14"/>
  <c r="W268" i="14"/>
  <c r="W279" i="14"/>
  <c r="W287" i="14"/>
  <c r="W294" i="14"/>
  <c r="W297" i="14"/>
  <c r="W302" i="14"/>
  <c r="W305" i="14"/>
  <c r="W309" i="14"/>
  <c r="W312" i="14"/>
  <c r="W314" i="14"/>
  <c r="W320" i="14"/>
  <c r="W326" i="14"/>
  <c r="W329" i="14"/>
  <c r="W372" i="14"/>
  <c r="W374" i="14"/>
  <c r="W376" i="14"/>
  <c r="W378" i="14"/>
  <c r="W380" i="14"/>
  <c r="W382" i="14"/>
  <c r="W384" i="14"/>
  <c r="W386" i="14"/>
  <c r="W388" i="14"/>
  <c r="W390" i="14"/>
  <c r="W392" i="14"/>
  <c r="W394" i="14"/>
  <c r="W396" i="14"/>
  <c r="W398" i="14"/>
  <c r="W399" i="14"/>
  <c r="W401" i="14"/>
  <c r="W403" i="14"/>
  <c r="W405" i="14"/>
  <c r="W407" i="14"/>
  <c r="W409" i="14"/>
  <c r="W411" i="14"/>
  <c r="W453" i="14"/>
  <c r="W97" i="14"/>
  <c r="W146" i="14"/>
  <c r="W151" i="14"/>
  <c r="W202" i="14"/>
  <c r="W215" i="14"/>
  <c r="W217" i="14"/>
  <c r="W226" i="14"/>
  <c r="W233" i="14"/>
  <c r="W242" i="14"/>
  <c r="W433" i="14"/>
  <c r="W436" i="14"/>
  <c r="W449" i="14"/>
  <c r="W451" i="14"/>
  <c r="W459" i="14"/>
  <c r="W461" i="14"/>
  <c r="W466" i="14"/>
  <c r="W469" i="14"/>
  <c r="W478" i="14"/>
  <c r="W491" i="14"/>
  <c r="W495" i="14"/>
  <c r="W496" i="14"/>
  <c r="W498" i="14"/>
  <c r="W501" i="14"/>
  <c r="W505" i="14"/>
  <c r="W508" i="14"/>
  <c r="W510" i="14"/>
  <c r="W513" i="14"/>
  <c r="W515" i="14"/>
  <c r="W516" i="14"/>
  <c r="W519" i="14"/>
  <c r="W521" i="14"/>
  <c r="W523" i="14"/>
  <c r="W525" i="14"/>
  <c r="W527" i="14"/>
  <c r="W529" i="14"/>
  <c r="W531" i="14"/>
  <c r="W416" i="14"/>
  <c r="W417" i="14"/>
  <c r="W420" i="14"/>
  <c r="W248" i="14"/>
  <c r="W250" i="14"/>
  <c r="W252" i="14"/>
  <c r="W253" i="14"/>
  <c r="W255" i="14"/>
  <c r="W257" i="14"/>
  <c r="W258" i="14"/>
  <c r="W259" i="14"/>
  <c r="W260" i="14"/>
  <c r="W261" i="14"/>
  <c r="W262" i="14"/>
  <c r="W263" i="14"/>
  <c r="W269" i="14"/>
  <c r="W270" i="14"/>
  <c r="W271" i="14"/>
  <c r="W272" i="14"/>
  <c r="W273" i="14"/>
  <c r="W274" i="14"/>
  <c r="W275" i="14"/>
  <c r="W276" i="14"/>
  <c r="W277" i="14"/>
  <c r="W280" i="14"/>
  <c r="W281" i="14"/>
  <c r="W282" i="14"/>
  <c r="W283" i="14"/>
  <c r="W284" i="14"/>
  <c r="W286" i="14"/>
  <c r="W289" i="14"/>
  <c r="W290" i="14"/>
  <c r="W291" i="14"/>
  <c r="W292" i="14"/>
  <c r="W295" i="14"/>
  <c r="W299" i="14"/>
  <c r="W300" i="14"/>
  <c r="W301" i="14"/>
  <c r="W303" i="14"/>
  <c r="W307" i="14"/>
  <c r="W308" i="14"/>
  <c r="W311" i="14"/>
  <c r="W315" i="14"/>
  <c r="W317" i="14"/>
  <c r="W318" i="14"/>
  <c r="W322" i="14"/>
  <c r="W323" i="14"/>
  <c r="W324" i="14"/>
  <c r="W325" i="14"/>
  <c r="W327" i="14"/>
  <c r="W331" i="14"/>
  <c r="W332" i="14"/>
  <c r="W333" i="14"/>
  <c r="W334" i="14"/>
  <c r="W335" i="14"/>
  <c r="W336" i="14"/>
  <c r="W353" i="14"/>
  <c r="W356" i="14"/>
  <c r="W358" i="14"/>
  <c r="W361" i="14"/>
  <c r="W363" i="14"/>
  <c r="W365" i="14"/>
  <c r="W367" i="14"/>
  <c r="W370" i="14"/>
  <c r="W88" i="14"/>
  <c r="W93" i="14"/>
  <c r="W100" i="14"/>
  <c r="W119" i="14"/>
  <c r="W126" i="14"/>
  <c r="W135" i="14"/>
  <c r="W143" i="14"/>
  <c r="W144" i="14"/>
  <c r="W152" i="14"/>
  <c r="W158" i="14"/>
  <c r="W160" i="14"/>
  <c r="W172" i="14"/>
  <c r="W174" i="14"/>
  <c r="W177" i="14"/>
  <c r="W180" i="14"/>
  <c r="W181" i="14"/>
  <c r="W183" i="14"/>
  <c r="W187" i="14"/>
  <c r="W188" i="14"/>
  <c r="W191" i="14"/>
  <c r="W196" i="14"/>
  <c r="W197" i="14"/>
  <c r="W198" i="14"/>
  <c r="W201" i="14"/>
  <c r="W204" i="14"/>
  <c r="W209" i="14"/>
  <c r="W213" i="14"/>
  <c r="W218" i="14"/>
  <c r="W220" i="14"/>
  <c r="W227" i="14"/>
  <c r="W228" i="14"/>
  <c r="W234" i="14"/>
  <c r="W245" i="14"/>
  <c r="W251" i="14"/>
  <c r="W256" i="14"/>
  <c r="W265" i="14"/>
  <c r="W267" i="14"/>
  <c r="W278" i="14"/>
  <c r="W285" i="14"/>
  <c r="W288" i="14"/>
  <c r="W293" i="14"/>
  <c r="W296" i="14"/>
  <c r="W298" i="14"/>
  <c r="W304" i="14"/>
  <c r="W306" i="14"/>
  <c r="W310" i="14"/>
  <c r="W313" i="14"/>
  <c r="W316" i="14"/>
  <c r="W319" i="14"/>
  <c r="W321" i="14"/>
  <c r="W328" i="14"/>
  <c r="W330" i="14"/>
  <c r="W373" i="14"/>
  <c r="W375" i="14"/>
  <c r="W377" i="14"/>
  <c r="W379" i="14"/>
  <c r="W381" i="14"/>
  <c r="W383" i="14"/>
  <c r="W385" i="14"/>
  <c r="W387" i="14"/>
  <c r="W389" i="14"/>
  <c r="W391" i="14"/>
  <c r="W393" i="14"/>
  <c r="W395" i="14"/>
  <c r="W397" i="14"/>
  <c r="W400" i="14"/>
  <c r="W402" i="14"/>
  <c r="W404" i="14"/>
  <c r="W406" i="14"/>
  <c r="W408" i="14"/>
  <c r="W410" i="14"/>
  <c r="W412" i="14"/>
  <c r="W494" i="14"/>
  <c r="W138" i="14"/>
  <c r="W149" i="14"/>
  <c r="W153" i="14"/>
  <c r="W206" i="14"/>
  <c r="W216" i="14"/>
  <c r="W221" i="14"/>
  <c r="W230" i="14"/>
  <c r="W240" i="14"/>
  <c r="W429" i="14"/>
  <c r="W435" i="14"/>
  <c r="W437" i="14"/>
  <c r="W450" i="14"/>
  <c r="W457" i="14"/>
  <c r="W460" i="14"/>
  <c r="W464" i="14"/>
  <c r="W467" i="14"/>
  <c r="W476" i="14"/>
  <c r="W485" i="14"/>
  <c r="W493" i="14"/>
  <c r="W506" i="14"/>
  <c r="W497" i="14"/>
  <c r="W500" i="14"/>
  <c r="W504" i="14"/>
  <c r="W507" i="14"/>
  <c r="W509" i="14"/>
  <c r="W511" i="14"/>
  <c r="W512" i="14"/>
  <c r="W514" i="14"/>
  <c r="W517" i="14"/>
  <c r="W518" i="14"/>
  <c r="W520" i="14"/>
  <c r="W522" i="14"/>
  <c r="W524" i="14"/>
  <c r="W526" i="14"/>
  <c r="W528" i="14"/>
  <c r="W530" i="14"/>
  <c r="W455" i="14"/>
  <c r="W456" i="14"/>
  <c r="W458" i="14"/>
  <c r="W462" i="14"/>
  <c r="W463" i="14"/>
  <c r="W465" i="14"/>
  <c r="W468" i="14"/>
  <c r="W470" i="14"/>
  <c r="W471" i="14"/>
  <c r="W472" i="14"/>
  <c r="W473" i="14"/>
  <c r="W474" i="14"/>
  <c r="W475" i="14"/>
  <c r="W477" i="14"/>
  <c r="W479" i="14"/>
  <c r="W480" i="14"/>
  <c r="W481" i="14"/>
  <c r="W482" i="14"/>
  <c r="W483" i="14"/>
  <c r="W484" i="14"/>
  <c r="W486" i="14"/>
  <c r="W487" i="14"/>
  <c r="W488" i="14"/>
  <c r="W489" i="14"/>
  <c r="W490" i="14"/>
  <c r="W492" i="14"/>
  <c r="W499" i="14"/>
  <c r="W502" i="14"/>
  <c r="W503" i="14"/>
  <c r="W94" i="14"/>
  <c r="W96" i="14"/>
  <c r="W98" i="14"/>
  <c r="W107" i="14"/>
  <c r="W108" i="14"/>
  <c r="W112" i="14"/>
  <c r="W117" i="14"/>
  <c r="W130" i="14"/>
  <c r="W131" i="14"/>
  <c r="W133" i="14"/>
  <c r="W142" i="14"/>
  <c r="W147" i="14"/>
  <c r="W178" i="14"/>
  <c r="W179" i="14"/>
  <c r="W185" i="14"/>
  <c r="W186" i="14"/>
  <c r="W189" i="14"/>
  <c r="W194" i="14"/>
  <c r="W200" i="14"/>
  <c r="W205" i="14"/>
  <c r="W211" i="14"/>
  <c r="W224" i="14"/>
  <c r="W231" i="14"/>
  <c r="W235" i="14"/>
  <c r="W241" i="14"/>
  <c r="W413" i="14"/>
  <c r="W415" i="14"/>
  <c r="W418" i="14"/>
  <c r="W419" i="14"/>
  <c r="W425" i="14"/>
  <c r="W426" i="14"/>
  <c r="W427" i="14"/>
  <c r="W428" i="14"/>
  <c r="W430" i="14"/>
  <c r="W431" i="14"/>
  <c r="W432" i="14"/>
  <c r="W434" i="14"/>
  <c r="W438" i="14"/>
  <c r="W439" i="14"/>
  <c r="W111" i="14"/>
  <c r="W113" i="14"/>
  <c r="W114" i="14"/>
  <c r="W116" i="14"/>
  <c r="W122" i="14"/>
  <c r="W127" i="14"/>
  <c r="W129" i="14"/>
  <c r="W132" i="14"/>
  <c r="W145" i="14"/>
  <c r="W155" i="14"/>
  <c r="W156" i="14"/>
  <c r="W159" i="14"/>
  <c r="W163" i="14"/>
  <c r="W166" i="14"/>
  <c r="W169" i="14"/>
  <c r="W171" i="14"/>
  <c r="W195" i="14"/>
  <c r="W87" i="14"/>
  <c r="W92" i="14"/>
  <c r="W99" i="14"/>
  <c r="W102" i="14"/>
  <c r="W103" i="14"/>
  <c r="W106" i="14"/>
  <c r="W115" i="14"/>
  <c r="W124" i="14"/>
  <c r="W134" i="14"/>
  <c r="W136" i="14"/>
  <c r="W137" i="14"/>
  <c r="W141" i="14"/>
  <c r="W150" i="14"/>
  <c r="W154" i="14"/>
  <c r="W157" i="14"/>
  <c r="W161" i="14"/>
  <c r="W162" i="14"/>
  <c r="W167" i="14"/>
  <c r="W173" i="14"/>
  <c r="W176" i="14"/>
  <c r="N6" i="13"/>
  <c r="N7" i="13"/>
  <c r="N8" i="13"/>
  <c r="M35" i="6"/>
  <c r="M60" i="6"/>
  <c r="J22" i="8"/>
  <c r="R24" i="6" l="1"/>
  <c r="Q25" i="6"/>
  <c r="Q26" i="6"/>
  <c r="Q29" i="6" s="1"/>
  <c r="Q27" i="6"/>
  <c r="Q28" i="6"/>
  <c r="Q33" i="6"/>
  <c r="Q74" i="6" s="1"/>
  <c r="Q69" i="6"/>
  <c r="Q70" i="6" s="1"/>
  <c r="Q11" i="13"/>
  <c r="P30" i="6"/>
  <c r="P12" i="13" s="1"/>
  <c r="P32" i="6"/>
  <c r="P73" i="6"/>
  <c r="P6" i="8"/>
  <c r="P8" i="8" s="1"/>
  <c r="P15" i="13"/>
  <c r="P16" i="8"/>
  <c r="Y31" i="14"/>
  <c r="Y32" i="14"/>
  <c r="Y33" i="14"/>
  <c r="Y34" i="14"/>
  <c r="Y35" i="14"/>
  <c r="Y36" i="14"/>
  <c r="Y37" i="14"/>
  <c r="Y38" i="14"/>
  <c r="Y39" i="14"/>
  <c r="Y40" i="14"/>
  <c r="Y41" i="14"/>
  <c r="Y42" i="14"/>
  <c r="Y43" i="14"/>
  <c r="Y44" i="14"/>
  <c r="Y45" i="14"/>
  <c r="Y46" i="14"/>
  <c r="Y47" i="14"/>
  <c r="Y48" i="14"/>
  <c r="Y49" i="14"/>
  <c r="Y50" i="14"/>
  <c r="Y51" i="14"/>
  <c r="Y52" i="14"/>
  <c r="Y53" i="14"/>
  <c r="Y54" i="14"/>
  <c r="Y55" i="14"/>
  <c r="Y56" i="14"/>
  <c r="Y57" i="14"/>
  <c r="Y58" i="14"/>
  <c r="Y59" i="14"/>
  <c r="Y60" i="14"/>
  <c r="Y61" i="14"/>
  <c r="Y62" i="14"/>
  <c r="Y63" i="14"/>
  <c r="Y64" i="14"/>
  <c r="Y65" i="14"/>
  <c r="Y66" i="14"/>
  <c r="Y67" i="14"/>
  <c r="Y68" i="14"/>
  <c r="Y69" i="14"/>
  <c r="Y70" i="14"/>
  <c r="Y71" i="14"/>
  <c r="Y72" i="14"/>
  <c r="Y73" i="14"/>
  <c r="Y74" i="14"/>
  <c r="Y75" i="14"/>
  <c r="Y76" i="14"/>
  <c r="Y77" i="14"/>
  <c r="Y78" i="14"/>
  <c r="Y79" i="14"/>
  <c r="Y80" i="14"/>
  <c r="Y81" i="14"/>
  <c r="Y82" i="14"/>
  <c r="Y83" i="14"/>
  <c r="Y84" i="14"/>
  <c r="Y85" i="14"/>
  <c r="Y208" i="14"/>
  <c r="Y249" i="14"/>
  <c r="Y89" i="14"/>
  <c r="Y94" i="14"/>
  <c r="Y100" i="14"/>
  <c r="Y102" i="14"/>
  <c r="Y103" i="14"/>
  <c r="Y107" i="14"/>
  <c r="Y112" i="14"/>
  <c r="Y130" i="14"/>
  <c r="Y131" i="14"/>
  <c r="Y145" i="14"/>
  <c r="O10" i="8"/>
  <c r="O11" i="8"/>
  <c r="N17" i="8"/>
  <c r="N16" i="12"/>
  <c r="N18" i="12" s="1"/>
  <c r="O17" i="12" s="1"/>
  <c r="N15" i="12"/>
  <c r="M19" i="8"/>
  <c r="M25" i="12"/>
  <c r="M26" i="12" s="1"/>
  <c r="H30" i="2"/>
  <c r="M19" i="12"/>
  <c r="M22" i="12"/>
  <c r="M24" i="12" s="1"/>
  <c r="L21" i="12"/>
  <c r="N53" i="6"/>
  <c r="N54" i="6"/>
  <c r="N55" i="6" s="1"/>
  <c r="N34" i="6" s="1"/>
  <c r="L87" i="6"/>
  <c r="K87" i="6"/>
  <c r="K5" i="9"/>
  <c r="K6" i="9" s="1"/>
  <c r="K9" i="9" s="1"/>
  <c r="G28" i="2"/>
  <c r="I9" i="9"/>
  <c r="M36" i="6"/>
  <c r="R25" i="6" l="1"/>
  <c r="R26" i="6"/>
  <c r="R27" i="6"/>
  <c r="R28" i="6"/>
  <c r="R29" i="6"/>
  <c r="R33" i="6"/>
  <c r="R74" i="6" s="1"/>
  <c r="R69" i="6"/>
  <c r="R70" i="6" s="1"/>
  <c r="R11" i="13"/>
  <c r="I24" i="2"/>
  <c r="Q30" i="6"/>
  <c r="Q12" i="13" s="1"/>
  <c r="Q32" i="6"/>
  <c r="Q73" i="6"/>
  <c r="Q6" i="8"/>
  <c r="Q8" i="8" s="1"/>
  <c r="Q15" i="13"/>
  <c r="Q16" i="8"/>
  <c r="Z31" i="14"/>
  <c r="Z32" i="14"/>
  <c r="Z33" i="14"/>
  <c r="Z34" i="14"/>
  <c r="Z35" i="14"/>
  <c r="Z36" i="14"/>
  <c r="Z37" i="14"/>
  <c r="Z38" i="14"/>
  <c r="Z39" i="14"/>
  <c r="Z40" i="14"/>
  <c r="Z41" i="14"/>
  <c r="Z42" i="14"/>
  <c r="Z43" i="14"/>
  <c r="Z44" i="14"/>
  <c r="Z45" i="14"/>
  <c r="Z46" i="14"/>
  <c r="Z47" i="14"/>
  <c r="Z48" i="14"/>
  <c r="Z49" i="14"/>
  <c r="Z50" i="14"/>
  <c r="Z51" i="14"/>
  <c r="Z52" i="14"/>
  <c r="Z53" i="14"/>
  <c r="Z54" i="14"/>
  <c r="Z55" i="14"/>
  <c r="Z56" i="14"/>
  <c r="Z57" i="14"/>
  <c r="Z58" i="14"/>
  <c r="Z59" i="14"/>
  <c r="Z60" i="14"/>
  <c r="Z61" i="14"/>
  <c r="Z62" i="14"/>
  <c r="Z63" i="14"/>
  <c r="Z64" i="14"/>
  <c r="Z65" i="14"/>
  <c r="Z66" i="14"/>
  <c r="Z67" i="14"/>
  <c r="Z83" i="14"/>
  <c r="Z84" i="14"/>
  <c r="Z85" i="14"/>
  <c r="Z208" i="14"/>
  <c r="Z86" i="14"/>
  <c r="Z92" i="14"/>
  <c r="Z105" i="14"/>
  <c r="Z109" i="14"/>
  <c r="Z110" i="14"/>
  <c r="Z116" i="14"/>
  <c r="Z132" i="14"/>
  <c r="Z134" i="14"/>
  <c r="Z147" i="14"/>
  <c r="Z150" i="14"/>
  <c r="Z162" i="14"/>
  <c r="Z163" i="14"/>
  <c r="Z164" i="14"/>
  <c r="Z168" i="14"/>
  <c r="Z171" i="14"/>
  <c r="Z172" i="14"/>
  <c r="Z174" i="14"/>
  <c r="Z179" i="14"/>
  <c r="Z182" i="14"/>
  <c r="Z184" i="14"/>
  <c r="Z185" i="14"/>
  <c r="Z186" i="14"/>
  <c r="Z187" i="14"/>
  <c r="Z191" i="14"/>
  <c r="Z192" i="14"/>
  <c r="Z195" i="14"/>
  <c r="Z197" i="14"/>
  <c r="Z198" i="14"/>
  <c r="Z200" i="14"/>
  <c r="Z202" i="14"/>
  <c r="Z203" i="14"/>
  <c r="Z210" i="14"/>
  <c r="Z214" i="14"/>
  <c r="Z221" i="14"/>
  <c r="Z222" i="14"/>
  <c r="Z224" i="14"/>
  <c r="Z225" i="14"/>
  <c r="Z229" i="14"/>
  <c r="Z232" i="14"/>
  <c r="Z235" i="14"/>
  <c r="Z238" i="14"/>
  <c r="Z244" i="14"/>
  <c r="Z245" i="14"/>
  <c r="Z246" i="14"/>
  <c r="Z247" i="14"/>
  <c r="Z249" i="14"/>
  <c r="Z254" i="14"/>
  <c r="Z257" i="14"/>
  <c r="Z258" i="14"/>
  <c r="Z259" i="14"/>
  <c r="Z260" i="14"/>
  <c r="Z261" i="14"/>
  <c r="Z262" i="14"/>
  <c r="Z264" i="14"/>
  <c r="Z273" i="14"/>
  <c r="Z279" i="14"/>
  <c r="Z281" i="14"/>
  <c r="Z283" i="14"/>
  <c r="Z287" i="14"/>
  <c r="Z288" i="14"/>
  <c r="Z293" i="14"/>
  <c r="Z298" i="14"/>
  <c r="Z299" i="14"/>
  <c r="Z300" i="14"/>
  <c r="Z302" i="14"/>
  <c r="Z304" i="14"/>
  <c r="Z306" i="14"/>
  <c r="Z308" i="14"/>
  <c r="Z309" i="14"/>
  <c r="Z310" i="14"/>
  <c r="Z312" i="14"/>
  <c r="Z313" i="14"/>
  <c r="Z314" i="14"/>
  <c r="Z316" i="14"/>
  <c r="Z319" i="14"/>
  <c r="Z320" i="14"/>
  <c r="Z321" i="14"/>
  <c r="Z324" i="14"/>
  <c r="Z326" i="14"/>
  <c r="Z328" i="14"/>
  <c r="Z329" i="14"/>
  <c r="Z330" i="14"/>
  <c r="Z331" i="14"/>
  <c r="Z332" i="14"/>
  <c r="Z333" i="14"/>
  <c r="Z334" i="14"/>
  <c r="Z335" i="14"/>
  <c r="Z336" i="14"/>
  <c r="Z337" i="14"/>
  <c r="Z338" i="14"/>
  <c r="Z339" i="14"/>
  <c r="Z340" i="14"/>
  <c r="Z341" i="14"/>
  <c r="Z342" i="14"/>
  <c r="Z343" i="14"/>
  <c r="Z344" i="14"/>
  <c r="Z345" i="14"/>
  <c r="Z346" i="14"/>
  <c r="Z347" i="14"/>
  <c r="Z348" i="14"/>
  <c r="Z349" i="14"/>
  <c r="Z350" i="14"/>
  <c r="Z351" i="14"/>
  <c r="Z352" i="14"/>
  <c r="Z353" i="14"/>
  <c r="Z354" i="14"/>
  <c r="Z355" i="14"/>
  <c r="Z356" i="14"/>
  <c r="Z357" i="14"/>
  <c r="Z358" i="14"/>
  <c r="Z359" i="14"/>
  <c r="Z360" i="14"/>
  <c r="Z361" i="14"/>
  <c r="Z362" i="14"/>
  <c r="Z363" i="14"/>
  <c r="Z364" i="14"/>
  <c r="Z365" i="14"/>
  <c r="Z366" i="14"/>
  <c r="Z367" i="14"/>
  <c r="Z368" i="14"/>
  <c r="Z369" i="14"/>
  <c r="Z370" i="14"/>
  <c r="Z371" i="14"/>
  <c r="Z88" i="14"/>
  <c r="Z89" i="14"/>
  <c r="Z90" i="14"/>
  <c r="Z91" i="14"/>
  <c r="Z100" i="14"/>
  <c r="Z101" i="14"/>
  <c r="Z117" i="14"/>
  <c r="Z120" i="14"/>
  <c r="Z127" i="14"/>
  <c r="Z128" i="14"/>
  <c r="Z133" i="14"/>
  <c r="Z140" i="14"/>
  <c r="Z142" i="14"/>
  <c r="Z146" i="14"/>
  <c r="Z157" i="14"/>
  <c r="Z158" i="14"/>
  <c r="Z160" i="14"/>
  <c r="Z165" i="14"/>
  <c r="Z175" i="14"/>
  <c r="Z178" i="14"/>
  <c r="Z181" i="14"/>
  <c r="Z183" i="14"/>
  <c r="Z188" i="14"/>
  <c r="Z189" i="14"/>
  <c r="Z199" i="14"/>
  <c r="Z201" i="14"/>
  <c r="Z206" i="14"/>
  <c r="Z209" i="14"/>
  <c r="Z211" i="14"/>
  <c r="Z213" i="14"/>
  <c r="Z218" i="14"/>
  <c r="Z219" i="14"/>
  <c r="Z223" i="14"/>
  <c r="Z230" i="14"/>
  <c r="Z233" i="14"/>
  <c r="Z234" i="14"/>
  <c r="Z236" i="14"/>
  <c r="Z237" i="14"/>
  <c r="Z241" i="14"/>
  <c r="Z243" i="14"/>
  <c r="Z248" i="14"/>
  <c r="Z250" i="14"/>
  <c r="Z251" i="14"/>
  <c r="Z252" i="14"/>
  <c r="Z253" i="14"/>
  <c r="Z255" i="14"/>
  <c r="Z256" i="14"/>
  <c r="Z263" i="14"/>
  <c r="Z265" i="14"/>
  <c r="Z266" i="14"/>
  <c r="Z267" i="14"/>
  <c r="Z268" i="14"/>
  <c r="Z269" i="14"/>
  <c r="Z270" i="14"/>
  <c r="Z271" i="14"/>
  <c r="Z272" i="14"/>
  <c r="Z274" i="14"/>
  <c r="Z275" i="14"/>
  <c r="Z276" i="14"/>
  <c r="Z277" i="14"/>
  <c r="Z278" i="14"/>
  <c r="Z280" i="14"/>
  <c r="Z282" i="14"/>
  <c r="Z284" i="14"/>
  <c r="Z285" i="14"/>
  <c r="Z286" i="14"/>
  <c r="Z289" i="14"/>
  <c r="Z290" i="14"/>
  <c r="Z291" i="14"/>
  <c r="Z292" i="14"/>
  <c r="Z294" i="14"/>
  <c r="Z295" i="14"/>
  <c r="Z296" i="14"/>
  <c r="Z297" i="14"/>
  <c r="Z301" i="14"/>
  <c r="Z303" i="14"/>
  <c r="Z305" i="14"/>
  <c r="Z307" i="14"/>
  <c r="Z311" i="14"/>
  <c r="Z315" i="14"/>
  <c r="Z317" i="14"/>
  <c r="Z318" i="14"/>
  <c r="Z322" i="14"/>
  <c r="Z323" i="14"/>
  <c r="Z325" i="14"/>
  <c r="Z327" i="14"/>
  <c r="Z372" i="14"/>
  <c r="Z373" i="14"/>
  <c r="Z374" i="14"/>
  <c r="Z375" i="14"/>
  <c r="Z376" i="14"/>
  <c r="Z377" i="14"/>
  <c r="Z378" i="14"/>
  <c r="Z379" i="14"/>
  <c r="Z380" i="14"/>
  <c r="Z381" i="14"/>
  <c r="Z382" i="14"/>
  <c r="Z383" i="14"/>
  <c r="Z384" i="14"/>
  <c r="Z385" i="14"/>
  <c r="Z386" i="14"/>
  <c r="Z387" i="14"/>
  <c r="Z388" i="14"/>
  <c r="Z389" i="14"/>
  <c r="Z390" i="14"/>
  <c r="Z391" i="14"/>
  <c r="Z392" i="14"/>
  <c r="Z393" i="14"/>
  <c r="Z394" i="14"/>
  <c r="Z395" i="14"/>
  <c r="Z396" i="14"/>
  <c r="Z397" i="14"/>
  <c r="Z398" i="14"/>
  <c r="Z399" i="14"/>
  <c r="Z400" i="14"/>
  <c r="Z401" i="14"/>
  <c r="Z402" i="14"/>
  <c r="Z403" i="14"/>
  <c r="Z404" i="14"/>
  <c r="Z405" i="14"/>
  <c r="Z406" i="14"/>
  <c r="Z407" i="14"/>
  <c r="Z408" i="14"/>
  <c r="Z409" i="14"/>
  <c r="Z410" i="14"/>
  <c r="Z411" i="14"/>
  <c r="Z412" i="14"/>
  <c r="Z453" i="14"/>
  <c r="Z494" i="14"/>
  <c r="Z98" i="14"/>
  <c r="Z136" i="14"/>
  <c r="Z137" i="14"/>
  <c r="Z141" i="14"/>
  <c r="Z148" i="14"/>
  <c r="Z149" i="14"/>
  <c r="Z154" i="14"/>
  <c r="Z212" i="14"/>
  <c r="Z215" i="14"/>
  <c r="Z216" i="14"/>
  <c r="Z217" i="14"/>
  <c r="Z220" i="14"/>
  <c r="Z226" i="14"/>
  <c r="Z228" i="14"/>
  <c r="Z231" i="14"/>
  <c r="Z239" i="14"/>
  <c r="Z240" i="14"/>
  <c r="Z426" i="14"/>
  <c r="Z428" i="14"/>
  <c r="Z429" i="14"/>
  <c r="Z430" i="14"/>
  <c r="Z435" i="14"/>
  <c r="Z436" i="14"/>
  <c r="Z437" i="14"/>
  <c r="Z445" i="14"/>
  <c r="Z448" i="14"/>
  <c r="Z449" i="14"/>
  <c r="Z450" i="14"/>
  <c r="Z452" i="14"/>
  <c r="Z454" i="14"/>
  <c r="Z455" i="14"/>
  <c r="Z456" i="14"/>
  <c r="Z458" i="14"/>
  <c r="Z459" i="14"/>
  <c r="Z460" i="14"/>
  <c r="Z465" i="14"/>
  <c r="Z466" i="14"/>
  <c r="Z468" i="14"/>
  <c r="Z469" i="14"/>
  <c r="Z470" i="14"/>
  <c r="Z475" i="14"/>
  <c r="Z478" i="14"/>
  <c r="Z484" i="14"/>
  <c r="Z486" i="14"/>
  <c r="Z491" i="14"/>
  <c r="Z492" i="14"/>
  <c r="Z495" i="14"/>
  <c r="Z496" i="14"/>
  <c r="Z497" i="14"/>
  <c r="Z499" i="14"/>
  <c r="Z503" i="14"/>
  <c r="Z504" i="14"/>
  <c r="Z505" i="14"/>
  <c r="Z506" i="14"/>
  <c r="Z507" i="14"/>
  <c r="Z508" i="14"/>
  <c r="Z509" i="14"/>
  <c r="Z510" i="14"/>
  <c r="Z511" i="14"/>
  <c r="Z512" i="14"/>
  <c r="Z513" i="14"/>
  <c r="Z514" i="14"/>
  <c r="Z515" i="14"/>
  <c r="Z516" i="14"/>
  <c r="Z517" i="14"/>
  <c r="Z518" i="14"/>
  <c r="Z519" i="14"/>
  <c r="Z520" i="14"/>
  <c r="Z521" i="14"/>
  <c r="Z522" i="14"/>
  <c r="Z523" i="14"/>
  <c r="Z524" i="14"/>
  <c r="Z525" i="14"/>
  <c r="Z526" i="14"/>
  <c r="Z527" i="14"/>
  <c r="Z528" i="14"/>
  <c r="Z529" i="14"/>
  <c r="Z530" i="14"/>
  <c r="Z531" i="14"/>
  <c r="Z413" i="14"/>
  <c r="Z415" i="14"/>
  <c r="Z416" i="14"/>
  <c r="Z442" i="14"/>
  <c r="Z443" i="14"/>
  <c r="Z444" i="14"/>
  <c r="Z446" i="14"/>
  <c r="Z447" i="14"/>
  <c r="Z451" i="14"/>
  <c r="Z457" i="14"/>
  <c r="Z461" i="14"/>
  <c r="Z462" i="14"/>
  <c r="Z463" i="14"/>
  <c r="Z464" i="14"/>
  <c r="Z467" i="14"/>
  <c r="Z471" i="14"/>
  <c r="Z472" i="14"/>
  <c r="Z473" i="14"/>
  <c r="Z474" i="14"/>
  <c r="Z476" i="14"/>
  <c r="Z477" i="14"/>
  <c r="Z479" i="14"/>
  <c r="Z480" i="14"/>
  <c r="Z481" i="14"/>
  <c r="Z482" i="14"/>
  <c r="Z483" i="14"/>
  <c r="Z485" i="14"/>
  <c r="Z487" i="14"/>
  <c r="Z488" i="14"/>
  <c r="Z489" i="14"/>
  <c r="Z490" i="14"/>
  <c r="Z493" i="14"/>
  <c r="Z498" i="14"/>
  <c r="Z500" i="14"/>
  <c r="Z501" i="14"/>
  <c r="Z502" i="14"/>
  <c r="Z96" i="14"/>
  <c r="Z97" i="14"/>
  <c r="Z99" i="14"/>
  <c r="Z111" i="14"/>
  <c r="Z123" i="14"/>
  <c r="Z143" i="14"/>
  <c r="Z145" i="14"/>
  <c r="Z170" i="14"/>
  <c r="Z180" i="14"/>
  <c r="Z190" i="14"/>
  <c r="Z204" i="14"/>
  <c r="Z205" i="14"/>
  <c r="Z207" i="14"/>
  <c r="Z227" i="14"/>
  <c r="Z242" i="14"/>
  <c r="Z414" i="14"/>
  <c r="Z422" i="14"/>
  <c r="Z425" i="14"/>
  <c r="Z427" i="14"/>
  <c r="Z431" i="14"/>
  <c r="Z432" i="14"/>
  <c r="Z433" i="14"/>
  <c r="Z434" i="14"/>
  <c r="Z438" i="14"/>
  <c r="Z439" i="14"/>
  <c r="Z93" i="14"/>
  <c r="Z94" i="14"/>
  <c r="Z112" i="14"/>
  <c r="Z114" i="14"/>
  <c r="Z115" i="14"/>
  <c r="Z122" i="14"/>
  <c r="Z124" i="14"/>
  <c r="Z125" i="14"/>
  <c r="Z126" i="14"/>
  <c r="Z130" i="14"/>
  <c r="Z131" i="14"/>
  <c r="Z135" i="14"/>
  <c r="Z138" i="14"/>
  <c r="Z139" i="14"/>
  <c r="Z151" i="14"/>
  <c r="Z155" i="14"/>
  <c r="Z159" i="14"/>
  <c r="Z161" i="14"/>
  <c r="Z166" i="14"/>
  <c r="Z169" i="14"/>
  <c r="Z177" i="14"/>
  <c r="Z194" i="14"/>
  <c r="Z87" i="14"/>
  <c r="Z95" i="14"/>
  <c r="Z102" i="14"/>
  <c r="Z103" i="14"/>
  <c r="Z104" i="14"/>
  <c r="Z106" i="14"/>
  <c r="Z107" i="14"/>
  <c r="Z108" i="14"/>
  <c r="Z113" i="14"/>
  <c r="Z118" i="14"/>
  <c r="Z119" i="14"/>
  <c r="Z121" i="14"/>
  <c r="Z129" i="14"/>
  <c r="Z144" i="14"/>
  <c r="Z152" i="14"/>
  <c r="Z153" i="14"/>
  <c r="Z156" i="14"/>
  <c r="Z167" i="14"/>
  <c r="Z173" i="14"/>
  <c r="Z176" i="14"/>
  <c r="Z193" i="14"/>
  <c r="Z196" i="14"/>
  <c r="Q6" i="13"/>
  <c r="Q7" i="13"/>
  <c r="Q8" i="13"/>
  <c r="P10" i="8"/>
  <c r="P11" i="8"/>
  <c r="O17" i="8"/>
  <c r="O15" i="12"/>
  <c r="O16" i="12"/>
  <c r="O18" i="12" s="1"/>
  <c r="P17" i="12" s="1"/>
  <c r="N19" i="8"/>
  <c r="N22" i="8" s="1"/>
  <c r="N25" i="12"/>
  <c r="N26" i="12" s="1"/>
  <c r="N19" i="12"/>
  <c r="N22" i="12"/>
  <c r="N24" i="12" s="1"/>
  <c r="M22" i="8"/>
  <c r="M21" i="12"/>
  <c r="H31" i="2"/>
  <c r="N57" i="6"/>
  <c r="N58" i="6" s="1"/>
  <c r="O51" i="6"/>
  <c r="N35" i="6"/>
  <c r="N60" i="6"/>
  <c r="N59" i="6"/>
  <c r="N75" i="6"/>
  <c r="Y135" i="14"/>
  <c r="Y139" i="14"/>
  <c r="Y146" i="14"/>
  <c r="Y153" i="14"/>
  <c r="Y157" i="14"/>
  <c r="Y162" i="14"/>
  <c r="Y166" i="14"/>
  <c r="Y181" i="14"/>
  <c r="Y183" i="14"/>
  <c r="Y187" i="14"/>
  <c r="Y193" i="14"/>
  <c r="Y194" i="14"/>
  <c r="Y201" i="14"/>
  <c r="Y207" i="14"/>
  <c r="Y209" i="14"/>
  <c r="Y224" i="14"/>
  <c r="Y226" i="14"/>
  <c r="Y231" i="14"/>
  <c r="Y233" i="14"/>
  <c r="Y234" i="14"/>
  <c r="Y235" i="14"/>
  <c r="Y236" i="14"/>
  <c r="Y237" i="14"/>
  <c r="Y242" i="14"/>
  <c r="Y243" i="14"/>
  <c r="Y247" i="14"/>
  <c r="Y248" i="14"/>
  <c r="Y250" i="14"/>
  <c r="Y251" i="14"/>
  <c r="Y252" i="14"/>
  <c r="Y253" i="14"/>
  <c r="Y255" i="14"/>
  <c r="Y258" i="14"/>
  <c r="Y259" i="14"/>
  <c r="Y260" i="14"/>
  <c r="Y261" i="14"/>
  <c r="Y262" i="14"/>
  <c r="Y263" i="14"/>
  <c r="Y265" i="14"/>
  <c r="Y266" i="14"/>
  <c r="Y267" i="14"/>
  <c r="Y268" i="14"/>
  <c r="Y269" i="14"/>
  <c r="Y270" i="14"/>
  <c r="Y271" i="14"/>
  <c r="Y272" i="14"/>
  <c r="Y274" i="14"/>
  <c r="Y275" i="14"/>
  <c r="Y276" i="14"/>
  <c r="Y277" i="14"/>
  <c r="Y280" i="14"/>
  <c r="Y106" i="14"/>
  <c r="Y134" i="14"/>
  <c r="Y137" i="14"/>
  <c r="Y148" i="14"/>
  <c r="Y159" i="14"/>
  <c r="Y167" i="14"/>
  <c r="Y169" i="14"/>
  <c r="Y176" i="14"/>
  <c r="Y180" i="14"/>
  <c r="Y186" i="14"/>
  <c r="Y197" i="14"/>
  <c r="Y205" i="14"/>
  <c r="Y214" i="14"/>
  <c r="Y220" i="14"/>
  <c r="Y228" i="14"/>
  <c r="Y238" i="14"/>
  <c r="Y244" i="14"/>
  <c r="Y245" i="14"/>
  <c r="Y254" i="14"/>
  <c r="Y256" i="14"/>
  <c r="Y264" i="14"/>
  <c r="Y278" i="14"/>
  <c r="Y281" i="14"/>
  <c r="Y288" i="14"/>
  <c r="Y293" i="14"/>
  <c r="Y297" i="14"/>
  <c r="Y300" i="14"/>
  <c r="Y105" i="14"/>
  <c r="Y109" i="14"/>
  <c r="Y110" i="14"/>
  <c r="Y111" i="14"/>
  <c r="Y282" i="14"/>
  <c r="Y283" i="14"/>
  <c r="Y284" i="14"/>
  <c r="Y285" i="14"/>
  <c r="Y286" i="14"/>
  <c r="Y289" i="14"/>
  <c r="Y290" i="14"/>
  <c r="Y291" i="14"/>
  <c r="Y292" i="14"/>
  <c r="Y294" i="14"/>
  <c r="Y295" i="14"/>
  <c r="Y299" i="14"/>
  <c r="Y301" i="14"/>
  <c r="Y303" i="14"/>
  <c r="Y305" i="14"/>
  <c r="Y307" i="14"/>
  <c r="Y311" i="14"/>
  <c r="Y315" i="14"/>
  <c r="Y317" i="14"/>
  <c r="Y318" i="14"/>
  <c r="Y322" i="14"/>
  <c r="Y323" i="14"/>
  <c r="Y324" i="14"/>
  <c r="Y325" i="14"/>
  <c r="Y327" i="14"/>
  <c r="Y332" i="14"/>
  <c r="Y333" i="14"/>
  <c r="Y334" i="14"/>
  <c r="Y335" i="14"/>
  <c r="Y336" i="14"/>
  <c r="Y337" i="14"/>
  <c r="Y338" i="14"/>
  <c r="Y339" i="14"/>
  <c r="Y340" i="14"/>
  <c r="Y341" i="14"/>
  <c r="Y342" i="14"/>
  <c r="Y343" i="14"/>
  <c r="Y344" i="14"/>
  <c r="Y345" i="14"/>
  <c r="Y346" i="14"/>
  <c r="Y347" i="14"/>
  <c r="Y348" i="14"/>
  <c r="Y349" i="14"/>
  <c r="Y350" i="14"/>
  <c r="Y351" i="14"/>
  <c r="Y352" i="14"/>
  <c r="Y353" i="14"/>
  <c r="Y354" i="14"/>
  <c r="Y355" i="14"/>
  <c r="Y356" i="14"/>
  <c r="Y357" i="14"/>
  <c r="Y358" i="14"/>
  <c r="Y359" i="14"/>
  <c r="Y360" i="14"/>
  <c r="Y361" i="14"/>
  <c r="Y362" i="14"/>
  <c r="Y363" i="14"/>
  <c r="Y364" i="14"/>
  <c r="Y365" i="14"/>
  <c r="Y366" i="14"/>
  <c r="Y367" i="14"/>
  <c r="Y368" i="14"/>
  <c r="Y369" i="14"/>
  <c r="Y370" i="14"/>
  <c r="Y371" i="14"/>
  <c r="Y92" i="14"/>
  <c r="Y96" i="14"/>
  <c r="Y98" i="14"/>
  <c r="Y108" i="14"/>
  <c r="Y136" i="14"/>
  <c r="Y151" i="14"/>
  <c r="Y163" i="14"/>
  <c r="Y168" i="14"/>
  <c r="Y179" i="14"/>
  <c r="Y185" i="14"/>
  <c r="Y190" i="14"/>
  <c r="Y212" i="14"/>
  <c r="Y215" i="14"/>
  <c r="Y222" i="14"/>
  <c r="Y232" i="14"/>
  <c r="Y239" i="14"/>
  <c r="Y246" i="14"/>
  <c r="Y257" i="14"/>
  <c r="Y273" i="14"/>
  <c r="Y279" i="14"/>
  <c r="Y287" i="14"/>
  <c r="Y296" i="14"/>
  <c r="Y298" i="14"/>
  <c r="Y117" i="14"/>
  <c r="Y302" i="14"/>
  <c r="Y304" i="14"/>
  <c r="Y306" i="14"/>
  <c r="Y308" i="14"/>
  <c r="Y309" i="14"/>
  <c r="Y310" i="14"/>
  <c r="Y312" i="14"/>
  <c r="Y313" i="14"/>
  <c r="Y314" i="14"/>
  <c r="Y316" i="14"/>
  <c r="Y319" i="14"/>
  <c r="Y320" i="14"/>
  <c r="Y321" i="14"/>
  <c r="Y326" i="14"/>
  <c r="Y328" i="14"/>
  <c r="Y329" i="14"/>
  <c r="Y330" i="14"/>
  <c r="Y331" i="14"/>
  <c r="Y372" i="14"/>
  <c r="Y373" i="14"/>
  <c r="Y374" i="14"/>
  <c r="Y375" i="14"/>
  <c r="Y376" i="14"/>
  <c r="Y377" i="14"/>
  <c r="Y378" i="14"/>
  <c r="Y379" i="14"/>
  <c r="Y380" i="14"/>
  <c r="Y381" i="14"/>
  <c r="Y382" i="14"/>
  <c r="Y383" i="14"/>
  <c r="Y384" i="14"/>
  <c r="Y385" i="14"/>
  <c r="Y386" i="14"/>
  <c r="Y387" i="14"/>
  <c r="Y388" i="14"/>
  <c r="Y389" i="14"/>
  <c r="Y390" i="14"/>
  <c r="Y391" i="14"/>
  <c r="Y392" i="14"/>
  <c r="Y393" i="14"/>
  <c r="Y394" i="14"/>
  <c r="Y395" i="14"/>
  <c r="Y396" i="14"/>
  <c r="Y397" i="14"/>
  <c r="Y126" i="14"/>
  <c r="Y138" i="14"/>
  <c r="Y398" i="14"/>
  <c r="Y399" i="14"/>
  <c r="Y400" i="14"/>
  <c r="Y401" i="14"/>
  <c r="Y402" i="14"/>
  <c r="Y403" i="14"/>
  <c r="Y404" i="14"/>
  <c r="Y405" i="14"/>
  <c r="Y406" i="14"/>
  <c r="Y407" i="14"/>
  <c r="Y408" i="14"/>
  <c r="Y409" i="14"/>
  <c r="Y410" i="14"/>
  <c r="Y411" i="14"/>
  <c r="Y412" i="14"/>
  <c r="Y453" i="14"/>
  <c r="Y494" i="14"/>
  <c r="Y99" i="14"/>
  <c r="Y133" i="14"/>
  <c r="Y140" i="14"/>
  <c r="Y142" i="14"/>
  <c r="Y144" i="14"/>
  <c r="Y150" i="14"/>
  <c r="Y152" i="14"/>
  <c r="Y155" i="14"/>
  <c r="Y203" i="14"/>
  <c r="Y204" i="14"/>
  <c r="Y210" i="14"/>
  <c r="Y211" i="14"/>
  <c r="Y213" i="14"/>
  <c r="Y218" i="14"/>
  <c r="Y225" i="14"/>
  <c r="Y227" i="14"/>
  <c r="Y230" i="14"/>
  <c r="Y241" i="14"/>
  <c r="Y425" i="14"/>
  <c r="Y427" i="14"/>
  <c r="Y433" i="14"/>
  <c r="Y434" i="14"/>
  <c r="Y435" i="14"/>
  <c r="Y436" i="14"/>
  <c r="Y510" i="14"/>
  <c r="Y512" i="14"/>
  <c r="Y514" i="14"/>
  <c r="Y516" i="14"/>
  <c r="Y518" i="14"/>
  <c r="Y520" i="14"/>
  <c r="Y522" i="14"/>
  <c r="Y524" i="14"/>
  <c r="Y525" i="14"/>
  <c r="Y527" i="14"/>
  <c r="Y529" i="14"/>
  <c r="Y531" i="14"/>
  <c r="Y416" i="14"/>
  <c r="Y421" i="14"/>
  <c r="Y441" i="14"/>
  <c r="Y443" i="14"/>
  <c r="Y445" i="14"/>
  <c r="Y449" i="14"/>
  <c r="Y452" i="14"/>
  <c r="Y455" i="14"/>
  <c r="Y458" i="14"/>
  <c r="Y460" i="14"/>
  <c r="Y466" i="14"/>
  <c r="Y469" i="14"/>
  <c r="Y471" i="14"/>
  <c r="Y473" i="14"/>
  <c r="Y477" i="14"/>
  <c r="Y480" i="14"/>
  <c r="Y482" i="14"/>
  <c r="Y484" i="14"/>
  <c r="Y487" i="14"/>
  <c r="Y489" i="14"/>
  <c r="Y491" i="14"/>
  <c r="Y499" i="14"/>
  <c r="Y503" i="14"/>
  <c r="Y101" i="14"/>
  <c r="Y113" i="14"/>
  <c r="Y115" i="14"/>
  <c r="Y118" i="14"/>
  <c r="Y437" i="14"/>
  <c r="Y446" i="14"/>
  <c r="Y447" i="14"/>
  <c r="Y451" i="14"/>
  <c r="Y457" i="14"/>
  <c r="Y461" i="14"/>
  <c r="Y462" i="14"/>
  <c r="Y463" i="14"/>
  <c r="Y464" i="14"/>
  <c r="Y467" i="14"/>
  <c r="Y474" i="14"/>
  <c r="Y476" i="14"/>
  <c r="Y478" i="14"/>
  <c r="Y485" i="14"/>
  <c r="Y493" i="14"/>
  <c r="Y495" i="14"/>
  <c r="Y496" i="14"/>
  <c r="Y497" i="14"/>
  <c r="Y498" i="14"/>
  <c r="Y500" i="14"/>
  <c r="Y501" i="14"/>
  <c r="Y504" i="14"/>
  <c r="Y505" i="14"/>
  <c r="Y506" i="14"/>
  <c r="Y507" i="14"/>
  <c r="Y508" i="14"/>
  <c r="Y509" i="14"/>
  <c r="Y511" i="14"/>
  <c r="Y513" i="14"/>
  <c r="Y515" i="14"/>
  <c r="Y517" i="14"/>
  <c r="Y519" i="14"/>
  <c r="Y521" i="14"/>
  <c r="Y523" i="14"/>
  <c r="Y526" i="14"/>
  <c r="Y528" i="14"/>
  <c r="Y530" i="14"/>
  <c r="Y414" i="14"/>
  <c r="Y420" i="14"/>
  <c r="Y440" i="14"/>
  <c r="Y442" i="14"/>
  <c r="Y444" i="14"/>
  <c r="Y448" i="14"/>
  <c r="Y450" i="14"/>
  <c r="Y454" i="14"/>
  <c r="Y456" i="14"/>
  <c r="Y459" i="14"/>
  <c r="Y465" i="14"/>
  <c r="Y468" i="14"/>
  <c r="Y470" i="14"/>
  <c r="Y472" i="14"/>
  <c r="Y475" i="14"/>
  <c r="Y479" i="14"/>
  <c r="Y481" i="14"/>
  <c r="Y483" i="14"/>
  <c r="Y486" i="14"/>
  <c r="Y488" i="14"/>
  <c r="Y490" i="14"/>
  <c r="Y492" i="14"/>
  <c r="Y502" i="14"/>
  <c r="Y95" i="14"/>
  <c r="Y104" i="14"/>
  <c r="Y114" i="14"/>
  <c r="Y116" i="14"/>
  <c r="Y119" i="14"/>
  <c r="Y120" i="14"/>
  <c r="Y121" i="14"/>
  <c r="Y122" i="14"/>
  <c r="Y124" i="14"/>
  <c r="Y125" i="14"/>
  <c r="Y129" i="14"/>
  <c r="Y132" i="14"/>
  <c r="Y171" i="14"/>
  <c r="Y172" i="14"/>
  <c r="Y173" i="14"/>
  <c r="Y174" i="14"/>
  <c r="Y175" i="14"/>
  <c r="Y182" i="14"/>
  <c r="Y184" i="14"/>
  <c r="Y188" i="14"/>
  <c r="Y195" i="14"/>
  <c r="Y196" i="14"/>
  <c r="Y198" i="14"/>
  <c r="Y199" i="14"/>
  <c r="Y200" i="14"/>
  <c r="Y202" i="14"/>
  <c r="Y206" i="14"/>
  <c r="Y216" i="14"/>
  <c r="Y217" i="14"/>
  <c r="Y219" i="14"/>
  <c r="Y221" i="14"/>
  <c r="Y223" i="14"/>
  <c r="Y229" i="14"/>
  <c r="Y240" i="14"/>
  <c r="Y413" i="14"/>
  <c r="Y415" i="14"/>
  <c r="Y417" i="14"/>
  <c r="Y418" i="14"/>
  <c r="Y419" i="14"/>
  <c r="Y422" i="14"/>
  <c r="Y423" i="14"/>
  <c r="Y424" i="14"/>
  <c r="Y426" i="14"/>
  <c r="Y428" i="14"/>
  <c r="Y429" i="14"/>
  <c r="Y430" i="14"/>
  <c r="Y431" i="14"/>
  <c r="Y432" i="14"/>
  <c r="Y438" i="14"/>
  <c r="Y439" i="14"/>
  <c r="Y87" i="14"/>
  <c r="Y88" i="14"/>
  <c r="Y90" i="14"/>
  <c r="Y123" i="14"/>
  <c r="Y127" i="14"/>
  <c r="Y128" i="14"/>
  <c r="Y141" i="14"/>
  <c r="Y143" i="14"/>
  <c r="Y154" i="14"/>
  <c r="Y156" i="14"/>
  <c r="Y158" i="14"/>
  <c r="Y165" i="14"/>
  <c r="Y178" i="14"/>
  <c r="Y189" i="14"/>
  <c r="Y86" i="14"/>
  <c r="Y91" i="14"/>
  <c r="Y93" i="14"/>
  <c r="Y147" i="14"/>
  <c r="Y149" i="14"/>
  <c r="Y160" i="14"/>
  <c r="Y161" i="14"/>
  <c r="Y164" i="14"/>
  <c r="Y170" i="14"/>
  <c r="Y177" i="14"/>
  <c r="Y191" i="14"/>
  <c r="Y192" i="14"/>
  <c r="P6" i="13"/>
  <c r="P7" i="13"/>
  <c r="P8" i="13"/>
  <c r="Y97" i="14"/>
  <c r="M76" i="6"/>
  <c r="M78" i="6" s="1"/>
  <c r="M79" i="6" s="1"/>
  <c r="M85" i="6" s="1"/>
  <c r="M86" i="6" s="1"/>
  <c r="M37" i="6"/>
  <c r="M40" i="6" s="1"/>
  <c r="R30" i="6" l="1"/>
  <c r="R32" i="6"/>
  <c r="R73" i="6"/>
  <c r="R6" i="8"/>
  <c r="I25" i="2"/>
  <c r="R15" i="13"/>
  <c r="R16" i="8"/>
  <c r="Q10" i="8"/>
  <c r="Q11" i="8"/>
  <c r="P17" i="8"/>
  <c r="P16" i="12" s="1"/>
  <c r="P18" i="12" s="1"/>
  <c r="Q17" i="12" s="1"/>
  <c r="P15" i="12"/>
  <c r="O19" i="8"/>
  <c r="O25" i="12"/>
  <c r="O26" i="12" s="1"/>
  <c r="O19" i="12"/>
  <c r="O21" i="12" s="1"/>
  <c r="O22" i="12"/>
  <c r="O24" i="12" s="1"/>
  <c r="N21" i="12"/>
  <c r="O53" i="6"/>
  <c r="O54" i="6"/>
  <c r="O55" i="6" s="1"/>
  <c r="O34" i="6" s="1"/>
  <c r="N36" i="6"/>
  <c r="H28" i="2"/>
  <c r="M5" i="9"/>
  <c r="M6" i="9" s="1"/>
  <c r="M87" i="6"/>
  <c r="H27" i="2"/>
  <c r="M42" i="6"/>
  <c r="Z68" i="14"/>
  <c r="Z69" i="14"/>
  <c r="Z70" i="14"/>
  <c r="Z71" i="14"/>
  <c r="Z72" i="14"/>
  <c r="Z73" i="14"/>
  <c r="Z74" i="14"/>
  <c r="Z75" i="14"/>
  <c r="Z76" i="14"/>
  <c r="Z77" i="14"/>
  <c r="Z78" i="14"/>
  <c r="Z79" i="14"/>
  <c r="Z80" i="14"/>
  <c r="Z81" i="14"/>
  <c r="Z417" i="14"/>
  <c r="Z418" i="14"/>
  <c r="Z419" i="14"/>
  <c r="Z420" i="14"/>
  <c r="Z421" i="14"/>
  <c r="Z423" i="14"/>
  <c r="Z424" i="14"/>
  <c r="Z440" i="14"/>
  <c r="Z82" i="14"/>
  <c r="Z441" i="14"/>
  <c r="R12" i="13" l="1"/>
  <c r="I26" i="2"/>
  <c r="R8" i="8"/>
  <c r="C32" i="8"/>
  <c r="Q17" i="8"/>
  <c r="Q15" i="12"/>
  <c r="Q16" i="12"/>
  <c r="Q18" i="12" s="1"/>
  <c r="R17" i="12" s="1"/>
  <c r="P19" i="8"/>
  <c r="P25" i="12"/>
  <c r="P26" i="12" s="1"/>
  <c r="P19" i="12"/>
  <c r="P21" i="12" s="1"/>
  <c r="P22" i="12"/>
  <c r="P24" i="12" s="1"/>
  <c r="O22" i="8"/>
  <c r="O57" i="6"/>
  <c r="O58" i="6" s="1"/>
  <c r="P51" i="6"/>
  <c r="O60" i="6"/>
  <c r="O35" i="6"/>
  <c r="O59" i="6"/>
  <c r="O75" i="6"/>
  <c r="M9" i="9"/>
  <c r="N76" i="6"/>
  <c r="N78" i="6" s="1"/>
  <c r="N79" i="6" s="1"/>
  <c r="N85" i="6" s="1"/>
  <c r="N86" i="6" s="1"/>
  <c r="N37" i="6"/>
  <c r="N40" i="6" s="1"/>
  <c r="N42" i="6" s="1"/>
  <c r="AB492" i="14" l="1"/>
  <c r="AA476" i="14"/>
  <c r="AB464" i="14"/>
  <c r="AA456" i="14"/>
  <c r="AB448" i="14"/>
  <c r="AA435" i="14"/>
  <c r="AB427" i="14"/>
  <c r="AB240" i="14"/>
  <c r="AB227" i="14"/>
  <c r="AB213" i="14"/>
  <c r="AA303" i="14"/>
  <c r="AA293" i="14"/>
  <c r="AB287" i="14"/>
  <c r="AB275" i="14"/>
  <c r="AA271" i="14"/>
  <c r="AA478" i="14"/>
  <c r="AB467" i="14"/>
  <c r="AB459" i="14"/>
  <c r="AA451" i="14"/>
  <c r="AA436" i="14"/>
  <c r="AB429" i="14"/>
  <c r="AB245" i="14"/>
  <c r="AA219" i="14"/>
  <c r="AB207" i="14"/>
  <c r="AB301" i="14"/>
  <c r="AB293" i="14"/>
  <c r="AB288" i="14"/>
  <c r="AB283" i="14"/>
  <c r="AA272" i="14"/>
  <c r="AA269" i="14"/>
  <c r="AB262" i="14"/>
  <c r="AB261" i="14"/>
  <c r="AB260" i="14"/>
  <c r="AB486" i="14"/>
  <c r="AB468" i="14"/>
  <c r="AA458" i="14"/>
  <c r="AA448" i="14"/>
  <c r="AC448" i="14" s="1"/>
  <c r="AD448" i="14" s="1"/>
  <c r="AB435" i="14"/>
  <c r="AA427" i="14"/>
  <c r="AC427" i="14" s="1"/>
  <c r="AD427" i="14" s="1"/>
  <c r="AB231" i="14"/>
  <c r="AA218" i="14"/>
  <c r="AB203" i="14"/>
  <c r="AA295" i="14"/>
  <c r="AA288" i="14"/>
  <c r="AC288" i="14" s="1"/>
  <c r="AD288" i="14" s="1"/>
  <c r="AA274" i="14"/>
  <c r="S7" i="13"/>
  <c r="S6" i="13"/>
  <c r="AB192" i="14"/>
  <c r="AB177" i="14"/>
  <c r="AA169" i="14"/>
  <c r="AC169" i="14" s="1"/>
  <c r="AD169" i="14" s="1"/>
  <c r="AA163" i="14"/>
  <c r="AC163" i="14" s="1"/>
  <c r="AD163" i="14" s="1"/>
  <c r="AB160" i="14"/>
  <c r="AB155" i="14"/>
  <c r="AB151" i="14"/>
  <c r="AA142" i="14"/>
  <c r="AA134" i="14"/>
  <c r="AC134" i="14" s="1"/>
  <c r="AD134" i="14" s="1"/>
  <c r="AA128" i="14"/>
  <c r="AC128" i="14" s="1"/>
  <c r="AD128" i="14" s="1"/>
  <c r="AA124" i="14"/>
  <c r="AB120" i="14"/>
  <c r="AA115" i="14"/>
  <c r="AC115" i="14" s="1"/>
  <c r="AD115" i="14" s="1"/>
  <c r="AA110" i="14"/>
  <c r="AA101" i="14"/>
  <c r="AC101" i="14" s="1"/>
  <c r="AD101" i="14" s="1"/>
  <c r="AA94" i="14"/>
  <c r="AC94" i="14" s="1"/>
  <c r="AD94" i="14" s="1"/>
  <c r="AA88" i="14"/>
  <c r="AC88" i="14" s="1"/>
  <c r="AD88" i="14" s="1"/>
  <c r="AA191" i="14"/>
  <c r="AA188" i="14"/>
  <c r="AA171" i="14"/>
  <c r="AB167" i="14"/>
  <c r="AB166" i="14"/>
  <c r="AA164" i="14"/>
  <c r="AA160" i="14"/>
  <c r="AA157" i="14"/>
  <c r="AB152" i="14"/>
  <c r="AB150" i="14"/>
  <c r="AA133" i="14"/>
  <c r="AB128" i="14"/>
  <c r="AA126" i="14"/>
  <c r="AB121" i="14"/>
  <c r="AA119" i="14"/>
  <c r="AB116" i="14"/>
  <c r="AA111" i="14"/>
  <c r="AA96" i="14"/>
  <c r="AA95" i="14"/>
  <c r="AB90" i="14"/>
  <c r="AB88" i="14"/>
  <c r="AB86" i="14"/>
  <c r="AA439" i="14"/>
  <c r="AC439" i="14" s="1"/>
  <c r="AD439" i="14" s="1"/>
  <c r="AA438" i="14"/>
  <c r="AC438" i="14" s="1"/>
  <c r="AD438" i="14" s="1"/>
  <c r="AB433" i="14"/>
  <c r="AA433" i="14"/>
  <c r="AC433" i="14" s="1"/>
  <c r="AD433" i="14" s="1"/>
  <c r="AB432" i="14"/>
  <c r="AA432" i="14"/>
  <c r="AC432" i="14" s="1"/>
  <c r="AD432" i="14" s="1"/>
  <c r="AB431" i="14"/>
  <c r="AA431" i="14"/>
  <c r="AC431" i="14" s="1"/>
  <c r="AD431" i="14" s="1"/>
  <c r="AB428" i="14"/>
  <c r="AA428" i="14"/>
  <c r="AC428" i="14" s="1"/>
  <c r="AD428" i="14" s="1"/>
  <c r="AB425" i="14"/>
  <c r="AA423" i="14"/>
  <c r="AC423" i="14" s="1"/>
  <c r="AD423" i="14" s="1"/>
  <c r="AB422" i="14"/>
  <c r="AA422" i="14"/>
  <c r="AC422" i="14" s="1"/>
  <c r="AD422" i="14" s="1"/>
  <c r="AB420" i="14"/>
  <c r="AA420" i="14"/>
  <c r="AC420" i="14" s="1"/>
  <c r="AD420" i="14" s="1"/>
  <c r="AB419" i="14"/>
  <c r="AA419" i="14"/>
  <c r="AC419" i="14" s="1"/>
  <c r="AD419" i="14" s="1"/>
  <c r="AB418" i="14"/>
  <c r="AA418" i="14"/>
  <c r="AC418" i="14" s="1"/>
  <c r="AD418" i="14" s="1"/>
  <c r="AB416" i="14"/>
  <c r="AB415" i="14"/>
  <c r="AA415" i="14"/>
  <c r="AC415" i="14" s="1"/>
  <c r="AD415" i="14" s="1"/>
  <c r="AB414" i="14"/>
  <c r="AB413" i="14"/>
  <c r="AA413" i="14"/>
  <c r="AC413" i="14" s="1"/>
  <c r="AD413" i="14" s="1"/>
  <c r="AA246" i="14"/>
  <c r="AC246" i="14" s="1"/>
  <c r="AD246" i="14" s="1"/>
  <c r="AA243" i="14"/>
  <c r="AA241" i="14"/>
  <c r="AC241" i="14" s="1"/>
  <c r="AD241" i="14" s="1"/>
  <c r="AA238" i="14"/>
  <c r="AA235" i="14"/>
  <c r="AB230" i="14"/>
  <c r="AB229" i="14"/>
  <c r="AB226" i="14"/>
  <c r="AB224" i="14"/>
  <c r="AB223" i="14"/>
  <c r="AA222" i="14"/>
  <c r="AC222" i="14" s="1"/>
  <c r="AD222" i="14" s="1"/>
  <c r="AA220" i="14"/>
  <c r="AB219" i="14"/>
  <c r="AB218" i="14"/>
  <c r="AB216" i="14"/>
  <c r="AA215" i="14"/>
  <c r="AC215" i="14" s="1"/>
  <c r="AD215" i="14" s="1"/>
  <c r="AB212" i="14"/>
  <c r="AA211" i="14"/>
  <c r="AB210" i="14"/>
  <c r="AA209" i="14"/>
  <c r="AA206" i="14"/>
  <c r="AB205" i="14"/>
  <c r="AB204" i="14"/>
  <c r="AB202" i="14"/>
  <c r="AB201" i="14"/>
  <c r="AB200" i="14"/>
  <c r="AA199" i="14"/>
  <c r="AC199" i="14" s="1"/>
  <c r="AD199" i="14" s="1"/>
  <c r="AB198" i="14"/>
  <c r="AA197" i="14"/>
  <c r="AC197" i="14" s="1"/>
  <c r="AD197" i="14" s="1"/>
  <c r="AA193" i="14"/>
  <c r="AC193" i="14" s="1"/>
  <c r="AD193" i="14" s="1"/>
  <c r="AA192" i="14"/>
  <c r="AC192" i="14" s="1"/>
  <c r="AD192" i="14" s="1"/>
  <c r="AB188" i="14"/>
  <c r="AA187" i="14"/>
  <c r="AA182" i="14"/>
  <c r="AB181" i="14"/>
  <c r="AB180" i="14"/>
  <c r="AB178" i="14"/>
  <c r="AA494" i="14"/>
  <c r="AA477" i="14"/>
  <c r="AC477" i="14" s="1"/>
  <c r="AD477" i="14" s="1"/>
  <c r="AA464" i="14"/>
  <c r="AC464" i="14" s="1"/>
  <c r="AD464" i="14" s="1"/>
  <c r="AB457" i="14"/>
  <c r="AB451" i="14"/>
  <c r="AB445" i="14"/>
  <c r="AA430" i="14"/>
  <c r="AC430" i="14" s="1"/>
  <c r="AD430" i="14" s="1"/>
  <c r="AA233" i="14"/>
  <c r="AB220" i="14"/>
  <c r="AA183" i="14"/>
  <c r="AB295" i="14"/>
  <c r="AB289" i="14"/>
  <c r="AB286" i="14"/>
  <c r="AB277" i="14"/>
  <c r="AB272" i="14"/>
  <c r="R8" i="13"/>
  <c r="R6" i="13"/>
  <c r="T6" i="13" s="1"/>
  <c r="U6" i="13" s="1"/>
  <c r="AA175" i="14"/>
  <c r="AA166" i="14"/>
  <c r="AC166" i="14" s="1"/>
  <c r="AD166" i="14" s="1"/>
  <c r="AA161" i="14"/>
  <c r="AB159" i="14"/>
  <c r="AA154" i="14"/>
  <c r="AC154" i="14" s="1"/>
  <c r="AD154" i="14" s="1"/>
  <c r="AB146" i="14"/>
  <c r="AA140" i="14"/>
  <c r="AA132" i="14"/>
  <c r="AB126" i="14"/>
  <c r="AA122" i="14"/>
  <c r="AB117" i="14"/>
  <c r="AA112" i="14"/>
  <c r="AB109" i="14"/>
  <c r="AA99" i="14"/>
  <c r="AA90" i="14"/>
  <c r="AC90" i="14" s="1"/>
  <c r="AD90" i="14" s="1"/>
  <c r="AA195" i="14"/>
  <c r="AA189" i="14"/>
  <c r="AA174" i="14"/>
  <c r="AC174" i="14" s="1"/>
  <c r="AD174" i="14" s="1"/>
  <c r="AA168" i="14"/>
  <c r="AC168" i="14" s="1"/>
  <c r="AD168" i="14" s="1"/>
  <c r="AA165" i="14"/>
  <c r="AA162" i="14"/>
  <c r="AB161" i="14"/>
  <c r="AA159" i="14"/>
  <c r="AC159" i="14" s="1"/>
  <c r="AD159" i="14" s="1"/>
  <c r="AB153" i="14"/>
  <c r="AA147" i="14"/>
  <c r="AC147" i="14" s="1"/>
  <c r="AD147" i="14" s="1"/>
  <c r="AB134" i="14"/>
  <c r="AB129" i="14"/>
  <c r="AB127" i="14"/>
  <c r="AB118" i="14"/>
  <c r="AA113" i="14"/>
  <c r="AA108" i="14"/>
  <c r="AA91" i="14"/>
  <c r="AA89" i="14"/>
  <c r="AB87" i="14"/>
  <c r="AB439" i="14"/>
  <c r="AB438" i="14"/>
  <c r="AA146" i="14"/>
  <c r="AA139" i="14"/>
  <c r="AB138" i="14"/>
  <c r="AA136" i="14"/>
  <c r="AB131" i="14"/>
  <c r="AA130" i="14"/>
  <c r="AA127" i="14"/>
  <c r="AC127" i="14" s="1"/>
  <c r="AD127" i="14" s="1"/>
  <c r="AB119" i="14"/>
  <c r="AB105" i="14"/>
  <c r="AB104" i="14"/>
  <c r="AB98" i="14"/>
  <c r="AA86" i="14"/>
  <c r="AC86" i="14" s="1"/>
  <c r="AD86" i="14" s="1"/>
  <c r="AB502" i="14"/>
  <c r="AA502" i="14"/>
  <c r="AC502" i="14" s="1"/>
  <c r="AD502" i="14" s="1"/>
  <c r="AB501" i="14"/>
  <c r="AA501" i="14"/>
  <c r="AC501" i="14" s="1"/>
  <c r="AD501" i="14" s="1"/>
  <c r="AB499" i="14"/>
  <c r="AA499" i="14"/>
  <c r="AC499" i="14" s="1"/>
  <c r="AD499" i="14" s="1"/>
  <c r="AB498" i="14"/>
  <c r="AA498" i="14"/>
  <c r="AC498" i="14" s="1"/>
  <c r="AD498" i="14" s="1"/>
  <c r="AB493" i="14"/>
  <c r="AB491" i="14"/>
  <c r="AA491" i="14"/>
  <c r="AC491" i="14" s="1"/>
  <c r="AD491" i="14" s="1"/>
  <c r="AB490" i="14"/>
  <c r="AA490" i="14"/>
  <c r="AC490" i="14" s="1"/>
  <c r="AD490" i="14" s="1"/>
  <c r="AB489" i="14"/>
  <c r="AA489" i="14"/>
  <c r="AC489" i="14" s="1"/>
  <c r="AD489" i="14" s="1"/>
  <c r="AB488" i="14"/>
  <c r="AA488" i="14"/>
  <c r="AC488" i="14" s="1"/>
  <c r="AD488" i="14" s="1"/>
  <c r="AB487" i="14"/>
  <c r="AA487" i="14"/>
  <c r="AC487" i="14" s="1"/>
  <c r="AD487" i="14" s="1"/>
  <c r="AB485" i="14"/>
  <c r="AB484" i="14"/>
  <c r="AA484" i="14"/>
  <c r="AC484" i="14" s="1"/>
  <c r="AD484" i="14" s="1"/>
  <c r="AB483" i="14"/>
  <c r="AA483" i="14"/>
  <c r="AC483" i="14" s="1"/>
  <c r="AD483" i="14" s="1"/>
  <c r="AB482" i="14"/>
  <c r="AA482" i="14"/>
  <c r="AC482" i="14" s="1"/>
  <c r="AD482" i="14" s="1"/>
  <c r="AB481" i="14"/>
  <c r="AA481" i="14"/>
  <c r="AC481" i="14" s="1"/>
  <c r="AD481" i="14" s="1"/>
  <c r="AB480" i="14"/>
  <c r="AA480" i="14"/>
  <c r="AC480" i="14" s="1"/>
  <c r="AD480" i="14" s="1"/>
  <c r="AB479" i="14"/>
  <c r="AA479" i="14"/>
  <c r="AC479" i="14" s="1"/>
  <c r="AD479" i="14" s="1"/>
  <c r="AB477" i="14"/>
  <c r="AB475" i="14"/>
  <c r="AA475" i="14"/>
  <c r="AC475" i="14" s="1"/>
  <c r="AD475" i="14" s="1"/>
  <c r="AB474" i="14"/>
  <c r="AA474" i="14"/>
  <c r="AC474" i="14" s="1"/>
  <c r="AD474" i="14" s="1"/>
  <c r="AB473" i="14"/>
  <c r="AA473" i="14"/>
  <c r="AC473" i="14" s="1"/>
  <c r="AD473" i="14" s="1"/>
  <c r="AB472" i="14"/>
  <c r="AA472" i="14"/>
  <c r="AC472" i="14" s="1"/>
  <c r="AD472" i="14" s="1"/>
  <c r="AB471" i="14"/>
  <c r="AA471" i="14"/>
  <c r="AC471" i="14" s="1"/>
  <c r="AD471" i="14" s="1"/>
  <c r="AA470" i="14"/>
  <c r="AB469" i="14"/>
  <c r="AA469" i="14"/>
  <c r="AC469" i="14" s="1"/>
  <c r="AD469" i="14" s="1"/>
  <c r="AB466" i="14"/>
  <c r="AA466" i="14"/>
  <c r="AC466" i="14" s="1"/>
  <c r="AD466" i="14" s="1"/>
  <c r="AB465" i="14"/>
  <c r="AA465" i="14"/>
  <c r="AC465" i="14" s="1"/>
  <c r="AD465" i="14" s="1"/>
  <c r="AB463" i="14"/>
  <c r="AB462" i="14"/>
  <c r="AA462" i="14"/>
  <c r="AC462" i="14" s="1"/>
  <c r="AD462" i="14" s="1"/>
  <c r="AB461" i="14"/>
  <c r="AA461" i="14"/>
  <c r="AC461" i="14" s="1"/>
  <c r="AD461" i="14" s="1"/>
  <c r="AB460" i="14"/>
  <c r="AA460" i="14"/>
  <c r="AC460" i="14" s="1"/>
  <c r="AD460" i="14" s="1"/>
  <c r="AA455" i="14"/>
  <c r="AB454" i="14"/>
  <c r="AA454" i="14"/>
  <c r="AC454" i="14" s="1"/>
  <c r="AD454" i="14" s="1"/>
  <c r="AA452" i="14"/>
  <c r="AB450" i="14"/>
  <c r="AA450" i="14"/>
  <c r="AC450" i="14" s="1"/>
  <c r="AD450" i="14" s="1"/>
  <c r="AA449" i="14"/>
  <c r="AC449" i="14" s="1"/>
  <c r="AD449" i="14" s="1"/>
  <c r="AB447" i="14"/>
  <c r="AA447" i="14"/>
  <c r="AC447" i="14" s="1"/>
  <c r="AD447" i="14" s="1"/>
  <c r="AA493" i="14"/>
  <c r="AC493" i="14" s="1"/>
  <c r="AD493" i="14" s="1"/>
  <c r="AB478" i="14"/>
  <c r="AA467" i="14"/>
  <c r="AC467" i="14" s="1"/>
  <c r="AD467" i="14" s="1"/>
  <c r="AB458" i="14"/>
  <c r="AB452" i="14"/>
  <c r="AB437" i="14"/>
  <c r="AB434" i="14"/>
  <c r="AA424" i="14"/>
  <c r="AC424" i="14" s="1"/>
  <c r="AD424" i="14" s="1"/>
  <c r="AA229" i="14"/>
  <c r="AC229" i="14" s="1"/>
  <c r="AD229" i="14" s="1"/>
  <c r="AB217" i="14"/>
  <c r="AB182" i="14"/>
  <c r="AA294" i="14"/>
  <c r="AC294" i="14" s="1"/>
  <c r="AD294" i="14" s="1"/>
  <c r="AA286" i="14"/>
  <c r="AC286" i="14" s="1"/>
  <c r="AD286" i="14" s="1"/>
  <c r="AA275" i="14"/>
  <c r="AC275" i="14" s="1"/>
  <c r="AD275" i="14" s="1"/>
  <c r="S8" i="13"/>
  <c r="R7" i="13"/>
  <c r="T7" i="13" s="1"/>
  <c r="U7" i="13" s="1"/>
  <c r="C17" i="16" s="1"/>
  <c r="AB195" i="14"/>
  <c r="AB191" i="14"/>
  <c r="AB172" i="14"/>
  <c r="AB165" i="14"/>
  <c r="AB164" i="14"/>
  <c r="AA158" i="14"/>
  <c r="AC158" i="14" s="1"/>
  <c r="AD158" i="14" s="1"/>
  <c r="AA150" i="14"/>
  <c r="AC150" i="14" s="1"/>
  <c r="AD150" i="14" s="1"/>
  <c r="AA141" i="14"/>
  <c r="AB137" i="14"/>
  <c r="AA131" i="14"/>
  <c r="AC131" i="14" s="1"/>
  <c r="AD131" i="14" s="1"/>
  <c r="AB125" i="14"/>
  <c r="AB123" i="14"/>
  <c r="AA116" i="14"/>
  <c r="AC116" i="14" s="1"/>
  <c r="AD116" i="14" s="1"/>
  <c r="AB114" i="14"/>
  <c r="AB111" i="14"/>
  <c r="AA105" i="14"/>
  <c r="AC105" i="14" s="1"/>
  <c r="AD105" i="14" s="1"/>
  <c r="AA92" i="14"/>
  <c r="AC92" i="14" s="1"/>
  <c r="AD92" i="14" s="1"/>
  <c r="AA196" i="14"/>
  <c r="AC196" i="14" s="1"/>
  <c r="AD196" i="14" s="1"/>
  <c r="AA190" i="14"/>
  <c r="AC190" i="14" s="1"/>
  <c r="AD190" i="14" s="1"/>
  <c r="AA176" i="14"/>
  <c r="AC176" i="14" s="1"/>
  <c r="AD176" i="14" s="1"/>
  <c r="AB446" i="14"/>
  <c r="AA445" i="14"/>
  <c r="AC445" i="14" s="1"/>
  <c r="AD445" i="14" s="1"/>
  <c r="AB444" i="14"/>
  <c r="AA444" i="14"/>
  <c r="AB443" i="14"/>
  <c r="AA443" i="14"/>
  <c r="AC443" i="14" s="1"/>
  <c r="AD443" i="14" s="1"/>
  <c r="AB442" i="14"/>
  <c r="AA442" i="14"/>
  <c r="AC442" i="14" s="1"/>
  <c r="AD442" i="14" s="1"/>
  <c r="AB441" i="14"/>
  <c r="AA441" i="14"/>
  <c r="AC441" i="14" s="1"/>
  <c r="AD441" i="14" s="1"/>
  <c r="AB440" i="14"/>
  <c r="AA440" i="14"/>
  <c r="AC440" i="14" s="1"/>
  <c r="AD440" i="14" s="1"/>
  <c r="AA426" i="14"/>
  <c r="AA425" i="14"/>
  <c r="AB424" i="14"/>
  <c r="AB423" i="14"/>
  <c r="AB421" i="14"/>
  <c r="AA421" i="14"/>
  <c r="AC421" i="14" s="1"/>
  <c r="AD421" i="14" s="1"/>
  <c r="AB417" i="14"/>
  <c r="AA417" i="14"/>
  <c r="AC417" i="14" s="1"/>
  <c r="AD417" i="14" s="1"/>
  <c r="AA416" i="14"/>
  <c r="AA414" i="14"/>
  <c r="AB531" i="14"/>
  <c r="AA531" i="14"/>
  <c r="AC531" i="14" s="1"/>
  <c r="AD531" i="14" s="1"/>
  <c r="AB530" i="14"/>
  <c r="AA530" i="14"/>
  <c r="AC530" i="14" s="1"/>
  <c r="AD530" i="14" s="1"/>
  <c r="AB529" i="14"/>
  <c r="AA529" i="14"/>
  <c r="AC529" i="14" s="1"/>
  <c r="AD529" i="14" s="1"/>
  <c r="AB528" i="14"/>
  <c r="AA528" i="14"/>
  <c r="AC528" i="14" s="1"/>
  <c r="AD528" i="14" s="1"/>
  <c r="AB527" i="14"/>
  <c r="AA527" i="14"/>
  <c r="AC527" i="14" s="1"/>
  <c r="AD527" i="14" s="1"/>
  <c r="AB526" i="14"/>
  <c r="AA526" i="14"/>
  <c r="AC526" i="14" s="1"/>
  <c r="AD526" i="14" s="1"/>
  <c r="AB525" i="14"/>
  <c r="AA525" i="14"/>
  <c r="AC525" i="14" s="1"/>
  <c r="AD525" i="14" s="1"/>
  <c r="AB524" i="14"/>
  <c r="AA524" i="14"/>
  <c r="AC524" i="14" s="1"/>
  <c r="AD524" i="14" s="1"/>
  <c r="AB523" i="14"/>
  <c r="AA523" i="14"/>
  <c r="AC523" i="14" s="1"/>
  <c r="AD523" i="14" s="1"/>
  <c r="AB522" i="14"/>
  <c r="AA522" i="14"/>
  <c r="AC522" i="14" s="1"/>
  <c r="AD522" i="14" s="1"/>
  <c r="AB521" i="14"/>
  <c r="AA521" i="14"/>
  <c r="AC521" i="14" s="1"/>
  <c r="AD521" i="14" s="1"/>
  <c r="AB520" i="14"/>
  <c r="AA520" i="14"/>
  <c r="AC520" i="14" s="1"/>
  <c r="AD520" i="14" s="1"/>
  <c r="AB519" i="14"/>
  <c r="AA519" i="14"/>
  <c r="AC519" i="14" s="1"/>
  <c r="AD519" i="14" s="1"/>
  <c r="AB518" i="14"/>
  <c r="AA518" i="14"/>
  <c r="AC518" i="14" s="1"/>
  <c r="AD518" i="14" s="1"/>
  <c r="AB517" i="14"/>
  <c r="AA517" i="14"/>
  <c r="AC517" i="14" s="1"/>
  <c r="AD517" i="14" s="1"/>
  <c r="AB516" i="14"/>
  <c r="AA516" i="14"/>
  <c r="AC516" i="14" s="1"/>
  <c r="AD516" i="14" s="1"/>
  <c r="AB515" i="14"/>
  <c r="AA515" i="14"/>
  <c r="AC515" i="14" s="1"/>
  <c r="AD515" i="14" s="1"/>
  <c r="AB514" i="14"/>
  <c r="AA514" i="14"/>
  <c r="AC514" i="14" s="1"/>
  <c r="AD514" i="14" s="1"/>
  <c r="AB513" i="14"/>
  <c r="AA513" i="14"/>
  <c r="AC513" i="14" s="1"/>
  <c r="AD513" i="14" s="1"/>
  <c r="AB512" i="14"/>
  <c r="AA512" i="14"/>
  <c r="AC512" i="14" s="1"/>
  <c r="AD512" i="14" s="1"/>
  <c r="AB511" i="14"/>
  <c r="AA511" i="14"/>
  <c r="AC511" i="14" s="1"/>
  <c r="AD511" i="14" s="1"/>
  <c r="AB510" i="14"/>
  <c r="AA510" i="14"/>
  <c r="AC510" i="14" s="1"/>
  <c r="AD510" i="14" s="1"/>
  <c r="AB509" i="14"/>
  <c r="AA509" i="14"/>
  <c r="AC509" i="14" s="1"/>
  <c r="AD509" i="14" s="1"/>
  <c r="AB508" i="14"/>
  <c r="AA508" i="14"/>
  <c r="AC508" i="14" s="1"/>
  <c r="AD508" i="14" s="1"/>
  <c r="AB507" i="14"/>
  <c r="AA507" i="14"/>
  <c r="AC507" i="14" s="1"/>
  <c r="AD507" i="14" s="1"/>
  <c r="AB506" i="14"/>
  <c r="AA506" i="14"/>
  <c r="AC506" i="14" s="1"/>
  <c r="AD506" i="14" s="1"/>
  <c r="AB505" i="14"/>
  <c r="AA505" i="14"/>
  <c r="AC505" i="14" s="1"/>
  <c r="AD505" i="14" s="1"/>
  <c r="AB504" i="14"/>
  <c r="AA504" i="14"/>
  <c r="AC504" i="14" s="1"/>
  <c r="AD504" i="14" s="1"/>
  <c r="AB503" i="14"/>
  <c r="AA503" i="14"/>
  <c r="AC503" i="14" s="1"/>
  <c r="AD503" i="14" s="1"/>
  <c r="AB500" i="14"/>
  <c r="AA500" i="14"/>
  <c r="AC500" i="14" s="1"/>
  <c r="AD500" i="14" s="1"/>
  <c r="AB497" i="14"/>
  <c r="AA497" i="14"/>
  <c r="AC497" i="14" s="1"/>
  <c r="AD497" i="14" s="1"/>
  <c r="AB496" i="14"/>
  <c r="AA496" i="14"/>
  <c r="AC496" i="14" s="1"/>
  <c r="AD496" i="14" s="1"/>
  <c r="AB495" i="14"/>
  <c r="AA495" i="14"/>
  <c r="AC495" i="14" s="1"/>
  <c r="AD495" i="14" s="1"/>
  <c r="AB494" i="14"/>
  <c r="AA485" i="14"/>
  <c r="AC485" i="14" s="1"/>
  <c r="AD485" i="14" s="1"/>
  <c r="AB470" i="14"/>
  <c r="AA459" i="14"/>
  <c r="AC459" i="14" s="1"/>
  <c r="AD459" i="14" s="1"/>
  <c r="AB455" i="14"/>
  <c r="AA437" i="14"/>
  <c r="AC437" i="14" s="1"/>
  <c r="AD437" i="14" s="1"/>
  <c r="AA429" i="14"/>
  <c r="AC429" i="14" s="1"/>
  <c r="AD429" i="14" s="1"/>
  <c r="AA232" i="14"/>
  <c r="AC232" i="14" s="1"/>
  <c r="AD232" i="14" s="1"/>
  <c r="AB225" i="14"/>
  <c r="AB214" i="14"/>
  <c r="AA180" i="14"/>
  <c r="AC180" i="14" s="1"/>
  <c r="AD180" i="14" s="1"/>
  <c r="AA153" i="14"/>
  <c r="AC153" i="14" s="1"/>
  <c r="AD153" i="14" s="1"/>
  <c r="AB149" i="14"/>
  <c r="AA145" i="14"/>
  <c r="AC145" i="14" s="1"/>
  <c r="AD145" i="14" s="1"/>
  <c r="AA135" i="14"/>
  <c r="AA102" i="14"/>
  <c r="AC102" i="14" s="1"/>
  <c r="AD102" i="14" s="1"/>
  <c r="AB99" i="14"/>
  <c r="AA93" i="14"/>
  <c r="AC93" i="14" s="1"/>
  <c r="AD93" i="14" s="1"/>
  <c r="AB453" i="14"/>
  <c r="AA412" i="14"/>
  <c r="AC412" i="14" s="1"/>
  <c r="AD412" i="14" s="1"/>
  <c r="AB411" i="14"/>
  <c r="AA410" i="14"/>
  <c r="AC410" i="14" s="1"/>
  <c r="AD410" i="14" s="1"/>
  <c r="AA409" i="14"/>
  <c r="AC409" i="14" s="1"/>
  <c r="AD409" i="14" s="1"/>
  <c r="AB408" i="14"/>
  <c r="AA407" i="14"/>
  <c r="AC407" i="14" s="1"/>
  <c r="AD407" i="14" s="1"/>
  <c r="AB406" i="14"/>
  <c r="AA405" i="14"/>
  <c r="AC405" i="14" s="1"/>
  <c r="AD405" i="14" s="1"/>
  <c r="AB404" i="14"/>
  <c r="AA403" i="14"/>
  <c r="AC403" i="14" s="1"/>
  <c r="AD403" i="14" s="1"/>
  <c r="AB402" i="14"/>
  <c r="AA401" i="14"/>
  <c r="AC401" i="14" s="1"/>
  <c r="AD401" i="14" s="1"/>
  <c r="AB400" i="14"/>
  <c r="AA399" i="14"/>
  <c r="AC399" i="14" s="1"/>
  <c r="AD399" i="14" s="1"/>
  <c r="AB398" i="14"/>
  <c r="AA397" i="14"/>
  <c r="AC397" i="14" s="1"/>
  <c r="AD397" i="14" s="1"/>
  <c r="AB396" i="14"/>
  <c r="AA395" i="14"/>
  <c r="AC395" i="14" s="1"/>
  <c r="AD395" i="14" s="1"/>
  <c r="AB394" i="14"/>
  <c r="AA393" i="14"/>
  <c r="AC393" i="14" s="1"/>
  <c r="AD393" i="14" s="1"/>
  <c r="AB392" i="14"/>
  <c r="AA391" i="14"/>
  <c r="AB390" i="14"/>
  <c r="AA389" i="14"/>
  <c r="AC389" i="14" s="1"/>
  <c r="AD389" i="14" s="1"/>
  <c r="AB388" i="14"/>
  <c r="AA387" i="14"/>
  <c r="AC387" i="14" s="1"/>
  <c r="AD387" i="14" s="1"/>
  <c r="AB386" i="14"/>
  <c r="AA385" i="14"/>
  <c r="AC385" i="14" s="1"/>
  <c r="AD385" i="14" s="1"/>
  <c r="AB384" i="14"/>
  <c r="AA383" i="14"/>
  <c r="AC383" i="14" s="1"/>
  <c r="AD383" i="14" s="1"/>
  <c r="AB382" i="14"/>
  <c r="AA381" i="14"/>
  <c r="AC381" i="14" s="1"/>
  <c r="AD381" i="14" s="1"/>
  <c r="AA380" i="14"/>
  <c r="AC380" i="14" s="1"/>
  <c r="AD380" i="14" s="1"/>
  <c r="AB379" i="14"/>
  <c r="AA378" i="14"/>
  <c r="AC378" i="14" s="1"/>
  <c r="AD378" i="14" s="1"/>
  <c r="AB377" i="14"/>
  <c r="AB376" i="14"/>
  <c r="AA375" i="14"/>
  <c r="AC375" i="14" s="1"/>
  <c r="AD375" i="14" s="1"/>
  <c r="AA374" i="14"/>
  <c r="AC374" i="14" s="1"/>
  <c r="AD374" i="14" s="1"/>
  <c r="AB373" i="14"/>
  <c r="AA372" i="14"/>
  <c r="AC372" i="14" s="1"/>
  <c r="AD372" i="14" s="1"/>
  <c r="AB329" i="14"/>
  <c r="AA328" i="14"/>
  <c r="AC328" i="14" s="1"/>
  <c r="AD328" i="14" s="1"/>
  <c r="AA326" i="14"/>
  <c r="AC326" i="14" s="1"/>
  <c r="AD326" i="14" s="1"/>
  <c r="AB324" i="14"/>
  <c r="AA322" i="14"/>
  <c r="AC322" i="14" s="1"/>
  <c r="AD322" i="14" s="1"/>
  <c r="AB321" i="14"/>
  <c r="AB319" i="14"/>
  <c r="AB316" i="14"/>
  <c r="AA314" i="14"/>
  <c r="AB313" i="14"/>
  <c r="AA312" i="14"/>
  <c r="AC312" i="14" s="1"/>
  <c r="AD312" i="14" s="1"/>
  <c r="AA311" i="14"/>
  <c r="AC311" i="14" s="1"/>
  <c r="AD311" i="14" s="1"/>
  <c r="AA310" i="14"/>
  <c r="AC310" i="14" s="1"/>
  <c r="AD310" i="14" s="1"/>
  <c r="AA308" i="14"/>
  <c r="AC308" i="14" s="1"/>
  <c r="AD308" i="14" s="1"/>
  <c r="AB306" i="14"/>
  <c r="AA304" i="14"/>
  <c r="AC304" i="14" s="1"/>
  <c r="AD304" i="14" s="1"/>
  <c r="AA302" i="14"/>
  <c r="AC302" i="14" s="1"/>
  <c r="AD302" i="14" s="1"/>
  <c r="AB300" i="14"/>
  <c r="AA299" i="14"/>
  <c r="AC299" i="14" s="1"/>
  <c r="AD299" i="14" s="1"/>
  <c r="AA298" i="14"/>
  <c r="AC298" i="14" s="1"/>
  <c r="AD298" i="14" s="1"/>
  <c r="AB297" i="14"/>
  <c r="AB296" i="14"/>
  <c r="AB294" i="14"/>
  <c r="AB292" i="14"/>
  <c r="AB291" i="14"/>
  <c r="AB290" i="14"/>
  <c r="AA287" i="14"/>
  <c r="AC287" i="14" s="1"/>
  <c r="AD287" i="14" s="1"/>
  <c r="AB285" i="14"/>
  <c r="AA284" i="14"/>
  <c r="AC284" i="14" s="1"/>
  <c r="AD284" i="14" s="1"/>
  <c r="AB282" i="14"/>
  <c r="AA281" i="14"/>
  <c r="AC281" i="14" s="1"/>
  <c r="AD281" i="14" s="1"/>
  <c r="AB280" i="14"/>
  <c r="AB279" i="14"/>
  <c r="AB278" i="14"/>
  <c r="AA277" i="14"/>
  <c r="AB276" i="14"/>
  <c r="AA273" i="14"/>
  <c r="AC273" i="14" s="1"/>
  <c r="AD273" i="14" s="1"/>
  <c r="AB270" i="14"/>
  <c r="AA268" i="14"/>
  <c r="AC268" i="14" s="1"/>
  <c r="AD268" i="14" s="1"/>
  <c r="AB267" i="14"/>
  <c r="AA266" i="14"/>
  <c r="AC266" i="14" s="1"/>
  <c r="AD266" i="14" s="1"/>
  <c r="AB265" i="14"/>
  <c r="AA264" i="14"/>
  <c r="AC264" i="14" s="1"/>
  <c r="AD264" i="14" s="1"/>
  <c r="AB263" i="14"/>
  <c r="AA257" i="14"/>
  <c r="AC257" i="14" s="1"/>
  <c r="AD257" i="14" s="1"/>
  <c r="AA256" i="14"/>
  <c r="AA255" i="14"/>
  <c r="AA251" i="14"/>
  <c r="AC251" i="14" s="1"/>
  <c r="AD251" i="14" s="1"/>
  <c r="AB249" i="14"/>
  <c r="AB246" i="14"/>
  <c r="AB244" i="14"/>
  <c r="AB241" i="14"/>
  <c r="AB237" i="14"/>
  <c r="AB234" i="14"/>
  <c r="AB228" i="14"/>
  <c r="AB222" i="14"/>
  <c r="AA217" i="14"/>
  <c r="AA213" i="14"/>
  <c r="AA205" i="14"/>
  <c r="AA202" i="14"/>
  <c r="AB199" i="14"/>
  <c r="AB196" i="14"/>
  <c r="AB193" i="14"/>
  <c r="AB190" i="14"/>
  <c r="AA185" i="14"/>
  <c r="AA179" i="14"/>
  <c r="AB176" i="14"/>
  <c r="AA173" i="14"/>
  <c r="AA170" i="14"/>
  <c r="AB169" i="14"/>
  <c r="AA167" i="14"/>
  <c r="AC167" i="14" s="1"/>
  <c r="AD167" i="14" s="1"/>
  <c r="AB163" i="14"/>
  <c r="AB158" i="14"/>
  <c r="AA155" i="14"/>
  <c r="AB154" i="14"/>
  <c r="AA152" i="14"/>
  <c r="AC152" i="14" s="1"/>
  <c r="AD152" i="14" s="1"/>
  <c r="AB145" i="14"/>
  <c r="AB144" i="14"/>
  <c r="AA143" i="14"/>
  <c r="AB130" i="14"/>
  <c r="AA129" i="14"/>
  <c r="AC129" i="14" s="1"/>
  <c r="AD129" i="14" s="1"/>
  <c r="AA121" i="14"/>
  <c r="AC121" i="14" s="1"/>
  <c r="AD121" i="14" s="1"/>
  <c r="AA118" i="14"/>
  <c r="AC118" i="14" s="1"/>
  <c r="AD118" i="14" s="1"/>
  <c r="AB115" i="14"/>
  <c r="AB113" i="14"/>
  <c r="AA109" i="14"/>
  <c r="AB108" i="14"/>
  <c r="AA107" i="14"/>
  <c r="AB106" i="14"/>
  <c r="AA104" i="14"/>
  <c r="AC104" i="14" s="1"/>
  <c r="AD104" i="14" s="1"/>
  <c r="AB103" i="14"/>
  <c r="AB102" i="14"/>
  <c r="AB101" i="14"/>
  <c r="AB97" i="14"/>
  <c r="AB95" i="14"/>
  <c r="AB94" i="14"/>
  <c r="AB93" i="14"/>
  <c r="AB92" i="14"/>
  <c r="AB91" i="14"/>
  <c r="AB89" i="14"/>
  <c r="AA87" i="14"/>
  <c r="AC87" i="14" s="1"/>
  <c r="AD87" i="14" s="1"/>
  <c r="AB371" i="14"/>
  <c r="AA371" i="14"/>
  <c r="AC371" i="14" s="1"/>
  <c r="AD371" i="14" s="1"/>
  <c r="AB370" i="14"/>
  <c r="AA370" i="14"/>
  <c r="AC370" i="14" s="1"/>
  <c r="AD370" i="14" s="1"/>
  <c r="AB369" i="14"/>
  <c r="AA369" i="14"/>
  <c r="AC369" i="14" s="1"/>
  <c r="AD369" i="14" s="1"/>
  <c r="AB368" i="14"/>
  <c r="AA368" i="14"/>
  <c r="AC368" i="14" s="1"/>
  <c r="AD368" i="14" s="1"/>
  <c r="AB367" i="14"/>
  <c r="AA367" i="14"/>
  <c r="AC367" i="14" s="1"/>
  <c r="AD367" i="14" s="1"/>
  <c r="AB366" i="14"/>
  <c r="AA366" i="14"/>
  <c r="AC366" i="14" s="1"/>
  <c r="AD366" i="14" s="1"/>
  <c r="AB365" i="14"/>
  <c r="AA365" i="14"/>
  <c r="AC365" i="14" s="1"/>
  <c r="AD365" i="14" s="1"/>
  <c r="AB364" i="14"/>
  <c r="AA364" i="14"/>
  <c r="AC364" i="14" s="1"/>
  <c r="AD364" i="14" s="1"/>
  <c r="AB363" i="14"/>
  <c r="AA363" i="14"/>
  <c r="AC363" i="14" s="1"/>
  <c r="AD363" i="14" s="1"/>
  <c r="AB362" i="14"/>
  <c r="AA362" i="14"/>
  <c r="AC362" i="14" s="1"/>
  <c r="AD362" i="14" s="1"/>
  <c r="AB361" i="14"/>
  <c r="AA361" i="14"/>
  <c r="AC361" i="14" s="1"/>
  <c r="AD361" i="14" s="1"/>
  <c r="AB360" i="14"/>
  <c r="AA360" i="14"/>
  <c r="AC360" i="14" s="1"/>
  <c r="AD360" i="14" s="1"/>
  <c r="AB359" i="14"/>
  <c r="AA359" i="14"/>
  <c r="AC359" i="14" s="1"/>
  <c r="AD359" i="14" s="1"/>
  <c r="AB358" i="14"/>
  <c r="AA358" i="14"/>
  <c r="AC358" i="14" s="1"/>
  <c r="AD358" i="14" s="1"/>
  <c r="AB357" i="14"/>
  <c r="AA357" i="14"/>
  <c r="AC357" i="14" s="1"/>
  <c r="AD357" i="14" s="1"/>
  <c r="AB356" i="14"/>
  <c r="AA356" i="14"/>
  <c r="AC356" i="14" s="1"/>
  <c r="AD356" i="14" s="1"/>
  <c r="AB355" i="14"/>
  <c r="AA355" i="14"/>
  <c r="AC355" i="14" s="1"/>
  <c r="AD355" i="14" s="1"/>
  <c r="AB354" i="14"/>
  <c r="AA354" i="14"/>
  <c r="AC354" i="14" s="1"/>
  <c r="AD354" i="14" s="1"/>
  <c r="AB353" i="14"/>
  <c r="AA492" i="14"/>
  <c r="AC492" i="14" s="1"/>
  <c r="AD492" i="14" s="1"/>
  <c r="AB476" i="14"/>
  <c r="AA463" i="14"/>
  <c r="AC463" i="14" s="1"/>
  <c r="AD463" i="14" s="1"/>
  <c r="AB456" i="14"/>
  <c r="AA446" i="14"/>
  <c r="AA434" i="14"/>
  <c r="AA244" i="14"/>
  <c r="AC244" i="14" s="1"/>
  <c r="AD244" i="14" s="1"/>
  <c r="AA224" i="14"/>
  <c r="AC224" i="14" s="1"/>
  <c r="AD224" i="14" s="1"/>
  <c r="AB211" i="14"/>
  <c r="AB156" i="14"/>
  <c r="AA151" i="14"/>
  <c r="AC151" i="14" s="1"/>
  <c r="AD151" i="14" s="1"/>
  <c r="AB148" i="14"/>
  <c r="AB147" i="14"/>
  <c r="AA138" i="14"/>
  <c r="AC138" i="14" s="1"/>
  <c r="AD138" i="14" s="1"/>
  <c r="AB133" i="14"/>
  <c r="AA100" i="14"/>
  <c r="AA97" i="14"/>
  <c r="AC97" i="14" s="1"/>
  <c r="AD97" i="14" s="1"/>
  <c r="AA453" i="14"/>
  <c r="AB412" i="14"/>
  <c r="AA411" i="14"/>
  <c r="AB410" i="14"/>
  <c r="AB409" i="14"/>
  <c r="AA408" i="14"/>
  <c r="AB407" i="14"/>
  <c r="AA406" i="14"/>
  <c r="AB405" i="14"/>
  <c r="AA404" i="14"/>
  <c r="AB403" i="14"/>
  <c r="AA402" i="14"/>
  <c r="AB401" i="14"/>
  <c r="AA400" i="14"/>
  <c r="AB399" i="14"/>
  <c r="AA398" i="14"/>
  <c r="AB397" i="14"/>
  <c r="AA396" i="14"/>
  <c r="AB395" i="14"/>
  <c r="AA394" i="14"/>
  <c r="AB393" i="14"/>
  <c r="AA392" i="14"/>
  <c r="AB391" i="14"/>
  <c r="AA390" i="14"/>
  <c r="AC390" i="14" s="1"/>
  <c r="AD390" i="14" s="1"/>
  <c r="AB389" i="14"/>
  <c r="AA388" i="14"/>
  <c r="AB387" i="14"/>
  <c r="AA386" i="14"/>
  <c r="AB385" i="14"/>
  <c r="AA384" i="14"/>
  <c r="AB383" i="14"/>
  <c r="AA382" i="14"/>
  <c r="AB381" i="14"/>
  <c r="AB380" i="14"/>
  <c r="AA379" i="14"/>
  <c r="AB378" i="14"/>
  <c r="AA377" i="14"/>
  <c r="AA376" i="14"/>
  <c r="AB375" i="14"/>
  <c r="AB374" i="14"/>
  <c r="AA373" i="14"/>
  <c r="AB372" i="14"/>
  <c r="AA329" i="14"/>
  <c r="AB328" i="14"/>
  <c r="AB326" i="14"/>
  <c r="AB325" i="14"/>
  <c r="AA324" i="14"/>
  <c r="AB322" i="14"/>
  <c r="AA321" i="14"/>
  <c r="AA319" i="14"/>
  <c r="AA316" i="14"/>
  <c r="AA313" i="14"/>
  <c r="AB312" i="14"/>
  <c r="AB311" i="14"/>
  <c r="AB310" i="14"/>
  <c r="AA309" i="14"/>
  <c r="AB308" i="14"/>
  <c r="AA306" i="14"/>
  <c r="AB304" i="14"/>
  <c r="AB302" i="14"/>
  <c r="AA300" i="14"/>
  <c r="AB299" i="14"/>
  <c r="AB298" i="14"/>
  <c r="AA297" i="14"/>
  <c r="AA296" i="14"/>
  <c r="AA292" i="14"/>
  <c r="AA291" i="14"/>
  <c r="AA290" i="14"/>
  <c r="AA285" i="14"/>
  <c r="AB284" i="14"/>
  <c r="AA282" i="14"/>
  <c r="AB281" i="14"/>
  <c r="AA280" i="14"/>
  <c r="AA279" i="14"/>
  <c r="AA278" i="14"/>
  <c r="AA276" i="14"/>
  <c r="AB273" i="14"/>
  <c r="AA270" i="14"/>
  <c r="AB268" i="14"/>
  <c r="AA267" i="14"/>
  <c r="AB266" i="14"/>
  <c r="AA265" i="14"/>
  <c r="AB264" i="14"/>
  <c r="AA263" i="14"/>
  <c r="AB257" i="14"/>
  <c r="AB256" i="14"/>
  <c r="AB255" i="14"/>
  <c r="AA254" i="14"/>
  <c r="AB251" i="14"/>
  <c r="AA249" i="14"/>
  <c r="AA245" i="14"/>
  <c r="AB242" i="14"/>
  <c r="AB239" i="14"/>
  <c r="AB236" i="14"/>
  <c r="AA225" i="14"/>
  <c r="AA221" i="14"/>
  <c r="AB215" i="14"/>
  <c r="AA212" i="14"/>
  <c r="AA203" i="14"/>
  <c r="AA201" i="14"/>
  <c r="AB197" i="14"/>
  <c r="AA194" i="14"/>
  <c r="AA186" i="14"/>
  <c r="AA184" i="14"/>
  <c r="AA177" i="14"/>
  <c r="AB174" i="14"/>
  <c r="AA172" i="14"/>
  <c r="AB171" i="14"/>
  <c r="AB168" i="14"/>
  <c r="AA353" i="14"/>
  <c r="AB352" i="14"/>
  <c r="AA352" i="14"/>
  <c r="AC352" i="14" s="1"/>
  <c r="AD352" i="14" s="1"/>
  <c r="AB351" i="14"/>
  <c r="AA351" i="14"/>
  <c r="AC351" i="14" s="1"/>
  <c r="AD351" i="14" s="1"/>
  <c r="AB350" i="14"/>
  <c r="AA350" i="14"/>
  <c r="AC350" i="14" s="1"/>
  <c r="AD350" i="14" s="1"/>
  <c r="AB349" i="14"/>
  <c r="AA349" i="14"/>
  <c r="AC349" i="14" s="1"/>
  <c r="AD349" i="14" s="1"/>
  <c r="AB348" i="14"/>
  <c r="AA348" i="14"/>
  <c r="AC348" i="14" s="1"/>
  <c r="AD348" i="14" s="1"/>
  <c r="AB347" i="14"/>
  <c r="AA347" i="14"/>
  <c r="AC347" i="14" s="1"/>
  <c r="AD347" i="14" s="1"/>
  <c r="AB346" i="14"/>
  <c r="AA346" i="14"/>
  <c r="AC346" i="14" s="1"/>
  <c r="AD346" i="14" s="1"/>
  <c r="AB345" i="14"/>
  <c r="AA345" i="14"/>
  <c r="AC345" i="14" s="1"/>
  <c r="AD345" i="14" s="1"/>
  <c r="AB344" i="14"/>
  <c r="AA344" i="14"/>
  <c r="AC344" i="14" s="1"/>
  <c r="AD344" i="14" s="1"/>
  <c r="AB343" i="14"/>
  <c r="AA343" i="14"/>
  <c r="AC343" i="14" s="1"/>
  <c r="AD343" i="14" s="1"/>
  <c r="AB342" i="14"/>
  <c r="AA342" i="14"/>
  <c r="AC342" i="14" s="1"/>
  <c r="AD342" i="14" s="1"/>
  <c r="AB341" i="14"/>
  <c r="AA341" i="14"/>
  <c r="AC341" i="14" s="1"/>
  <c r="AD341" i="14" s="1"/>
  <c r="AB340" i="14"/>
  <c r="AA340" i="14"/>
  <c r="AC340" i="14" s="1"/>
  <c r="AD340" i="14" s="1"/>
  <c r="AB339" i="14"/>
  <c r="AA339" i="14"/>
  <c r="AC339" i="14" s="1"/>
  <c r="AD339" i="14" s="1"/>
  <c r="AB338" i="14"/>
  <c r="AA338" i="14"/>
  <c r="AC338" i="14" s="1"/>
  <c r="AD338" i="14" s="1"/>
  <c r="AB337" i="14"/>
  <c r="AA337" i="14"/>
  <c r="AC337" i="14" s="1"/>
  <c r="AD337" i="14" s="1"/>
  <c r="AB336" i="14"/>
  <c r="AA336" i="14"/>
  <c r="AC336" i="14" s="1"/>
  <c r="AD336" i="14" s="1"/>
  <c r="AB335" i="14"/>
  <c r="AA335" i="14"/>
  <c r="AC335" i="14" s="1"/>
  <c r="AD335" i="14" s="1"/>
  <c r="AB334" i="14"/>
  <c r="AA334" i="14"/>
  <c r="AC334" i="14" s="1"/>
  <c r="AD334" i="14" s="1"/>
  <c r="AB333" i="14"/>
  <c r="AA333" i="14"/>
  <c r="AC333" i="14" s="1"/>
  <c r="AD333" i="14" s="1"/>
  <c r="AB332" i="14"/>
  <c r="AA332" i="14"/>
  <c r="AC332" i="14" s="1"/>
  <c r="AD332" i="14" s="1"/>
  <c r="AB331" i="14"/>
  <c r="AA331" i="14"/>
  <c r="AC331" i="14" s="1"/>
  <c r="AD331" i="14" s="1"/>
  <c r="AB330" i="14"/>
  <c r="AA330" i="14"/>
  <c r="AC330" i="14" s="1"/>
  <c r="AD330" i="14" s="1"/>
  <c r="AB327" i="14"/>
  <c r="AA327" i="14"/>
  <c r="AC327" i="14" s="1"/>
  <c r="AD327" i="14" s="1"/>
  <c r="AA325" i="14"/>
  <c r="AC325" i="14" s="1"/>
  <c r="AD325" i="14" s="1"/>
  <c r="AB323" i="14"/>
  <c r="AA323" i="14"/>
  <c r="AC323" i="14" s="1"/>
  <c r="AD323" i="14" s="1"/>
  <c r="AB320" i="14"/>
  <c r="AA320" i="14"/>
  <c r="AC320" i="14" s="1"/>
  <c r="AD320" i="14" s="1"/>
  <c r="AB318" i="14"/>
  <c r="AA318" i="14"/>
  <c r="AC318" i="14" s="1"/>
  <c r="AD318" i="14" s="1"/>
  <c r="AB317" i="14"/>
  <c r="AA317" i="14"/>
  <c r="AC317" i="14" s="1"/>
  <c r="AD317" i="14" s="1"/>
  <c r="AB315" i="14"/>
  <c r="AA315" i="14"/>
  <c r="AC315" i="14" s="1"/>
  <c r="AD315" i="14" s="1"/>
  <c r="AB314" i="14"/>
  <c r="AB309" i="14"/>
  <c r="AB307" i="14"/>
  <c r="AA307" i="14"/>
  <c r="AC307" i="14" s="1"/>
  <c r="AD307" i="14" s="1"/>
  <c r="AB305" i="14"/>
  <c r="AA305" i="14"/>
  <c r="AC305" i="14" s="1"/>
  <c r="AD305" i="14" s="1"/>
  <c r="AB303" i="14"/>
  <c r="AA486" i="14"/>
  <c r="AC486" i="14" s="1"/>
  <c r="AD486" i="14" s="1"/>
  <c r="AA468" i="14"/>
  <c r="AC468" i="14" s="1"/>
  <c r="AD468" i="14" s="1"/>
  <c r="AA457" i="14"/>
  <c r="AC457" i="14" s="1"/>
  <c r="AD457" i="14" s="1"/>
  <c r="AB449" i="14"/>
  <c r="AB436" i="14"/>
  <c r="AB430" i="14"/>
  <c r="AB426" i="14"/>
  <c r="AA230" i="14"/>
  <c r="AC230" i="14" s="1"/>
  <c r="AD230" i="14" s="1"/>
  <c r="AA210" i="14"/>
  <c r="AC210" i="14" s="1"/>
  <c r="AD210" i="14" s="1"/>
  <c r="AA301" i="14"/>
  <c r="AC301" i="14" s="1"/>
  <c r="AD301" i="14" s="1"/>
  <c r="AA289" i="14"/>
  <c r="AC289" i="14" s="1"/>
  <c r="AD289" i="14" s="1"/>
  <c r="AA283" i="14"/>
  <c r="AC283" i="14" s="1"/>
  <c r="AD283" i="14" s="1"/>
  <c r="AB274" i="14"/>
  <c r="AB271" i="14"/>
  <c r="AB269" i="14"/>
  <c r="AA262" i="14"/>
  <c r="AC262" i="14" s="1"/>
  <c r="AD262" i="14" s="1"/>
  <c r="AA261" i="14"/>
  <c r="AC261" i="14" s="1"/>
  <c r="AD261" i="14" s="1"/>
  <c r="AA260" i="14"/>
  <c r="AC260" i="14" s="1"/>
  <c r="AD260" i="14" s="1"/>
  <c r="AB259" i="14"/>
  <c r="AA259" i="14"/>
  <c r="AC259" i="14" s="1"/>
  <c r="AD259" i="14" s="1"/>
  <c r="AB258" i="14"/>
  <c r="AA258" i="14"/>
  <c r="AC258" i="14" s="1"/>
  <c r="AD258" i="14" s="1"/>
  <c r="AB254" i="14"/>
  <c r="AB253" i="14"/>
  <c r="AA253" i="14"/>
  <c r="AC253" i="14" s="1"/>
  <c r="AD253" i="14" s="1"/>
  <c r="AB252" i="14"/>
  <c r="AA252" i="14"/>
  <c r="AC252" i="14" s="1"/>
  <c r="AD252" i="14" s="1"/>
  <c r="AB250" i="14"/>
  <c r="AA250" i="14"/>
  <c r="AC250" i="14" s="1"/>
  <c r="AD250" i="14" s="1"/>
  <c r="AB248" i="14"/>
  <c r="AA248" i="14"/>
  <c r="AC248" i="14" s="1"/>
  <c r="AD248" i="14" s="1"/>
  <c r="AB247" i="14"/>
  <c r="AA247" i="14"/>
  <c r="AC247" i="14" s="1"/>
  <c r="AD247" i="14" s="1"/>
  <c r="AB243" i="14"/>
  <c r="AA242" i="14"/>
  <c r="AC242" i="14" s="1"/>
  <c r="AD242" i="14" s="1"/>
  <c r="AA240" i="14"/>
  <c r="AC240" i="14" s="1"/>
  <c r="AD240" i="14" s="1"/>
  <c r="AA239" i="14"/>
  <c r="AC239" i="14" s="1"/>
  <c r="AD239" i="14" s="1"/>
  <c r="AB238" i="14"/>
  <c r="AA237" i="14"/>
  <c r="AC237" i="14" s="1"/>
  <c r="AD237" i="14" s="1"/>
  <c r="AA236" i="14"/>
  <c r="AC236" i="14" s="1"/>
  <c r="AD236" i="14" s="1"/>
  <c r="AB235" i="14"/>
  <c r="AA234" i="14"/>
  <c r="AC234" i="14" s="1"/>
  <c r="AD234" i="14" s="1"/>
  <c r="AB233" i="14"/>
  <c r="AB232" i="14"/>
  <c r="AA231" i="14"/>
  <c r="AC231" i="14" s="1"/>
  <c r="AD231" i="14" s="1"/>
  <c r="AA228" i="14"/>
  <c r="AC228" i="14" s="1"/>
  <c r="AD228" i="14" s="1"/>
  <c r="AA227" i="14"/>
  <c r="AC227" i="14" s="1"/>
  <c r="AD227" i="14" s="1"/>
  <c r="AA226" i="14"/>
  <c r="AC226" i="14" s="1"/>
  <c r="AD226" i="14" s="1"/>
  <c r="AA223" i="14"/>
  <c r="AC223" i="14" s="1"/>
  <c r="AD223" i="14" s="1"/>
  <c r="AB221" i="14"/>
  <c r="AA216" i="14"/>
  <c r="AC216" i="14" s="1"/>
  <c r="AD216" i="14" s="1"/>
  <c r="AA214" i="14"/>
  <c r="AC214" i="14" s="1"/>
  <c r="AD214" i="14" s="1"/>
  <c r="AB209" i="14"/>
  <c r="AA207" i="14"/>
  <c r="AC207" i="14" s="1"/>
  <c r="AD207" i="14" s="1"/>
  <c r="AB206" i="14"/>
  <c r="AA204" i="14"/>
  <c r="AC204" i="14" s="1"/>
  <c r="AD204" i="14" s="1"/>
  <c r="AA200" i="14"/>
  <c r="AC200" i="14" s="1"/>
  <c r="AD200" i="14" s="1"/>
  <c r="AA198" i="14"/>
  <c r="AC198" i="14" s="1"/>
  <c r="AD198" i="14" s="1"/>
  <c r="AB194" i="14"/>
  <c r="AB189" i="14"/>
  <c r="AB187" i="14"/>
  <c r="AB186" i="14"/>
  <c r="AB185" i="14"/>
  <c r="AB184" i="14"/>
  <c r="AB183" i="14"/>
  <c r="AA181" i="14"/>
  <c r="AC181" i="14" s="1"/>
  <c r="AD181" i="14" s="1"/>
  <c r="AB179" i="14"/>
  <c r="AA178" i="14"/>
  <c r="AC178" i="14" s="1"/>
  <c r="AD178" i="14" s="1"/>
  <c r="AB175" i="14"/>
  <c r="AB173" i="14"/>
  <c r="AB170" i="14"/>
  <c r="AB162" i="14"/>
  <c r="AB157" i="14"/>
  <c r="AA156" i="14"/>
  <c r="AC156" i="14" s="1"/>
  <c r="AD156" i="14" s="1"/>
  <c r="AA149" i="14"/>
  <c r="AC149" i="14" s="1"/>
  <c r="AD149" i="14" s="1"/>
  <c r="AA148" i="14"/>
  <c r="AC148" i="14" s="1"/>
  <c r="AD148" i="14" s="1"/>
  <c r="AA144" i="14"/>
  <c r="AC144" i="14" s="1"/>
  <c r="AD144" i="14" s="1"/>
  <c r="AB143" i="14"/>
  <c r="AB142" i="14"/>
  <c r="AB141" i="14"/>
  <c r="AB140" i="14"/>
  <c r="AB139" i="14"/>
  <c r="AA137" i="14"/>
  <c r="AC137" i="14" s="1"/>
  <c r="AD137" i="14" s="1"/>
  <c r="AB136" i="14"/>
  <c r="AB135" i="14"/>
  <c r="AB132" i="14"/>
  <c r="AA125" i="14"/>
  <c r="AC125" i="14" s="1"/>
  <c r="AD125" i="14" s="1"/>
  <c r="AB124" i="14"/>
  <c r="AA123" i="14"/>
  <c r="AC123" i="14" s="1"/>
  <c r="AD123" i="14" s="1"/>
  <c r="AB122" i="14"/>
  <c r="AA120" i="14"/>
  <c r="AC120" i="14" s="1"/>
  <c r="AD120" i="14" s="1"/>
  <c r="AA117" i="14"/>
  <c r="AC117" i="14" s="1"/>
  <c r="AD117" i="14" s="1"/>
  <c r="AA114" i="14"/>
  <c r="AC114" i="14" s="1"/>
  <c r="AD114" i="14" s="1"/>
  <c r="AB112" i="14"/>
  <c r="AB110" i="14"/>
  <c r="AB107" i="14"/>
  <c r="AA106" i="14"/>
  <c r="AC106" i="14" s="1"/>
  <c r="AD106" i="14" s="1"/>
  <c r="AA103" i="14"/>
  <c r="AC103" i="14" s="1"/>
  <c r="AD103" i="14" s="1"/>
  <c r="AB100" i="14"/>
  <c r="AA98" i="14"/>
  <c r="AC98" i="14" s="1"/>
  <c r="AD98" i="14" s="1"/>
  <c r="AB96" i="14"/>
  <c r="AB208" i="14"/>
  <c r="AA208" i="14"/>
  <c r="AC208" i="14" s="1"/>
  <c r="AD208" i="14" s="1"/>
  <c r="AB85" i="14"/>
  <c r="AA85" i="14"/>
  <c r="AC85" i="14" s="1"/>
  <c r="AD85" i="14" s="1"/>
  <c r="AB84" i="14"/>
  <c r="AA84" i="14"/>
  <c r="AC84" i="14" s="1"/>
  <c r="AD84" i="14" s="1"/>
  <c r="AB83" i="14"/>
  <c r="AA83" i="14"/>
  <c r="AC83" i="14" s="1"/>
  <c r="AD83" i="14" s="1"/>
  <c r="AB82" i="14"/>
  <c r="AA82" i="14"/>
  <c r="AC82" i="14" s="1"/>
  <c r="AD82" i="14" s="1"/>
  <c r="AB81" i="14"/>
  <c r="AA81" i="14"/>
  <c r="AC81" i="14" s="1"/>
  <c r="AD81" i="14" s="1"/>
  <c r="AB80" i="14"/>
  <c r="AA80" i="14"/>
  <c r="AC80" i="14" s="1"/>
  <c r="AD80" i="14" s="1"/>
  <c r="AB79" i="14"/>
  <c r="AA79" i="14"/>
  <c r="AC79" i="14" s="1"/>
  <c r="AD79" i="14" s="1"/>
  <c r="AB78" i="14"/>
  <c r="AA78" i="14"/>
  <c r="AC78" i="14" s="1"/>
  <c r="AD78" i="14" s="1"/>
  <c r="AB77" i="14"/>
  <c r="AA77" i="14"/>
  <c r="AC77" i="14" s="1"/>
  <c r="AD77" i="14" s="1"/>
  <c r="AB76" i="14"/>
  <c r="AA76" i="14"/>
  <c r="AC76" i="14" s="1"/>
  <c r="AD76" i="14" s="1"/>
  <c r="AB75" i="14"/>
  <c r="AA75" i="14"/>
  <c r="AC75" i="14" s="1"/>
  <c r="AD75" i="14" s="1"/>
  <c r="AB74" i="14"/>
  <c r="AA74" i="14"/>
  <c r="AC74" i="14" s="1"/>
  <c r="AD74" i="14" s="1"/>
  <c r="AB73" i="14"/>
  <c r="AA73" i="14"/>
  <c r="AC73" i="14" s="1"/>
  <c r="AD73" i="14" s="1"/>
  <c r="AB72" i="14"/>
  <c r="AA72" i="14"/>
  <c r="AC72" i="14" s="1"/>
  <c r="AD72" i="14" s="1"/>
  <c r="AB71" i="14"/>
  <c r="AA71" i="14"/>
  <c r="AC71" i="14" s="1"/>
  <c r="AD71" i="14" s="1"/>
  <c r="AB70" i="14"/>
  <c r="AA70" i="14"/>
  <c r="AC70" i="14" s="1"/>
  <c r="AD70" i="14" s="1"/>
  <c r="AB69" i="14"/>
  <c r="AA69" i="14"/>
  <c r="AC69" i="14" s="1"/>
  <c r="AD69" i="14" s="1"/>
  <c r="AB68" i="14"/>
  <c r="AA68" i="14"/>
  <c r="AC68" i="14" s="1"/>
  <c r="AD68" i="14" s="1"/>
  <c r="AB67" i="14"/>
  <c r="AA67" i="14"/>
  <c r="AC67" i="14" s="1"/>
  <c r="AD67" i="14" s="1"/>
  <c r="AB66" i="14"/>
  <c r="AA66" i="14"/>
  <c r="AC66" i="14" s="1"/>
  <c r="AD66" i="14" s="1"/>
  <c r="AB65" i="14"/>
  <c r="AA65" i="14"/>
  <c r="AC65" i="14" s="1"/>
  <c r="AD65" i="14" s="1"/>
  <c r="AB64" i="14"/>
  <c r="AA64" i="14"/>
  <c r="AC64" i="14" s="1"/>
  <c r="AD64" i="14" s="1"/>
  <c r="AB63" i="14"/>
  <c r="AA63" i="14"/>
  <c r="AC63" i="14" s="1"/>
  <c r="AD63" i="14" s="1"/>
  <c r="AB62" i="14"/>
  <c r="AA62" i="14"/>
  <c r="AC62" i="14" s="1"/>
  <c r="AD62" i="14" s="1"/>
  <c r="AB61" i="14"/>
  <c r="AA61" i="14"/>
  <c r="AC61" i="14" s="1"/>
  <c r="AD61" i="14" s="1"/>
  <c r="AB60" i="14"/>
  <c r="AA60" i="14"/>
  <c r="AC60" i="14" s="1"/>
  <c r="AD60" i="14" s="1"/>
  <c r="AB59" i="14"/>
  <c r="AA59" i="14"/>
  <c r="AC59" i="14" s="1"/>
  <c r="AD59" i="14" s="1"/>
  <c r="AB58" i="14"/>
  <c r="AA58" i="14"/>
  <c r="AC58" i="14" s="1"/>
  <c r="AD58" i="14" s="1"/>
  <c r="AB57" i="14"/>
  <c r="AA57" i="14"/>
  <c r="AC57" i="14" s="1"/>
  <c r="AD57" i="14" s="1"/>
  <c r="AB56" i="14"/>
  <c r="AA56" i="14"/>
  <c r="AC56" i="14" s="1"/>
  <c r="AD56" i="14" s="1"/>
  <c r="AB55" i="14"/>
  <c r="AA55" i="14"/>
  <c r="AC55" i="14" s="1"/>
  <c r="AD55" i="14" s="1"/>
  <c r="AB54" i="14"/>
  <c r="AA54" i="14"/>
  <c r="AC54" i="14" s="1"/>
  <c r="AD54" i="14" s="1"/>
  <c r="AB53" i="14"/>
  <c r="AA53" i="14"/>
  <c r="AC53" i="14" s="1"/>
  <c r="AD53" i="14" s="1"/>
  <c r="AB52" i="14"/>
  <c r="AA52" i="14"/>
  <c r="AC52" i="14" s="1"/>
  <c r="AD52" i="14" s="1"/>
  <c r="AB51" i="14"/>
  <c r="AA51" i="14"/>
  <c r="AC51" i="14" s="1"/>
  <c r="AD51" i="14" s="1"/>
  <c r="AB50" i="14"/>
  <c r="AA50" i="14"/>
  <c r="AC50" i="14" s="1"/>
  <c r="AD50" i="14" s="1"/>
  <c r="AB49" i="14"/>
  <c r="AA49" i="14"/>
  <c r="AC49" i="14" s="1"/>
  <c r="AD49" i="14" s="1"/>
  <c r="AB48" i="14"/>
  <c r="AA48" i="14"/>
  <c r="AC48" i="14" s="1"/>
  <c r="AD48" i="14" s="1"/>
  <c r="AB47" i="14"/>
  <c r="AA47" i="14"/>
  <c r="AC47" i="14" s="1"/>
  <c r="AD47" i="14" s="1"/>
  <c r="AB46" i="14"/>
  <c r="AA46" i="14"/>
  <c r="AC46" i="14" s="1"/>
  <c r="AD46" i="14" s="1"/>
  <c r="AB45" i="14"/>
  <c r="AA45" i="14"/>
  <c r="AC45" i="14" s="1"/>
  <c r="AD45" i="14" s="1"/>
  <c r="AB44" i="14"/>
  <c r="AA44" i="14"/>
  <c r="AC44" i="14" s="1"/>
  <c r="AD44" i="14" s="1"/>
  <c r="AB43" i="14"/>
  <c r="AA43" i="14"/>
  <c r="AC43" i="14" s="1"/>
  <c r="AD43" i="14" s="1"/>
  <c r="AB42" i="14"/>
  <c r="AA42" i="14"/>
  <c r="AC42" i="14" s="1"/>
  <c r="AD42" i="14" s="1"/>
  <c r="AB41" i="14"/>
  <c r="AA41" i="14"/>
  <c r="AC41" i="14" s="1"/>
  <c r="AD41" i="14" s="1"/>
  <c r="AB40" i="14"/>
  <c r="AA40" i="14"/>
  <c r="AC40" i="14" s="1"/>
  <c r="AD40" i="14" s="1"/>
  <c r="AB39" i="14"/>
  <c r="AA39" i="14"/>
  <c r="AC39" i="14" s="1"/>
  <c r="AD39" i="14" s="1"/>
  <c r="AB38" i="14"/>
  <c r="AA38" i="14"/>
  <c r="AC38" i="14" s="1"/>
  <c r="AD38" i="14" s="1"/>
  <c r="AB37" i="14"/>
  <c r="AA37" i="14"/>
  <c r="AC37" i="14" s="1"/>
  <c r="AD37" i="14" s="1"/>
  <c r="AB36" i="14"/>
  <c r="AA36" i="14"/>
  <c r="AC36" i="14" s="1"/>
  <c r="AD36" i="14" s="1"/>
  <c r="AB35" i="14"/>
  <c r="AA35" i="14"/>
  <c r="AC35" i="14" s="1"/>
  <c r="AD35" i="14" s="1"/>
  <c r="AB34" i="14"/>
  <c r="AA34" i="14"/>
  <c r="AC34" i="14" s="1"/>
  <c r="AD34" i="14" s="1"/>
  <c r="AB33" i="14"/>
  <c r="AA33" i="14"/>
  <c r="AC33" i="14" s="1"/>
  <c r="AD33" i="14" s="1"/>
  <c r="AB32" i="14"/>
  <c r="AA32" i="14"/>
  <c r="AC32" i="14" s="1"/>
  <c r="AD32" i="14" s="1"/>
  <c r="AB31" i="14"/>
  <c r="AA31" i="14"/>
  <c r="AC31" i="14" s="1"/>
  <c r="AD31" i="14" s="1"/>
  <c r="R10" i="8"/>
  <c r="R11" i="8"/>
  <c r="C33" i="8"/>
  <c r="C34" i="8"/>
  <c r="C35" i="8" s="1"/>
  <c r="C37" i="8" s="1"/>
  <c r="C36" i="8"/>
  <c r="Q19" i="8"/>
  <c r="Q25" i="12"/>
  <c r="Q26" i="12" s="1"/>
  <c r="Q19" i="12"/>
  <c r="Q21" i="12" s="1"/>
  <c r="Q22" i="12"/>
  <c r="Q24" i="12" s="1"/>
  <c r="P53" i="6"/>
  <c r="P54" i="6"/>
  <c r="P55" i="6" s="1"/>
  <c r="P34" i="6" s="1"/>
  <c r="O37" i="6"/>
  <c r="O40" i="6" s="1"/>
  <c r="O42" i="6" s="1"/>
  <c r="O36" i="6"/>
  <c r="O76" i="6" s="1"/>
  <c r="O78" i="6" s="1"/>
  <c r="O79" i="6" s="1"/>
  <c r="O85" i="6" s="1"/>
  <c r="O86" i="6" s="1"/>
  <c r="N5" i="9"/>
  <c r="N6" i="9" s="1"/>
  <c r="N87" i="6"/>
  <c r="P22" i="8"/>
  <c r="C23" i="14" l="1"/>
  <c r="C18" i="16"/>
  <c r="R17" i="8"/>
  <c r="R15" i="12"/>
  <c r="R16" i="12"/>
  <c r="R18" i="12" s="1"/>
  <c r="C32" i="12" s="1"/>
  <c r="C38" i="8"/>
  <c r="C29" i="10" s="1"/>
  <c r="C39" i="8"/>
  <c r="C41" i="8" s="1"/>
  <c r="C31" i="12"/>
  <c r="C24" i="16"/>
  <c r="F24" i="16" s="1"/>
  <c r="L16" i="2"/>
  <c r="Q22" i="8"/>
  <c r="P57" i="6"/>
  <c r="P58" i="6" s="1"/>
  <c r="Q51" i="6"/>
  <c r="P60" i="6"/>
  <c r="P35" i="6"/>
  <c r="P59" i="6"/>
  <c r="P75" i="6"/>
  <c r="N9" i="9"/>
  <c r="AC476" i="14"/>
  <c r="AD476" i="14" s="1"/>
  <c r="AC456" i="14"/>
  <c r="AD456" i="14" s="1"/>
  <c r="AC435" i="14"/>
  <c r="AD435" i="14" s="1"/>
  <c r="AC303" i="14"/>
  <c r="AD303" i="14" s="1"/>
  <c r="AC293" i="14"/>
  <c r="AD293" i="14" s="1"/>
  <c r="AC271" i="14"/>
  <c r="AD271" i="14" s="1"/>
  <c r="AC478" i="14"/>
  <c r="AD478" i="14" s="1"/>
  <c r="AC451" i="14"/>
  <c r="AD451" i="14" s="1"/>
  <c r="AC436" i="14"/>
  <c r="AD436" i="14" s="1"/>
  <c r="AC219" i="14"/>
  <c r="AD219" i="14" s="1"/>
  <c r="AC272" i="14"/>
  <c r="AD272" i="14" s="1"/>
  <c r="AC269" i="14"/>
  <c r="AD269" i="14" s="1"/>
  <c r="AC458" i="14"/>
  <c r="AD458" i="14" s="1"/>
  <c r="AC218" i="14"/>
  <c r="AD218" i="14" s="1"/>
  <c r="AC295" i="14"/>
  <c r="AD295" i="14" s="1"/>
  <c r="AC274" i="14"/>
  <c r="AD274" i="14" s="1"/>
  <c r="AC142" i="14"/>
  <c r="AD142" i="14" s="1"/>
  <c r="AC124" i="14"/>
  <c r="AD124" i="14" s="1"/>
  <c r="AC110" i="14"/>
  <c r="AD110" i="14" s="1"/>
  <c r="AC191" i="14"/>
  <c r="AD191" i="14" s="1"/>
  <c r="AC188" i="14"/>
  <c r="AD188" i="14" s="1"/>
  <c r="AC187" i="14"/>
  <c r="AD187" i="14" s="1"/>
  <c r="T8" i="13"/>
  <c r="U8" i="13" s="1"/>
  <c r="AC175" i="14"/>
  <c r="AD175" i="14" s="1"/>
  <c r="AC161" i="14"/>
  <c r="AD161" i="14" s="1"/>
  <c r="AC140" i="14"/>
  <c r="AD140" i="14" s="1"/>
  <c r="AC112" i="14"/>
  <c r="AD112" i="14" s="1"/>
  <c r="AC189" i="14"/>
  <c r="AD189" i="14" s="1"/>
  <c r="AC162" i="14"/>
  <c r="AD162" i="14" s="1"/>
  <c r="AC171" i="14"/>
  <c r="AD171" i="14" s="1"/>
  <c r="AC164" i="14"/>
  <c r="AD164" i="14" s="1"/>
  <c r="AC160" i="14"/>
  <c r="AD160" i="14" s="1"/>
  <c r="AC157" i="14"/>
  <c r="AD157" i="14" s="1"/>
  <c r="AC133" i="14"/>
  <c r="AD133" i="14" s="1"/>
  <c r="AC126" i="14"/>
  <c r="AD126" i="14" s="1"/>
  <c r="AC119" i="14"/>
  <c r="AD119" i="14" s="1"/>
  <c r="AC111" i="14"/>
  <c r="AD111" i="14" s="1"/>
  <c r="AC96" i="14"/>
  <c r="AD96" i="14" s="1"/>
  <c r="AC95" i="14"/>
  <c r="AD95" i="14" s="1"/>
  <c r="AC243" i="14"/>
  <c r="AD243" i="14" s="1"/>
  <c r="AC238" i="14"/>
  <c r="AD238" i="14" s="1"/>
  <c r="AC235" i="14"/>
  <c r="AD235" i="14" s="1"/>
  <c r="AC220" i="14"/>
  <c r="AD220" i="14" s="1"/>
  <c r="AC211" i="14"/>
  <c r="AD211" i="14" s="1"/>
  <c r="AC209" i="14"/>
  <c r="AD209" i="14" s="1"/>
  <c r="AC206" i="14"/>
  <c r="AD206" i="14" s="1"/>
  <c r="AC182" i="14"/>
  <c r="AD182" i="14" s="1"/>
  <c r="AC494" i="14"/>
  <c r="AD494" i="14" s="1"/>
  <c r="AC233" i="14"/>
  <c r="AD233" i="14" s="1"/>
  <c r="AC183" i="14"/>
  <c r="AD183" i="14" s="1"/>
  <c r="AC132" i="14"/>
  <c r="AD132" i="14" s="1"/>
  <c r="AC122" i="14"/>
  <c r="AD122" i="14" s="1"/>
  <c r="AC99" i="14"/>
  <c r="AD99" i="14" s="1"/>
  <c r="AC195" i="14"/>
  <c r="AD195" i="14" s="1"/>
  <c r="AC165" i="14"/>
  <c r="AD165" i="14" s="1"/>
  <c r="AC141" i="14"/>
  <c r="AD141" i="14" s="1"/>
  <c r="AC113" i="14"/>
  <c r="AD113" i="14" s="1"/>
  <c r="AC108" i="14"/>
  <c r="AD108" i="14" s="1"/>
  <c r="AC91" i="14"/>
  <c r="AD91" i="14" s="1"/>
  <c r="AC89" i="14"/>
  <c r="AD89" i="14" s="1"/>
  <c r="AC146" i="14"/>
  <c r="AD146" i="14" s="1"/>
  <c r="AC139" i="14"/>
  <c r="AD139" i="14" s="1"/>
  <c r="AC136" i="14"/>
  <c r="AD136" i="14" s="1"/>
  <c r="AC130" i="14"/>
  <c r="AD130" i="14" s="1"/>
  <c r="AC470" i="14"/>
  <c r="AD470" i="14" s="1"/>
  <c r="AC455" i="14"/>
  <c r="AD455" i="14" s="1"/>
  <c r="AC452" i="14"/>
  <c r="AD452" i="14" s="1"/>
  <c r="AC444" i="14"/>
  <c r="AD444" i="14" s="1"/>
  <c r="AC426" i="14"/>
  <c r="AD426" i="14" s="1"/>
  <c r="AC425" i="14"/>
  <c r="AD425" i="14" s="1"/>
  <c r="AC416" i="14"/>
  <c r="AD416" i="14" s="1"/>
  <c r="AC414" i="14"/>
  <c r="AD414" i="14" s="1"/>
  <c r="AC135" i="14"/>
  <c r="AD135" i="14" s="1"/>
  <c r="AC391" i="14"/>
  <c r="AD391" i="14" s="1"/>
  <c r="AC314" i="14"/>
  <c r="AD314" i="14" s="1"/>
  <c r="AC277" i="14"/>
  <c r="AD277" i="14" s="1"/>
  <c r="AC446" i="14"/>
  <c r="AD446" i="14" s="1"/>
  <c r="AC411" i="14"/>
  <c r="AD411" i="14" s="1"/>
  <c r="AC406" i="14"/>
  <c r="AD406" i="14" s="1"/>
  <c r="AC404" i="14"/>
  <c r="AD404" i="14" s="1"/>
  <c r="AC400" i="14"/>
  <c r="AD400" i="14" s="1"/>
  <c r="AC396" i="14"/>
  <c r="AD396" i="14" s="1"/>
  <c r="AC392" i="14"/>
  <c r="AD392" i="14" s="1"/>
  <c r="AC256" i="14"/>
  <c r="AD256" i="14" s="1"/>
  <c r="AC255" i="14"/>
  <c r="AD255" i="14" s="1"/>
  <c r="AC217" i="14"/>
  <c r="AD217" i="14" s="1"/>
  <c r="AC213" i="14"/>
  <c r="AD213" i="14" s="1"/>
  <c r="AC205" i="14"/>
  <c r="AD205" i="14" s="1"/>
  <c r="AC202" i="14"/>
  <c r="AD202" i="14" s="1"/>
  <c r="AC185" i="14"/>
  <c r="AD185" i="14" s="1"/>
  <c r="AC179" i="14"/>
  <c r="AD179" i="14" s="1"/>
  <c r="AC173" i="14"/>
  <c r="AD173" i="14" s="1"/>
  <c r="AC170" i="14"/>
  <c r="AD170" i="14" s="1"/>
  <c r="AC155" i="14"/>
  <c r="AD155" i="14" s="1"/>
  <c r="AC143" i="14"/>
  <c r="AD143" i="14" s="1"/>
  <c r="AC109" i="14"/>
  <c r="AD109" i="14" s="1"/>
  <c r="AC107" i="14"/>
  <c r="AD107" i="14" s="1"/>
  <c r="AC434" i="14"/>
  <c r="AD434" i="14" s="1"/>
  <c r="AC100" i="14"/>
  <c r="AD100" i="14" s="1"/>
  <c r="AC453" i="14"/>
  <c r="AD453" i="14" s="1"/>
  <c r="AC408" i="14"/>
  <c r="AD408" i="14" s="1"/>
  <c r="AC402" i="14"/>
  <c r="AD402" i="14" s="1"/>
  <c r="AC398" i="14"/>
  <c r="AD398" i="14" s="1"/>
  <c r="AC394" i="14"/>
  <c r="AD394" i="14" s="1"/>
  <c r="AC388" i="14"/>
  <c r="AD388" i="14" s="1"/>
  <c r="AC386" i="14"/>
  <c r="AD386" i="14" s="1"/>
  <c r="AC384" i="14"/>
  <c r="AD384" i="14" s="1"/>
  <c r="AC382" i="14"/>
  <c r="AD382" i="14" s="1"/>
  <c r="AC379" i="14"/>
  <c r="AD379" i="14" s="1"/>
  <c r="AC377" i="14"/>
  <c r="AD377" i="14" s="1"/>
  <c r="AC376" i="14"/>
  <c r="AD376" i="14" s="1"/>
  <c r="AC373" i="14"/>
  <c r="AD373" i="14" s="1"/>
  <c r="AC329" i="14"/>
  <c r="AD329" i="14" s="1"/>
  <c r="AC324" i="14"/>
  <c r="AD324" i="14" s="1"/>
  <c r="AC321" i="14"/>
  <c r="AD321" i="14" s="1"/>
  <c r="AC319" i="14"/>
  <c r="AD319" i="14" s="1"/>
  <c r="AC316" i="14"/>
  <c r="AD316" i="14" s="1"/>
  <c r="AC313" i="14"/>
  <c r="AD313" i="14" s="1"/>
  <c r="AC309" i="14"/>
  <c r="AD309" i="14" s="1"/>
  <c r="AC306" i="14"/>
  <c r="AD306" i="14" s="1"/>
  <c r="AC300" i="14"/>
  <c r="AD300" i="14" s="1"/>
  <c r="AC297" i="14"/>
  <c r="AD297" i="14" s="1"/>
  <c r="AC296" i="14"/>
  <c r="AD296" i="14" s="1"/>
  <c r="AC292" i="14"/>
  <c r="AD292" i="14" s="1"/>
  <c r="AC291" i="14"/>
  <c r="AD291" i="14" s="1"/>
  <c r="AC290" i="14"/>
  <c r="AD290" i="14" s="1"/>
  <c r="AC285" i="14"/>
  <c r="AD285" i="14" s="1"/>
  <c r="AC282" i="14"/>
  <c r="AD282" i="14" s="1"/>
  <c r="AC280" i="14"/>
  <c r="AD280" i="14" s="1"/>
  <c r="AC279" i="14"/>
  <c r="AD279" i="14" s="1"/>
  <c r="AC278" i="14"/>
  <c r="AD278" i="14" s="1"/>
  <c r="AC276" i="14"/>
  <c r="AD276" i="14" s="1"/>
  <c r="AC270" i="14"/>
  <c r="AD270" i="14" s="1"/>
  <c r="AC267" i="14"/>
  <c r="AD267" i="14" s="1"/>
  <c r="AC265" i="14"/>
  <c r="AD265" i="14" s="1"/>
  <c r="AC263" i="14"/>
  <c r="AD263" i="14" s="1"/>
  <c r="AC254" i="14"/>
  <c r="AD254" i="14" s="1"/>
  <c r="AC249" i="14"/>
  <c r="AD249" i="14" s="1"/>
  <c r="AC245" i="14"/>
  <c r="AD245" i="14" s="1"/>
  <c r="AC225" i="14"/>
  <c r="AD225" i="14" s="1"/>
  <c r="AC221" i="14"/>
  <c r="AD221" i="14" s="1"/>
  <c r="AC212" i="14"/>
  <c r="AD212" i="14" s="1"/>
  <c r="AC203" i="14"/>
  <c r="AD203" i="14" s="1"/>
  <c r="AC201" i="14"/>
  <c r="AD201" i="14" s="1"/>
  <c r="AC194" i="14"/>
  <c r="AD194" i="14" s="1"/>
  <c r="AC186" i="14"/>
  <c r="AD186" i="14" s="1"/>
  <c r="AC184" i="14"/>
  <c r="AD184" i="14" s="1"/>
  <c r="AC177" i="14"/>
  <c r="AD177" i="14" s="1"/>
  <c r="AC172" i="14"/>
  <c r="AD172" i="14" s="1"/>
  <c r="AC353" i="14"/>
  <c r="AD353" i="14" s="1"/>
  <c r="O87" i="6"/>
  <c r="O5" i="9"/>
  <c r="O6" i="9" s="1"/>
  <c r="O9" i="9" s="1"/>
  <c r="R19" i="8" l="1"/>
  <c r="R25" i="12"/>
  <c r="R26" i="12" s="1"/>
  <c r="C35" i="12" s="1"/>
  <c r="D14" i="16" s="1"/>
  <c r="I30" i="2"/>
  <c r="R19" i="12"/>
  <c r="R22" i="12"/>
  <c r="R24" i="12" s="1"/>
  <c r="C30" i="12" s="1"/>
  <c r="C34" i="12" s="1"/>
  <c r="C33" i="12"/>
  <c r="Q53" i="6"/>
  <c r="Q54" i="6"/>
  <c r="Q55" i="6" s="1"/>
  <c r="Q34" i="6" s="1"/>
  <c r="P36" i="6"/>
  <c r="C39" i="2"/>
  <c r="U21" i="13"/>
  <c r="E39" i="2"/>
  <c r="D39" i="2" s="1"/>
  <c r="C13" i="14"/>
  <c r="AG41" i="14"/>
  <c r="AG54" i="14"/>
  <c r="AG51" i="14"/>
  <c r="C17" i="14"/>
  <c r="AG45" i="14"/>
  <c r="AG35" i="14"/>
  <c r="AG39" i="14"/>
  <c r="C18" i="14"/>
  <c r="AG34" i="14"/>
  <c r="C20" i="14"/>
  <c r="AG47" i="14"/>
  <c r="AG33" i="14"/>
  <c r="C14" i="14"/>
  <c r="AG48" i="14"/>
  <c r="AG42" i="14"/>
  <c r="AG49" i="14"/>
  <c r="AG53" i="14"/>
  <c r="C21" i="14"/>
  <c r="C24" i="14"/>
  <c r="AG44" i="14"/>
  <c r="C16" i="14"/>
  <c r="C15" i="14"/>
  <c r="AG40" i="14"/>
  <c r="AG36" i="14"/>
  <c r="C22" i="14"/>
  <c r="F17" i="2" s="1"/>
  <c r="AG31" i="14"/>
  <c r="C19" i="14"/>
  <c r="AG52" i="14"/>
  <c r="AG50" i="14"/>
  <c r="AG37" i="14"/>
  <c r="AG46" i="14"/>
  <c r="AG32" i="14"/>
  <c r="AG38" i="14"/>
  <c r="AG43" i="14"/>
  <c r="C96" i="8" l="1"/>
  <c r="C98" i="8"/>
  <c r="E85" i="8"/>
  <c r="E86" i="8"/>
  <c r="F80" i="8"/>
  <c r="E87" i="8"/>
  <c r="F86" i="8"/>
  <c r="G79" i="8"/>
  <c r="F87" i="8"/>
  <c r="G88" i="8"/>
  <c r="C76" i="8"/>
  <c r="C103" i="8"/>
  <c r="D80" i="8"/>
  <c r="C99" i="8"/>
  <c r="E88" i="8"/>
  <c r="F78" i="8"/>
  <c r="F88" i="8"/>
  <c r="C84" i="8"/>
  <c r="C101" i="8"/>
  <c r="C85" i="8"/>
  <c r="D84" i="8"/>
  <c r="D88" i="8"/>
  <c r="C78" i="8"/>
  <c r="F85" i="8"/>
  <c r="E77" i="8"/>
  <c r="G76" i="8"/>
  <c r="D87" i="8"/>
  <c r="D79" i="8"/>
  <c r="D85" i="8"/>
  <c r="C100" i="8"/>
  <c r="D78" i="8"/>
  <c r="C102" i="8"/>
  <c r="C104" i="8"/>
  <c r="C87" i="8"/>
  <c r="E76" i="8"/>
  <c r="C86" i="8"/>
  <c r="G84" i="8"/>
  <c r="E78" i="8"/>
  <c r="C15" i="16" s="1"/>
  <c r="C95" i="8"/>
  <c r="G77" i="8"/>
  <c r="C80" i="8"/>
  <c r="C79" i="8"/>
  <c r="C77" i="8"/>
  <c r="G78" i="8"/>
  <c r="C92" i="8"/>
  <c r="F79" i="8"/>
  <c r="E79" i="8"/>
  <c r="D77" i="8"/>
  <c r="E84" i="8"/>
  <c r="C94" i="8"/>
  <c r="G87" i="8"/>
  <c r="F77" i="8"/>
  <c r="G80" i="8"/>
  <c r="F76" i="8"/>
  <c r="F84" i="8"/>
  <c r="E80" i="8"/>
  <c r="C88" i="8"/>
  <c r="G86" i="8"/>
  <c r="D86" i="8"/>
  <c r="C97" i="8"/>
  <c r="G85" i="8"/>
  <c r="D76" i="8"/>
  <c r="C93" i="8"/>
  <c r="R22" i="8"/>
  <c r="C42" i="8" s="1"/>
  <c r="C43" i="8" s="1"/>
  <c r="C38" i="12"/>
  <c r="R21" i="12"/>
  <c r="C39" i="12" s="1"/>
  <c r="I31" i="2"/>
  <c r="C36" i="12"/>
  <c r="C37" i="12"/>
  <c r="C14" i="16"/>
  <c r="F14" i="16" s="1"/>
  <c r="Q57" i="6"/>
  <c r="Q58" i="6" s="1"/>
  <c r="R51" i="6"/>
  <c r="Q35" i="6"/>
  <c r="Q60" i="6"/>
  <c r="Q59" i="6"/>
  <c r="Q75" i="6"/>
  <c r="F39" i="2"/>
  <c r="E16" i="2"/>
  <c r="U23" i="13"/>
  <c r="U24" i="13"/>
  <c r="E17" i="2"/>
  <c r="F40" i="2"/>
  <c r="C40" i="2"/>
  <c r="E40" i="2"/>
  <c r="D40" i="2" s="1"/>
  <c r="P76" i="6"/>
  <c r="P78" i="6" s="1"/>
  <c r="P79" i="6" s="1"/>
  <c r="P85" i="6" s="1"/>
  <c r="P86" i="6" s="1"/>
  <c r="P37" i="6"/>
  <c r="P40" i="6" s="1"/>
  <c r="P42" i="6" s="1"/>
  <c r="E35" i="2" l="1"/>
  <c r="D35" i="2" s="1"/>
  <c r="C35" i="2"/>
  <c r="R53" i="6"/>
  <c r="R57" i="6" s="1"/>
  <c r="R58" i="6" s="1"/>
  <c r="R54" i="6"/>
  <c r="R55" i="6" s="1"/>
  <c r="R34" i="6" s="1"/>
  <c r="Q36" i="6"/>
  <c r="P87" i="6"/>
  <c r="P5" i="9"/>
  <c r="P6" i="9" s="1"/>
  <c r="C106" i="8"/>
  <c r="L13" i="2" s="1"/>
  <c r="C44" i="8"/>
  <c r="C45" i="12"/>
  <c r="D45" i="12" s="1"/>
  <c r="C67" i="8"/>
  <c r="C25" i="16"/>
  <c r="F25" i="16" s="1"/>
  <c r="C47" i="8"/>
  <c r="C49" i="8" s="1"/>
  <c r="C65" i="8"/>
  <c r="C28" i="10" s="1"/>
  <c r="C66" i="8"/>
  <c r="L15" i="2" s="1"/>
  <c r="C69" i="8"/>
  <c r="C70" i="8" s="1"/>
  <c r="D27" i="16"/>
  <c r="F27" i="16" s="1"/>
  <c r="L14" i="2"/>
  <c r="R60" i="6" l="1"/>
  <c r="R35" i="6"/>
  <c r="R59" i="6"/>
  <c r="I29" i="2" s="1"/>
  <c r="R75" i="6"/>
  <c r="P9" i="9"/>
  <c r="C51" i="8"/>
  <c r="C59" i="8" s="1"/>
  <c r="C61" i="8" s="1"/>
  <c r="Q76" i="6"/>
  <c r="Q78" i="6" s="1"/>
  <c r="Q79" i="6" s="1"/>
  <c r="Q85" i="6" s="1"/>
  <c r="Q86" i="6" s="1"/>
  <c r="Q37" i="6"/>
  <c r="Q40" i="6" s="1"/>
  <c r="Q42" i="6" s="1"/>
  <c r="R36" i="6" l="1"/>
  <c r="C26" i="14"/>
  <c r="C62" i="8"/>
  <c r="D15" i="16"/>
  <c r="F15" i="16" s="1"/>
  <c r="D17" i="16"/>
  <c r="F17" i="16" s="1"/>
  <c r="D18" i="16"/>
  <c r="F18" i="16" s="1"/>
  <c r="C6" i="2"/>
  <c r="F35" i="2"/>
  <c r="Q87" i="6"/>
  <c r="Q5" i="9"/>
  <c r="Q6" i="9" s="1"/>
  <c r="E6" i="2" l="1"/>
  <c r="F6" i="2"/>
  <c r="Q9" i="9"/>
  <c r="R76" i="6"/>
  <c r="R78" i="6" s="1"/>
  <c r="R79" i="6" s="1"/>
  <c r="R85" i="6" s="1"/>
  <c r="R86" i="6" s="1"/>
  <c r="R37" i="6"/>
  <c r="R40" i="6" s="1"/>
  <c r="R87" i="6" l="1"/>
  <c r="R5" i="9"/>
  <c r="I28" i="2"/>
  <c r="I27" i="2"/>
  <c r="R42" i="6"/>
  <c r="C15" i="9" l="1"/>
  <c r="C16" i="9" s="1"/>
  <c r="R6" i="9"/>
  <c r="C18" i="9" l="1"/>
  <c r="C20" i="9"/>
  <c r="C28" i="9"/>
  <c r="F30" i="9"/>
  <c r="G27" i="9"/>
  <c r="G31" i="9"/>
  <c r="D28" i="9"/>
  <c r="E27" i="9"/>
  <c r="G30" i="9"/>
  <c r="D27" i="9"/>
  <c r="C27" i="9"/>
  <c r="E30" i="9"/>
  <c r="E31" i="9"/>
  <c r="C31" i="9"/>
  <c r="E28" i="9"/>
  <c r="F31" i="9"/>
  <c r="C30" i="9"/>
  <c r="F28" i="9"/>
  <c r="G29" i="9"/>
  <c r="D31" i="9"/>
  <c r="G28" i="9"/>
  <c r="D29" i="9"/>
  <c r="F29" i="9"/>
  <c r="F27" i="9"/>
  <c r="E29" i="9"/>
  <c r="C16" i="16" s="1"/>
  <c r="D30" i="9"/>
  <c r="C29" i="9"/>
  <c r="R9" i="9"/>
  <c r="C17" i="9" s="1"/>
  <c r="C22" i="9" l="1"/>
  <c r="D16" i="16"/>
  <c r="F16" i="16" s="1"/>
  <c r="F29" i="16" s="1"/>
  <c r="E19" i="2" s="1"/>
  <c r="C7" i="2"/>
  <c r="F36" i="2"/>
  <c r="C19" i="9"/>
  <c r="E36" i="2"/>
  <c r="C36" i="2"/>
  <c r="E7" i="2" l="1"/>
  <c r="E10" i="2" s="1"/>
  <c r="E12" i="2" s="1"/>
  <c r="E14" i="2" s="1"/>
  <c r="E15" i="2" s="1"/>
  <c r="F7" i="2"/>
  <c r="D36" i="2"/>
</calcChain>
</file>

<file path=xl/sharedStrings.xml><?xml version="1.0" encoding="utf-8"?>
<sst xmlns="http://schemas.openxmlformats.org/spreadsheetml/2006/main" count="1341" uniqueCount="1016">
  <si>
    <t>Brookfield India Real Estate Trust (BIRET)</t>
  </si>
  <si>
    <t>Business Analysis &amp; Valuation – Complete DCF Model</t>
  </si>
  <si>
    <t>Equity research valuation · Built on the asset-wise revenue engine of the user's model · Valuation date 10 October 2026 · Rs crore unless stated</t>
  </si>
  <si>
    <t>Sheet index (click to navigate)</t>
  </si>
  <si>
    <t>Sheet</t>
  </si>
  <si>
    <t>Purpose</t>
  </si>
  <si>
    <t>Summary</t>
  </si>
  <si>
    <t>Target price, football field, key financials, checks status</t>
  </si>
  <si>
    <t>Inputs</t>
  </si>
  <si>
    <t>Market data, pro-forma net-debt bridge, global assumptions with sources</t>
  </si>
  <si>
    <t>Hist_Quality</t>
  </si>
  <si>
    <t>Historical analysis, cash-flow quality, Du Pont, normalisations</t>
  </si>
  <si>
    <t>Rev_Build</t>
  </si>
  <si>
    <t>Asset-wise leasing engine rebuilt live from the user's Revenue Estimation</t>
  </si>
  <si>
    <t>Fin_Proj</t>
  </si>
  <si>
    <t>Income statement, debt schedule, capex, NDCF and DPU, FY27E–FY36E</t>
  </si>
  <si>
    <t>WACC</t>
  </si>
  <si>
    <t>CAPM (INR Rf, CRP, bottom-up beta), cost of debt, synthetic rating, WACC</t>
  </si>
  <si>
    <t>DCF_FCFF</t>
  </si>
  <si>
    <t>FCFF DCF, terminal value, EV-to-unit bridge, sensitivities, reverse DCF, value of growth</t>
  </si>
  <si>
    <t>DDM_NDCF</t>
  </si>
  <si>
    <t>Dividend discount / NDCF model at cost of equity</t>
  </si>
  <si>
    <t>Relative</t>
  </si>
  <si>
    <t>Peer REIT P/NAV, EV/NOI, distribution yield</t>
  </si>
  <si>
    <t>NAV_Asset</t>
  </si>
  <si>
    <t>Asset-by-asset NAV: going concern, cap-rate range, stress/liquidation, replacement cost</t>
  </si>
  <si>
    <t>EVA</t>
  </si>
  <si>
    <t>EVA, ROIC vs WACC, EVA↔DCF reconciliation, value-enhancement levers, capital structure</t>
  </si>
  <si>
    <t>Scenario_DT</t>
  </si>
  <si>
    <t>Bear/base/bull valuation, rate-hedge and acquisition decision trees</t>
  </si>
  <si>
    <t>Monte_Carlo</t>
  </si>
  <si>
    <t>500-trial simulation of value per unit with correlated shocks</t>
  </si>
  <si>
    <t>Real_Options</t>
  </si>
  <si>
    <t>Black-Scholes development option and acquisition-pipeline option</t>
  </si>
  <si>
    <t>Checks</t>
  </si>
  <si>
    <t>Reconciliation to user's model and integrity tests</t>
  </si>
  <si>
    <t>Colour legend</t>
  </si>
  <si>
    <t>Green = assumption behind a forecast (the cells to change)</t>
  </si>
  <si>
    <t>Blue = forecast value calculated by the model (FY27E onward)</t>
  </si>
  <si>
    <t>Black = historical and market data, formulas, labels</t>
  </si>
  <si>
    <t>No fills or other colours are used; key outputs are bold and boxed</t>
  </si>
  <si>
    <t>Methodology notes and limitations</t>
  </si>
  <si>
    <t>1. Not applicable to this asset: private-company valuation and start-up valuation (Sessions 14–16) – BIRET is a listed, stabilised REIT. The JV-stake illiquidity discount applies the private-asset concept.</t>
  </si>
  <si>
    <t>2. Revenue FY27E–FY29E reproduces the user's engine exactly (see Checks); FY30E–FY36E fade at 5% growth. Interest defaults to a debt schedule – switch to the user's coverage-ratio method on Inputs.</t>
  </si>
  <si>
    <t>3. Market data (price, units, G-sec, peers) were gathered from public sources on 8–10 Oct 2026; Brookfield's own PDFs could not be opened, so some company figures come from secondary summaries – verify before external use.</t>
  </si>
  <si>
    <t>4. Net debt for Mindspace and KRT is derived from reported LTV; partner share of value, cap rates, development cost and the NDCF calibration are analyst assumptions flagged on the sheets.</t>
  </si>
  <si>
    <t>5. Valuation outputs are model estimates for coursework/research purposes, not investment advice.</t>
  </si>
  <si>
    <t>BROOKFIELD INDIA REAL ESTATE TRUST (NSE: BIRET) – VALUATION SUMMARY</t>
  </si>
  <si>
    <t>Equity research DCF built on the user's asset-wise revenue model · Valuation date 10-Oct-2026 · Rs per unit unless stated</t>
  </si>
  <si>
    <t>1. Valuation and recommendation</t>
  </si>
  <si>
    <t>2. Key assumptions &amp; market snapshot</t>
  </si>
  <si>
    <t>Method</t>
  </si>
  <si>
    <t>Value / unit (Rs)</t>
  </si>
  <si>
    <t>Weight</t>
  </si>
  <si>
    <t>Contribution</t>
  </si>
  <si>
    <t>vs CMP</t>
  </si>
  <si>
    <t>Current price (Rs)</t>
  </si>
  <si>
    <t>FCFF DCF (WACC, Gordon TV)</t>
  </si>
  <si>
    <t>Market cap (Rs cr)</t>
  </si>
  <si>
    <t>NDCF dividend discount model</t>
  </si>
  <si>
    <t>Units (crore)</t>
  </si>
  <si>
    <t>NAV – asset-based (cap-rate)</t>
  </si>
  <si>
    <t>Pro-forma net debt (Rs cr)</t>
  </si>
  <si>
    <t>Relative – peer REIT multiples</t>
  </si>
  <si>
    <t>Risk-free (INR, Damodaran)</t>
  </si>
  <si>
    <t>Blended intrinsic value</t>
  </si>
  <si>
    <t>Cost of equity</t>
  </si>
  <si>
    <t>+ Real-option value (after haircut)</t>
  </si>
  <si>
    <t>TARGET PRICE (Rs per unit)</t>
  </si>
  <si>
    <t>Terminal growth</t>
  </si>
  <si>
    <t>Current market price (Rs)</t>
  </si>
  <si>
    <t>Market-implied WACC (reverse DCF)</t>
  </si>
  <si>
    <t>Upside / (downside)</t>
  </si>
  <si>
    <t>DCF EV (Rs cr, 100% consolidated)</t>
  </si>
  <si>
    <t>Rating</t>
  </si>
  <si>
    <t>Implied EV / NOI FY28E</t>
  </si>
  <si>
    <t>Probability-weighted scenario value (Rs)</t>
  </si>
  <si>
    <t>Implied exit cap rate</t>
  </si>
  <si>
    <t>Monte Carlo mean / P(value &gt; price)</t>
  </si>
  <si>
    <t>Distribution yield (annualised Q1)</t>
  </si>
  <si>
    <t>Reported NAV per unit (Mar-26) / pro-forma post-QIP</t>
  </si>
  <si>
    <t>P / NAV (pro-forma)</t>
  </si>
  <si>
    <t>Model integrity</t>
  </si>
  <si>
    <t>Partners' share of value</t>
  </si>
  <si>
    <t>3. Key financials (Rs crore)</t>
  </si>
  <si>
    <t>FY25A</t>
  </si>
  <si>
    <t>FY26A</t>
  </si>
  <si>
    <t>FY27E</t>
  </si>
  <si>
    <t>FY28E</t>
  </si>
  <si>
    <t>FY29E</t>
  </si>
  <si>
    <t>FY31E</t>
  </si>
  <si>
    <t>FY36E</t>
  </si>
  <si>
    <t>Revenue</t>
  </si>
  <si>
    <t>EBITDA</t>
  </si>
  <si>
    <t>EBITDA margin</t>
  </si>
  <si>
    <t>Net profit to unitholders</t>
  </si>
  <si>
    <t>Distribution per unit (Rs)</t>
  </si>
  <si>
    <t>Interest cover (EBITDA/interest)</t>
  </si>
  <si>
    <t>FCFF</t>
  </si>
  <si>
    <t>ROIC on book capital</t>
  </si>
  <si>
    <t>4. Football field – value per unit (Rs)</t>
  </si>
  <si>
    <t>Low</t>
  </si>
  <si>
    <t>Spread</t>
  </si>
  <si>
    <t>High</t>
  </si>
  <si>
    <t>Point</t>
  </si>
  <si>
    <t>DCF (WACC ±0.5pp, g ±0.5pp)</t>
  </si>
  <si>
    <t>DDM (CoE ±0.5pp, g ±0.5pp)</t>
  </si>
  <si>
    <t>NAV (cap rate ±25bp)</t>
  </si>
  <si>
    <t>Relative (peer min–max)</t>
  </si>
  <si>
    <t>Scenarios (bear – bull)</t>
  </si>
  <si>
    <t>Monte Carlo (P10 – P90)</t>
  </si>
  <si>
    <t>52-week trading range</t>
  </si>
  <si>
    <t>Notes: (1) FCFF DCF is on 100% consolidated cash flows, bridged to unitholders after net debt, partners' share and the NCP JV. (2) Real options are shown separately and haircut. (3) All inputs, sources and assumptions are on the Inputs and method sheets (green cells).</t>
  </si>
  <si>
    <t>INPUTS – market data, balance-sheet bridge and global assumptions</t>
  </si>
  <si>
    <t>Green = assumption behind a forecast · Blue = forecast value calculated by the model · Black = everything else · Rs crore unless stated</t>
  </si>
  <si>
    <t>A. Market data &amp; valuation date</t>
  </si>
  <si>
    <t>Item</t>
  </si>
  <si>
    <t>Value</t>
  </si>
  <si>
    <t>Unit</t>
  </si>
  <si>
    <t>Source / note</t>
  </si>
  <si>
    <t>Valuation date</t>
  </si>
  <si>
    <t>date</t>
  </si>
  <si>
    <t>Date of this analysis</t>
  </si>
  <si>
    <t>FY27 year-end</t>
  </si>
  <si>
    <t>Indian fiscal year ends 31 March</t>
  </si>
  <si>
    <t>Fraction of FY27 remaining after valuation date</t>
  </si>
  <si>
    <t>years</t>
  </si>
  <si>
    <t>Used for stub-period cash flow and mid-period discounting</t>
  </si>
  <si>
    <t>Current market price (Rs/unit)</t>
  </si>
  <si>
    <t>Rs</t>
  </si>
  <si>
    <t>NSE close 8-Oct-2026 (Kotak Neo / Tickertape quotes: Rs 328.8–330.3)</t>
  </si>
  <si>
    <t>Units outstanding</t>
  </si>
  <si>
    <t>crore</t>
  </si>
  <si>
    <t>829,880,869 units post April-2026 QIP (Q1 FY27 distribution Rs 464.73 cr / DPU Rs 5.60 cross-checks)</t>
  </si>
  <si>
    <t>Market capitalisation</t>
  </si>
  <si>
    <t>Rs cr</t>
  </si>
  <si>
    <t>Reported NAV per unit (31-Mar-2026)</t>
  </si>
  <si>
    <t>Brookfield India REIT Annual Report FY26 (consolidated NAV at fair value)</t>
  </si>
  <si>
    <t>52-week high</t>
  </si>
  <si>
    <t>Kotak Neo, 8-Oct-2026</t>
  </si>
  <si>
    <t>52-week low</t>
  </si>
  <si>
    <t>Q1 FY27 DPU (declared Aug-2026)</t>
  </si>
  <si>
    <t>Q1 FY27 press release; record date 13-Aug-2026</t>
  </si>
  <si>
    <t>Annualised DPU (Q1 x 4)</t>
  </si>
  <si>
    <t>FY26 DPU</t>
  </si>
  <si>
    <t>FY26 results (incl. Rs 5.50 for Q4)</t>
  </si>
  <si>
    <t>April-2026 QIP issue price</t>
  </si>
  <si>
    <t>Institutional placement closed 21-Apr-2026</t>
  </si>
  <si>
    <t>B. Capital structure &amp; pro-forma net debt bridge (consolidated)</t>
  </si>
  <si>
    <t>Borrowings incl. accrued interest, 31-Mar-2026</t>
  </si>
  <si>
    <t>FY26 Annual Report (Rs 164,327.82 mn)</t>
  </si>
  <si>
    <t>Cash &amp; equivalents, 31-Mar-2026</t>
  </si>
  <si>
    <t>FY26 Annual Report (Rs 6,742.18 mn)</t>
  </si>
  <si>
    <t>Ecoworld Tranche-2 deferred consideration</t>
  </si>
  <si>
    <t>Q4 FY26 investor update (counted in LTV); settled from 360 ONE proceeds</t>
  </si>
  <si>
    <t>April-2026 QIP gross proceeds</t>
  </si>
  <si>
    <t>Rs 26 bn raised at Rs 323/unit (~8.05 cr units); used to repay debt</t>
  </si>
  <si>
    <t>QIP issue costs (% of proceeds)</t>
  </si>
  <si>
    <t>%</t>
  </si>
  <si>
    <t>ASSUMPTION – typical placement cost 1.5–2.5%</t>
  </si>
  <si>
    <t>QIP net proceeds applied to debt</t>
  </si>
  <si>
    <t>360 ONE primary investment in Ecoworld SPV</t>
  </si>
  <si>
    <t>22-Apr-2026: ~13% stake for Rs 1,125 cr; settles Tranche-2 liability</t>
  </si>
  <si>
    <t>BKC (GBKC) acquisition – enterprise value, 100%</t>
  </si>
  <si>
    <t>Announced 10-Aug-2026; closed 29-Sep-2026 as 50:50 JV with NCW/Nuvama</t>
  </si>
  <si>
    <t>REIT share of BKC JV</t>
  </si>
  <si>
    <t>Press release</t>
  </si>
  <si>
    <t>REIT funding of BKC stake (assumed debt-funded)</t>
  </si>
  <si>
    <t>ASSUMPTION – funded by debt/cash; value-neutral in the bridge (asset added back at cost)</t>
  </si>
  <si>
    <t>Pro-forma gross debt</t>
  </si>
  <si>
    <t>Mar-26 borrowings less QIP repayment plus BKC funding</t>
  </si>
  <si>
    <t>Pro-forma consolidated net debt</t>
  </si>
  <si>
    <t>Tranche-2 liability and 360 ONE cash offset; cross-check: mgmt pro-forma net debt Rs 15,363 cr incl. NCP share</t>
  </si>
  <si>
    <t>North Commercial Portfolio gross debt (100%)</t>
  </si>
  <si>
    <t>User model 'Operational Metrics'!Y55 (Rs 34 bn, Q4 FY26)</t>
  </si>
  <si>
    <t>REIT share of North Commercial Portfolio (NCP)</t>
  </si>
  <si>
    <t>Equity-accounted JV (Worldmark Delhi/Gurugram, Airtel Center, Pavilion Mall)</t>
  </si>
  <si>
    <t>Illiquidity / non-control discount on JV stakes (BAV: private-asset adjustment)</t>
  </si>
  <si>
    <t>ASSUMPTION – Damodaran range 10–30% for illiquid stakes; low end used (JV is joint-controlled)</t>
  </si>
  <si>
    <t>Memo: minority interest, book value FY25</t>
  </si>
  <si>
    <t>User model 'Balance Sheet'!F13</t>
  </si>
  <si>
    <t>C. Operating &amp; capex assumptions</t>
  </si>
  <si>
    <t>Statutory SPV tax rate (new regime, 22% + surcharge + cess)</t>
  </si>
  <si>
    <t>Income-tax rate; user model uses 24–26% effective on PBT</t>
  </si>
  <si>
    <t>Maintenance capex (Rs per sq ft per month, on operating area)</t>
  </si>
  <si>
    <t>Valuer assumption in Brookfield valuation report (Rs 2 psf/month)</t>
  </si>
  <si>
    <t>Maintenance capex inflation</t>
  </si>
  <si>
    <t>ASSUMPTION – ~RBI CPI</t>
  </si>
  <si>
    <t>Construction cost for committed area additions (Rs/sq ft)</t>
  </si>
  <si>
    <t>ASSUMPTION – campus expansions on owned land</t>
  </si>
  <si>
    <t>Net working capital (% of revenue)</t>
  </si>
  <si>
    <t>ASSUMPTION – FY25 balance sheet shows negative operating NWC (deposits/payables &gt; receivables)</t>
  </si>
  <si>
    <t>Share of growth capex funded by debt</t>
  </si>
  <si>
    <t>ASSUMPTION – LTV headroom ~10pp to 35% cap</t>
  </si>
  <si>
    <t>Depreciation per '000 sq ft per quarter (Rs cr)</t>
  </si>
  <si>
    <t>User model 'Revenue Estimation'!S55 (avg of Q1FY25–Q3FY26 ratio)</t>
  </si>
  <si>
    <t>NOI as multiple of rental revenue</t>
  </si>
  <si>
    <t>x</t>
  </si>
  <si>
    <t>FY26 NOI Rs 22.9 bn / operating lease rentals Rs 21.5 bn (FY26 annual report)</t>
  </si>
  <si>
    <t>NOI margin on total revenue (consolidated)</t>
  </si>
  <si>
    <t>Q1 FY27 NOI 756.6 / revenue 973.8 = 77.7%; FY26 77%</t>
  </si>
  <si>
    <t>Interest method (1 = debt schedule, 2 = user's coverage-ratio method FY27–29)</t>
  </si>
  <si>
    <t>switch</t>
  </si>
  <si>
    <t>Default 1 – see Fin_Proj note on the inconsistency in method 2</t>
  </si>
  <si>
    <t>D. Equity-level (NDCF / DPU) assumptions</t>
  </si>
  <si>
    <t>FY27E DPU anchor (Rs/unit)</t>
  </si>
  <si>
    <t>Q1 actual Rs 5.60 + ~Rs 5.67 average for Q2–Q4 (mgmt guides ~15% embedded growth over ~2 years)</t>
  </si>
  <si>
    <t>Partners' share of consolidated NDCF (GIC in G1/Powai, 360 ONE in Ecoworld)</t>
  </si>
  <si>
    <t>ASSUMPTION – below 20% value share because partner shareholder-loan structure shifts cash to partners as interest</t>
  </si>
  <si>
    <t>NDCF payout ratio</t>
  </si>
  <si>
    <t>Q1 FY27 distribution ≈ 100% of NDCF; SEBI minimum 90%</t>
  </si>
  <si>
    <t>BKC NDCF yield on REIT funding</t>
  </si>
  <si>
    <t>Management: ~7.1% DPU yield on acquisition</t>
  </si>
  <si>
    <t>Growth of BKC distributions</t>
  </si>
  <si>
    <t>ASSUMPTION</t>
  </si>
  <si>
    <t>E. Valuation blend &amp; output switches</t>
  </si>
  <si>
    <t>Weight – FCFF DCF</t>
  </si>
  <si>
    <t>Judgement: intrinsic, cash-flow based</t>
  </si>
  <si>
    <t>Weight – NDCF dividend discount model</t>
  </si>
  <si>
    <t>Equity-level cross-check</t>
  </si>
  <si>
    <t>Weight – NAV (asset-based)</t>
  </si>
  <si>
    <t>Standard REIT anchor</t>
  </si>
  <si>
    <t>Weight – relative valuation</t>
  </si>
  <si>
    <t>Peer REIT multiples</t>
  </si>
  <si>
    <t>Include real-option value in target price (1/0)</t>
  </si>
  <si>
    <t>Haircut applied to real-option value</t>
  </si>
  <si>
    <t>ASSUMPTION – execution/timing risk</t>
  </si>
  <si>
    <t>Rating threshold: BUY if upside above</t>
  </si>
  <si>
    <t>Rating threshold: SELL if upside below</t>
  </si>
  <si>
    <t>FY22–FY25 balance sheet and cash flow from user model (Ace Equity extracts) · FY26 P&amp;L from 'Quarterly-data' · FY26 balance sheet from FY26 annual report (partial)</t>
  </si>
  <si>
    <t>Rs crore</t>
  </si>
  <si>
    <t>FY22A</t>
  </si>
  <si>
    <t>FY23A</t>
  </si>
  <si>
    <t>FY24A</t>
  </si>
  <si>
    <t>A. Reported performance</t>
  </si>
  <si>
    <t>Revenue from operations</t>
  </si>
  <si>
    <t xml:space="preserve">  growth</t>
  </si>
  <si>
    <t>FY26 includes Ecoworld from Dec-2025 and a full year of the NCP/G1/Powai step-ups – not organic</t>
  </si>
  <si>
    <t xml:space="preserve">  EBITDA margin</t>
  </si>
  <si>
    <t xml:space="preserve">  net margin</t>
  </si>
  <si>
    <t>Interest expense</t>
  </si>
  <si>
    <t>B. Balance sheet (FY26: partial)</t>
  </si>
  <si>
    <t>Shareholders' funds (book equity)</t>
  </si>
  <si>
    <t>'Balance Sheet' row 12</t>
  </si>
  <si>
    <t>Minority interest</t>
  </si>
  <si>
    <t>'Balance Sheet' row 13</t>
  </si>
  <si>
    <t>Total debt</t>
  </si>
  <si>
    <t>FY26: borrowings incl. accrued interest, annual report</t>
  </si>
  <si>
    <t>Cash &amp; bank</t>
  </si>
  <si>
    <t>Total assets</t>
  </si>
  <si>
    <t>Net debt</t>
  </si>
  <si>
    <t>C. Cash-flow quality (is profit backed by cash?)</t>
  </si>
  <si>
    <t>Cash from operations</t>
  </si>
  <si>
    <t>'Cash Flow' row 45</t>
  </si>
  <si>
    <t>Tax paid per cash-flow statement</t>
  </si>
  <si>
    <t>Sign convention in the extract is inconsistent; magnitude used</t>
  </si>
  <si>
    <t>Purchase of fixed assets</t>
  </si>
  <si>
    <t>Investment property additions sit in 'investment in subsidiaries' for acquisitions</t>
  </si>
  <si>
    <t>CFO / EBITDA</t>
  </si>
  <si>
    <t>Below 1.0 because interest is deducted inside CFO (Ind-AS 7 presentation)</t>
  </si>
  <si>
    <t>CFO / net profit</t>
  </si>
  <si>
    <t>Very high: depreciation Rs 430–470 cr and interest accretion are non-cash/financing-related</t>
  </si>
  <si>
    <t>Accruals ratio = (net profit − CFO) / average total assets</t>
  </si>
  <si>
    <t>Strongly negative = conservative earnings (cash &gt; accounting profit)</t>
  </si>
  <si>
    <t>Free cash flow after capex / EBITDA</t>
  </si>
  <si>
    <t>Cash tax as % of P&amp;L tax</t>
  </si>
  <si>
    <t>Most REIT SPV tax is deferred; supports cash-tax ramp assumption in Fin_Proj row 14 (FY25: ~9%)</t>
  </si>
  <si>
    <t>D. Leverage and coverage</t>
  </si>
  <si>
    <t>Net debt / EBITDA</t>
  </si>
  <si>
    <t>FY26 uses year-end debt on a full-year EBITDA that includes only ~4 months of Ecoworld – overstated</t>
  </si>
  <si>
    <t>EBIT / interest</t>
  </si>
  <si>
    <t>EBITDA / interest</t>
  </si>
  <si>
    <t>Debt / book equity</t>
  </si>
  <si>
    <t>E. Du Pont and returns on book capital</t>
  </si>
  <si>
    <t>Net margin</t>
  </si>
  <si>
    <t>Asset turnover (revenue / total assets)</t>
  </si>
  <si>
    <t>Equity multiplier (total assets / book equity)</t>
  </si>
  <si>
    <t>ROE (Du Pont product)</t>
  </si>
  <si>
    <t>ROIC = EBIT x (1 − t) / (equity + MI + debt − cash)</t>
  </si>
  <si>
    <t>Low because the cost model carries assets far below fair value – hence EVA is also run on fair-value capital</t>
  </si>
  <si>
    <t>Book value per unit</t>
  </si>
  <si>
    <t>'Balance Sheet'!F62</t>
  </si>
  <si>
    <t>Reported NAV per unit (31-Mar-26)</t>
  </si>
  <si>
    <t>NAV / latest book value per unit</t>
  </si>
  <si>
    <t>Hidden fair-value gain not in the Ind-AS balance sheet</t>
  </si>
  <si>
    <t>F. Normalising FY26 earnings – Q4 FY26 tax charge</t>
  </si>
  <si>
    <t>Q1 FY26</t>
  </si>
  <si>
    <t>Q2 FY26</t>
  </si>
  <si>
    <t>Q3 FY26</t>
  </si>
  <si>
    <t>Q4 FY26</t>
  </si>
  <si>
    <t>FY26</t>
  </si>
  <si>
    <t>Profit before tax</t>
  </si>
  <si>
    <t>Tax expense</t>
  </si>
  <si>
    <t>Effective tax rate</t>
  </si>
  <si>
    <t>Q4 FY26 tax of Rs 169.5 cr is 75% of Q4 PBT – consistent with a deferred-tax re-measurement; confirm against Ind-AS tax note</t>
  </si>
  <si>
    <t>Normalised FY26 tax at statutory rate</t>
  </si>
  <si>
    <t>Non-recurring tax charge (reported − normalised)</t>
  </si>
  <si>
    <t>Reported profit after tax</t>
  </si>
  <si>
    <t>Adjusted (normalised) profit after tax</t>
  </si>
  <si>
    <t>G. Accounting adjustments and how this model treats them</t>
  </si>
  <si>
    <t>Observation / treatment</t>
  </si>
  <si>
    <t>Investment property at cost (Ind-AS 40 cost model)</t>
  </si>
  <si>
    <t>Book assets far below fair value; EVA shown on book capital and DCF/NAV on fair value.</t>
  </si>
  <si>
    <t>Straight-line lease revenue</t>
  </si>
  <si>
    <t>Revenue/EBITDA include non-cash straight-lining; rent build uses contractual in-place rent, so DCF is cash-based.</t>
  </si>
  <si>
    <t>Shareholder CCD/NCD liability components of partners ('Reco entities')</t>
  </si>
  <si>
    <t>Economically partner claims: handled through partners' share of value (Rev_Build) rather than debt.</t>
  </si>
  <si>
    <t>Other income (treasury interest)</t>
  </si>
  <si>
    <t>Excluded from FCFF; cash enters the bridge through net debt. Included in NDCF.</t>
  </si>
  <si>
    <t>Minority interest (G1/Powai 50%, Ecoworld 13%)</t>
  </si>
  <si>
    <t>Deducted at fair value (share of equity value), not at book (Rs 1,981 cr FY25).</t>
  </si>
  <si>
    <t>Share of associates (North Commercial Portfolio)</t>
  </si>
  <si>
    <t>Valued separately: NOI ÷ cap rate − JV debt, x 50%, less illiquidity discount.</t>
  </si>
  <si>
    <t>Q4 FY26 tax charge</t>
  </si>
  <si>
    <t>Treated as non-recurring (section F); forecast uses 24–26% then 25.17%.</t>
  </si>
  <si>
    <t>FY26 revenue: user model Rs 2,962.3 cr vs reported Rs 2,971.1 cr</t>
  </si>
  <si>
    <t>0.3% variance from quarterly data source; user's figure retained for consistency.</t>
  </si>
  <si>
    <t>Ecoworld consolidated from Dec-2025</t>
  </si>
  <si>
    <t>FY26–FY27 growth is acquisition-driven; organic same-store NOI growth ~8–10%.</t>
  </si>
  <si>
    <t>Interest in user model (EBITDA ÷ ICR)</t>
  </si>
  <si>
    <t>Implies rising debt with no acquisition revenue; default here is a debt schedule (switch on Inputs).</t>
  </si>
  <si>
    <t>REVENUE BUILD – asset-wise leasing engine (replicates 'Revenue Estimation' with live formulas)</t>
  </si>
  <si>
    <t>Area in '000 sq ft · Rent in Rs/sq ft/month · Revenue in Rs million unless stated · Inputs trace to user model sheets named in column U</t>
  </si>
  <si>
    <t>1. Asset parameter table (inputs from user model: Property wise / Quarterly Expected Occupancy / Revenue Estimation)</t>
  </si>
  <si>
    <t>Asset</t>
  </si>
  <si>
    <t>REIT own %</t>
  </si>
  <si>
    <t>Op. area FY27</t>
  </si>
  <si>
    <t>Leased area (Q4FY26)</t>
  </si>
  <si>
    <t>In-place rent</t>
  </si>
  <si>
    <t>Rent escalator</t>
  </si>
  <si>
    <t>Area expiring FY27</t>
  </si>
  <si>
    <t>Area expiring FY28</t>
  </si>
  <si>
    <t>Area expiring FY29</t>
  </si>
  <si>
    <t>New-leasing rent FY27</t>
  </si>
  <si>
    <t>Renewal rent FY27</t>
  </si>
  <si>
    <t>Exp. occupancy FY27</t>
  </si>
  <si>
    <t>Exp. occupancy FY28</t>
  </si>
  <si>
    <t>Exp. occupancy FY29</t>
  </si>
  <si>
    <t>New-lease rent growth factor</t>
  </si>
  <si>
    <t>Renewal rent growth factor</t>
  </si>
  <si>
    <t>Area added FY28</t>
  </si>
  <si>
    <t>Area added FY29</t>
  </si>
  <si>
    <t>CAM % of rental (OLR)</t>
  </si>
  <si>
    <t>Source</t>
  </si>
  <si>
    <t>Ecoworld, Bangalore</t>
  </si>
  <si>
    <t>'Revenue Estimation' rows 4/19/36; 'Property wise' CL:CM, DM/DP/DS; 'Quarterly Expected Occupancy' DL:DN</t>
  </si>
  <si>
    <t>Downtown Powai, Mumbai</t>
  </si>
  <si>
    <t>'Revenue Estimation' rows 5/20/37; 'Property wise' CL:CM, DM/DP/DS; 'Quarterly Expected Occupancy' DL:DN</t>
  </si>
  <si>
    <t>G1, Gurugram</t>
  </si>
  <si>
    <t>'Revenue Estimation' rows 6/21/38; 'Property wise' CL:CM, DM/DP/DS; 'Quarterly Expected Occupancy' DL:DN</t>
  </si>
  <si>
    <t>G2, Gurugram</t>
  </si>
  <si>
    <t>'Revenue Estimation' rows 7/22/39; 'Property wise' CL:CM, DM/DP/DS; 'Quarterly Expected Occupancy' DL:DN</t>
  </si>
  <si>
    <t>N1, Noida</t>
  </si>
  <si>
    <t>'Revenue Estimation' rows 8/23/40; 'Property wise' CL:CM, DM/DP/DS; 'Quarterly Expected Occupancy' DL:DN</t>
  </si>
  <si>
    <t>N2, Noida</t>
  </si>
  <si>
    <t>'Revenue Estimation' rows 9/24/41; 'Property wise' CL:CM, DM/DP/DS; 'Quarterly Expected Occupancy' DL:DN</t>
  </si>
  <si>
    <t>K1, Kolkata</t>
  </si>
  <si>
    <t>'Revenue Estimation' rows 10/25/42; 'Property wise' CL:CM, DM/DP/DS; 'Quarterly Expected Occupancy' DL:DN</t>
  </si>
  <si>
    <t>Worldmark, Delhi (NCP)</t>
  </si>
  <si>
    <t>'Revenue Estimation' rows 11/26/43; 'Property wise' CL:CM, DM/DP/DS; 'Quarterly Expected Occupancy' DL:DN</t>
  </si>
  <si>
    <t>Worldmark, Gurugram (NCP)</t>
  </si>
  <si>
    <t>'Revenue Estimation' rows 12/27/44; 'Property wise' CL:CM, DM/DP/DS; 'Quarterly Expected Occupancy' DL:DN</t>
  </si>
  <si>
    <t>Airtel Center + Pavilion (NCP)</t>
  </si>
  <si>
    <t>User hard-code 'Revenue Estimation'!T14 = 1404*1.05 (annual rental Rs mn), grown 5% p.a. (T29, T46)</t>
  </si>
  <si>
    <t>Airtel/Pavilion: F17 = FY26 run-rate rental (Rs mn), G17 = annual growth factor. NCP rows are equity-accounted (not in consolidated revenue).</t>
  </si>
  <si>
    <t>FY27E – asset engine (continuing + expiring + vacancy absorption)</t>
  </si>
  <si>
    <t>Own %</t>
  </si>
  <si>
    <t>Operating area</t>
  </si>
  <si>
    <t>Leased area (open)</t>
  </si>
  <si>
    <t>Vacant</t>
  </si>
  <si>
    <t>Area expiring</t>
  </si>
  <si>
    <t>Continuing area</t>
  </si>
  <si>
    <t>Escalator</t>
  </si>
  <si>
    <t>Continuing rent</t>
  </si>
  <si>
    <t>New-leasing rent</t>
  </si>
  <si>
    <t>Renewal rent</t>
  </si>
  <si>
    <t>Continuing rev</t>
  </si>
  <si>
    <t>Expiry rev (50%)</t>
  </si>
  <si>
    <t>Vacancy rev (50%)</t>
  </si>
  <si>
    <t>Exp. occupancy</t>
  </si>
  <si>
    <t>Exp. leased area</t>
  </si>
  <si>
    <t>Absorbed area</t>
  </si>
  <si>
    <t>Absorption ratio</t>
  </si>
  <si>
    <t>Re-leasing rev</t>
  </si>
  <si>
    <t>Total rental</t>
  </si>
  <si>
    <t>CAM %</t>
  </si>
  <si>
    <t>CAM revenue</t>
  </si>
  <si>
    <t>Total revenue (Rs mn)</t>
  </si>
  <si>
    <t>Revenue (Rs cr)</t>
  </si>
  <si>
    <t>Consolidated assets (7)</t>
  </si>
  <si>
    <t>North Commercial Portfolio rental (3 lines, 100%)</t>
  </si>
  <si>
    <t>Consolidated revenue (Rs cr) = (rental + CAM) / 10</t>
  </si>
  <si>
    <t>FY28E – asset engine (continuing + expiring + vacancy absorption)</t>
  </si>
  <si>
    <t>FY29E – asset engine (continuing + expiring + vacancy absorption)</t>
  </si>
  <si>
    <t>2. Partner (minority) share of consolidated value – FY28E revenue-weighted (used as proxy for value weights)</t>
  </si>
  <si>
    <t>Σ revenue_i x (1 − own%_i) / Σ revenue_i</t>
  </si>
  <si>
    <t>Partners: GIC 50% of G1 &amp; Downtown Powai; 360 ONE ~13% of Ecoworld. Cross-check: ~20% of 100%-basis equity implied by Mar-26 reported NAV vs GAV.</t>
  </si>
  <si>
    <t>3. Quarterly phasing of annual revenue (user's assumed weights, 'Revenue Estimation'!AT5:AV8)</t>
  </si>
  <si>
    <t>Quarter</t>
  </si>
  <si>
    <t>FY27 weight</t>
  </si>
  <si>
    <t>FY28 weight</t>
  </si>
  <si>
    <t>FY29 weight</t>
  </si>
  <si>
    <t>FY27 Rs cr</t>
  </si>
  <si>
    <t>FY28 Rs cr</t>
  </si>
  <si>
    <t>FY29 Rs cr</t>
  </si>
  <si>
    <t>Q1</t>
  </si>
  <si>
    <t>Q2</t>
  </si>
  <si>
    <t>Q3</t>
  </si>
  <si>
    <t>Q4</t>
  </si>
  <si>
    <t>Total</t>
  </si>
  <si>
    <t>FINANCIAL PROJECTIONS – income statement, debt schedule, capex and NDCF/DPU (consolidated, Rs crore)</t>
  </si>
  <si>
    <t>FY22A–FY26A from user model 'Quarterly-data'!AN:AR · FY27E–FY29E revenue from Rev_Build · FY30E–FY36E driver-based fade</t>
  </si>
  <si>
    <t>FY30E</t>
  </si>
  <si>
    <t>FY32E</t>
  </si>
  <si>
    <t>FY33E</t>
  </si>
  <si>
    <t>FY34E</t>
  </si>
  <si>
    <t>FY35E</t>
  </si>
  <si>
    <t>Projection year index</t>
  </si>
  <si>
    <t>Forecast drivers (green = assumption)</t>
  </si>
  <si>
    <t>Revenue growth (FY30E+)</t>
  </si>
  <si>
    <t>ASSUMPTION – ~in-place escalation 4.8%/yr + MTM; fades toward terminal growth. FY27–29 come from Rev_Build</t>
  </si>
  <si>
    <t>Cost of services (% of revenue)</t>
  </si>
  <si>
    <t>User model Quarterly-data rows 11/3</t>
  </si>
  <si>
    <t>Operating expenses (% of revenue)</t>
  </si>
  <si>
    <t>User model: 28% / 26% / 25%; held at 25% thereafter</t>
  </si>
  <si>
    <t>Employee cost (% of revenue)</t>
  </si>
  <si>
    <t>User model: 1.1%</t>
  </si>
  <si>
    <t>Other income (% of revenue)</t>
  </si>
  <si>
    <t>User model average-ratio method; 3.5% thereafter</t>
  </si>
  <si>
    <t>Depreciation growth (FY30E+)</t>
  </si>
  <si>
    <t>ASSUMPTION – operating area flat after FY29 in explicit build</t>
  </si>
  <si>
    <t>Effective tax rate on PBT (P&amp;L)</t>
  </si>
  <si>
    <t>User model: 24%/25%/26%; statutory 25.17% from FY30E</t>
  </si>
  <si>
    <t>Cash (current) tax as % of P&amp;L tax</t>
  </si>
  <si>
    <t>ASSUMPTION – FY25 tax paid Rs 8 cr vs P&amp;L tax Rs 89.5 cr (~9%); shield assumed to erode to 100% by FY34E</t>
  </si>
  <si>
    <t>Refurbishment / repositioning capex</t>
  </si>
  <si>
    <t>ASSUMPTION – SEZ→NPA conversion, Ecoworld repositioning, tenant improvements</t>
  </si>
  <si>
    <t>Interest rate on average debt</t>
  </si>
  <si>
    <t>Q1 FY27 avg 7.3% (90% floating) + 25bp repo hike pass-through</t>
  </si>
  <si>
    <t>Minority interest in profit (P&amp;L)</t>
  </si>
  <si>
    <t>User model Quarterly-data row 39 (held flat)</t>
  </si>
  <si>
    <t>Share of associates (NCP)</t>
  </si>
  <si>
    <t>User model Quarterly-data row 40 (held flat)</t>
  </si>
  <si>
    <t>Memo: user's coverage-ratio interest</t>
  </si>
  <si>
    <t>User model Quarterly-data row 32 (EBITDA/ICR − Rs 60 cr per quarter)</t>
  </si>
  <si>
    <t>Income statement</t>
  </si>
  <si>
    <t xml:space="preserve">  growth %</t>
  </si>
  <si>
    <t>Cost of services</t>
  </si>
  <si>
    <t>Operating expenses</t>
  </si>
  <si>
    <t>Employee cost</t>
  </si>
  <si>
    <t>Depreciation &amp; amortisation</t>
  </si>
  <si>
    <t>EBIT</t>
  </si>
  <si>
    <t>Other income</t>
  </si>
  <si>
    <t>Default = debt-schedule interest (rows 51–55). User's method implies debt rising ~Rs 4,000 cr by FY29 with no acquisition revenue in the build.</t>
  </si>
  <si>
    <t>Tax</t>
  </si>
  <si>
    <t>FY26A tax Rs 221.7 cr includes Q4 charge of Rs 169.5 cr (75% of Q4 PBT) – treated as non-recurring in Hist_Quality.</t>
  </si>
  <si>
    <t>Profit after tax</t>
  </si>
  <si>
    <t>Units outstanding (cr)</t>
  </si>
  <si>
    <t>Earnings per unit (Rs)</t>
  </si>
  <si>
    <t>Memo: reconciliation to user's model (uses user's interest, other income and tax rates)</t>
  </si>
  <si>
    <t>Net profit using user's interest</t>
  </si>
  <si>
    <t>User model net profit (Quarterly-data row 41)</t>
  </si>
  <si>
    <t>Difference</t>
  </si>
  <si>
    <t>User model EBITDA (row 21)</t>
  </si>
  <si>
    <t>Difference (EBITDA)</t>
  </si>
  <si>
    <t>Debt schedule (gross debt held flat; growth capex debt-funded; refinancing assumed)</t>
  </si>
  <si>
    <t>Opening gross debt</t>
  </si>
  <si>
    <t>+ Debt-funded growth &amp; refurbishment capex</t>
  </si>
  <si>
    <t>Closing gross debt</t>
  </si>
  <si>
    <t>Average gross debt</t>
  </si>
  <si>
    <t>Interest expense (schedule)</t>
  </si>
  <si>
    <t>Cash &amp; equivalents (held flat)</t>
  </si>
  <si>
    <t>Net debt / EBITDA (x)</t>
  </si>
  <si>
    <t>EBITDA / interest (x)</t>
  </si>
  <si>
    <t>EBIT / interest (x)</t>
  </si>
  <si>
    <t>Capex, area and working capital</t>
  </si>
  <si>
    <t>Operating area – consolidated ('000 sq ft)</t>
  </si>
  <si>
    <t>Area added ('000 sq ft)</t>
  </si>
  <si>
    <t>Maintenance capex (Rs 2 psf/month, inflated)</t>
  </si>
  <si>
    <t>Growth capex (committed area additions)</t>
  </si>
  <si>
    <t>Refurbishment capex</t>
  </si>
  <si>
    <t>Total capex</t>
  </si>
  <si>
    <t>Net working capital</t>
  </si>
  <si>
    <t>Increase in NWC (cash outflow if positive)</t>
  </si>
  <si>
    <t>NDCF and distribution per unit (REIT-level, equity view)</t>
  </si>
  <si>
    <t>+ Other income</t>
  </si>
  <si>
    <t>− Interest</t>
  </si>
  <si>
    <t>− Cash tax (P&amp;L tax x cash ratio)</t>
  </si>
  <si>
    <t>− Maintenance capex</t>
  </si>
  <si>
    <t>Consolidated NDCF (100%, pre-calibration)</t>
  </si>
  <si>
    <t>Unitholders' share (1 − partners' share)</t>
  </si>
  <si>
    <t>NCP NOI (100%)</t>
  </si>
  <si>
    <t>NCP NDCF (100%) = 95% NOI − interest on NCP debt</t>
  </si>
  <si>
    <t>+ Distribution from NCP (REIT share)</t>
  </si>
  <si>
    <t>+ Distribution from BKC JV</t>
  </si>
  <si>
    <t>+ Calibration to Q1 FY27 run-rate DPU (constant)</t>
  </si>
  <si>
    <t>Reconciles the P&amp;L-based build to the observed Q1 FY27 run-rate (non-cash interest, actual cash taxes and JV timing are not visible in the P&amp;L).</t>
  </si>
  <si>
    <t>NDCF to unitholders</t>
  </si>
  <si>
    <t>Management guides ~15% embedded DPU growth over ~2 years; compare FY29E vs FY27E.</t>
  </si>
  <si>
    <t xml:space="preserve">  DPU growth %</t>
  </si>
  <si>
    <t>Risk-free rate net of sovereign default spread · ERP = mature market + country risk premium · bottom-up beta · synthetic-rating cross-check</t>
  </si>
  <si>
    <t>A. Cost of equity</t>
  </si>
  <si>
    <t>India 10-year G-sec yield</t>
  </si>
  <si>
    <t>ICR ≥</t>
  </si>
  <si>
    <t>Trading Economics, 7-Oct-2026 (two-year high after RBI repo hike to 5.50%)</t>
  </si>
  <si>
    <t>India sovereign default spread (Moody's Baa3)</t>
  </si>
  <si>
    <t>Ca/CC</t>
  </si>
  <si>
    <t>Damodaran country risk table, 5-Jan-2026</t>
  </si>
  <si>
    <t>Deduct default spread from G-sec? (1 = yes, Damodaran)</t>
  </si>
  <si>
    <t>Caa/CCC</t>
  </si>
  <si>
    <t>Damodaran: INR risk-free rate = government bond yield − default spread</t>
  </si>
  <si>
    <t>INR risk-free rate</t>
  </si>
  <si>
    <t>B3/B-</t>
  </si>
  <si>
    <t>Mature-market equity risk premium</t>
  </si>
  <si>
    <t>B2/B</t>
  </si>
  <si>
    <t>Damodaran implied ERP, Jan-2026</t>
  </si>
  <si>
    <t>India country risk premium</t>
  </si>
  <si>
    <t>B1/B+</t>
  </si>
  <si>
    <t>Damodaran, Jan-2026 (default spread x relative equity volatility)</t>
  </si>
  <si>
    <t>Total equity risk premium – India</t>
  </si>
  <si>
    <t>Ba2/BB</t>
  </si>
  <si>
    <t>Matches Damodaran's published India ERP 7.08%</t>
  </si>
  <si>
    <t>Ba1/BB+</t>
  </si>
  <si>
    <t>Bottom-up beta (Damodaran global industry betas)</t>
  </si>
  <si>
    <t>Unlevered β</t>
  </si>
  <si>
    <t>Baa2/BBB</t>
  </si>
  <si>
    <t>R.E.I.T. (cash-corrected)</t>
  </si>
  <si>
    <t>A3/A-</t>
  </si>
  <si>
    <t>Damodaran betas page (header: data as of Jan-2026); REIT 0.35 uncorrected. Weights: judgement (REIT-heavy, plus operating/development risk)</t>
  </si>
  <si>
    <t>Real Estate (Operations &amp; Services), cash-corrected</t>
  </si>
  <si>
    <t>A2/A</t>
  </si>
  <si>
    <t>Real Estate (General/Diversified), cash-corrected</t>
  </si>
  <si>
    <t>A1/A+</t>
  </si>
  <si>
    <t>Weighted unlevered beta</t>
  </si>
  <si>
    <t>Aa2/AA</t>
  </si>
  <si>
    <t>Target debt / (debt + equity)</t>
  </si>
  <si>
    <t>Aaa/AAA</t>
  </si>
  <si>
    <t>Management target: one-third debt / two-thirds equity for acquisitions; LTV cap 35%</t>
  </si>
  <si>
    <t>Implied target D/E</t>
  </si>
  <si>
    <t>Approximate Damodaran large-firm table – refresh from ratings.xls before external use</t>
  </si>
  <si>
    <t>Marginal tax rate (re-levering)</t>
  </si>
  <si>
    <t>Re-levered equity beta</t>
  </si>
  <si>
    <t>Hamada: βL = βU x (1 + (1 − t) x D/E)</t>
  </si>
  <si>
    <t>Cost of equity (1): Damodaran (INR Rf + β x ERP)</t>
  </si>
  <si>
    <t>Cost of equity (2): G-sec + β x ERP (common practitioner)</t>
  </si>
  <si>
    <t>Includes default spread in Rf – conservative upper bound</t>
  </si>
  <si>
    <t>Cost of equity (3): market-implied (DPU yield + growth)</t>
  </si>
  <si>
    <t>Annualised Q1 DPU / price + 4% stable growth – cross-check only</t>
  </si>
  <si>
    <t>Method selected (1, 2 or 3 = average of 1 and 2)</t>
  </si>
  <si>
    <t>Average used: conflicts between Damodaran's and practitioner Rf conventions</t>
  </si>
  <si>
    <t>SELECTED COST OF EQUITY</t>
  </si>
  <si>
    <t>B. Cost of debt</t>
  </si>
  <si>
    <t>Reported average interest rate (Q1 FY27)</t>
  </si>
  <si>
    <t>Q1 FY27 earnings: 7.3%, ~90% floating, dual AAA (CRISIL/ICRA)</t>
  </si>
  <si>
    <t>Selected pre-tax cost of debt (marginal)</t>
  </si>
  <si>
    <t>Peers' Q1 FY27 raises: Embassy 7.46%, Mindspace 7.42%, KRT 7.2%</t>
  </si>
  <si>
    <t>Implied spread over G-sec</t>
  </si>
  <si>
    <t>AAA REIT paper trades close to G-sec given dual-AAA and lease-backed cash flows</t>
  </si>
  <si>
    <t>After-tax cost of debt</t>
  </si>
  <si>
    <t>Interest coverage FY27E (EBIT / interest)</t>
  </si>
  <si>
    <t>Synthetic rating (Damodaran-style lookup)</t>
  </si>
  <si>
    <t>Cross-check only: REIT long-dated lease cash flows justify better than interest-cover-implied rating</t>
  </si>
  <si>
    <t>Synthetic spread</t>
  </si>
  <si>
    <t>Synthetic cost of debt (G-sec + spread)</t>
  </si>
  <si>
    <t>C. Weighted average cost of capital</t>
  </si>
  <si>
    <t>Pro-forma net debt</t>
  </si>
  <si>
    <t>Current market D / (D + E)</t>
  </si>
  <si>
    <t>Consolidated basis, ignores minorities</t>
  </si>
  <si>
    <t>Target D / (D + E) applied</t>
  </si>
  <si>
    <t>Equity weight</t>
  </si>
  <si>
    <t>WACC = E/V x CoE + D/V x Kd x (1 − t)</t>
  </si>
  <si>
    <t>WACC at current market weights</t>
  </si>
  <si>
    <t>Cross-check</t>
  </si>
  <si>
    <t>Mid-period discounting with stub period · Gordon-growth terminal value on normalised FCFF · bridge adjusts for net debt, partners' share and the NCP JV</t>
  </si>
  <si>
    <t>1. Free cash flow to firm</t>
  </si>
  <si>
    <t>Year index</t>
  </si>
  <si>
    <t>Tax rate on EBIT (P&amp;L effective rate)</t>
  </si>
  <si>
    <t>Tax on EBIT</t>
  </si>
  <si>
    <t>NOPAT</t>
  </si>
  <si>
    <t>+ Depreciation &amp; amortisation</t>
  </si>
  <si>
    <t>− Growth capex (committed additions)</t>
  </si>
  <si>
    <t>− Refurbishment capex</t>
  </si>
  <si>
    <t>− Increase in net working capital</t>
  </si>
  <si>
    <t>Free cash flow to firm (FCFF)</t>
  </si>
  <si>
    <t>Fraction of year after valuation date</t>
  </si>
  <si>
    <t>FCFF counted in valuation</t>
  </si>
  <si>
    <t>Discount period (years, mid-period)</t>
  </si>
  <si>
    <t>Discount factor at WACC</t>
  </si>
  <si>
    <t>Present value of FCFF</t>
  </si>
  <si>
    <t>2. Terminal value and enterprise value</t>
  </si>
  <si>
    <t>Terminal (stable) growth rate</t>
  </si>
  <si>
    <t>≈ RBI CPI target; below INR risk-free rate (Damodaran cap) – ASSUMPTION</t>
  </si>
  <si>
    <t>Terminal capex as % of EBITDA (normalised reinvestment)</t>
  </si>
  <si>
    <t>Maintenance + leasing costs + refurbishment; D&amp;A set equal to capex in perpetuity – ASSUMPTION</t>
  </si>
  <si>
    <t>Terminal tax rate</t>
  </si>
  <si>
    <t>Exit cap rate on forward NOI (cross-check)</t>
  </si>
  <si>
    <t>Brookfield BKC deal: 7.4% on FY28E NOI, 8.1% on FY30E; valuers use 7.5–8.0% terminal</t>
  </si>
  <si>
    <t>TV method (1 = Gordon growth, 2 = exit cap, 3 = average)</t>
  </si>
  <si>
    <t>Sensitivity tables are on Gordon-growth basis</t>
  </si>
  <si>
    <t>EBITDA in year N+1</t>
  </si>
  <si>
    <t>Normalised capex in year N+1</t>
  </si>
  <si>
    <t>Normalised FCFF in year N+1</t>
  </si>
  <si>
    <t>Terminal value – Gordon growth</t>
  </si>
  <si>
    <t>Terminal value – exit cap rate</t>
  </si>
  <si>
    <t>Implied exit cap rate of Gordon TV</t>
  </si>
  <si>
    <t>Compare with 7.5–8.0% valuer range</t>
  </si>
  <si>
    <t>Implied TV / EBITDA (x)</t>
  </si>
  <si>
    <t>Terminal value used</t>
  </si>
  <si>
    <t>Discount factor for TV (end of FY36)</t>
  </si>
  <si>
    <t>PV of terminal value</t>
  </si>
  <si>
    <t>PV of explicit FCFF (FY27E stub – FY36E)</t>
  </si>
  <si>
    <t>ENTERPRISE VALUE (100% of consolidated operations)</t>
  </si>
  <si>
    <t>Terminal value as % of EV</t>
  </si>
  <si>
    <t>3. Bridge: enterprise value → value per unit (BAV: non-operating assets, minorities, associates)</t>
  </si>
  <si>
    <t>Enterprise value</t>
  </si>
  <si>
    <t>− Pro-forma net debt</t>
  </si>
  <si>
    <t>Inputs: Mar-26 borrowings, QIP, 360 ONE, BKC funding</t>
  </si>
  <si>
    <t>Equity value, 100% basis</t>
  </si>
  <si>
    <t>Partners' share of consolidated value (%)</t>
  </si>
  <si>
    <t>Rev_Build: revenue-weighted (1 − own%)</t>
  </si>
  <si>
    <t>− Partners' (minority) share at fair value</t>
  </si>
  <si>
    <t>NCP NOI FY28E (100%)</t>
  </si>
  <si>
    <t>NCP capitalisation rate</t>
  </si>
  <si>
    <t>ASSUMPTION – mature Delhi-NCR assets; between KRT/Embassy and G1/G2</t>
  </si>
  <si>
    <t>NCP enterprise value (100%)</t>
  </si>
  <si>
    <t>− NCP debt (100%)</t>
  </si>
  <si>
    <t>NCP equity (100%)</t>
  </si>
  <si>
    <t>+ REIT share of NCP, after illiquidity discount</t>
  </si>
  <si>
    <t>+ BKC JV stake at cost</t>
  </si>
  <si>
    <t>Debt-funded: neutral to the bridge</t>
  </si>
  <si>
    <t>EQUITY VALUE TO UNITHOLDERS</t>
  </si>
  <si>
    <t>Units outstanding (crore)</t>
  </si>
  <si>
    <t>DCF VALUE PER UNIT (Rs)</t>
  </si>
  <si>
    <t>Upside / (downside) vs current price</t>
  </si>
  <si>
    <t>4. Implied multiples and value of growth (BAV Ch. 9–11)</t>
  </si>
  <si>
    <t>EV / EBITDA FY27E (x)</t>
  </si>
  <si>
    <t>EV / NOI FY28E (x)</t>
  </si>
  <si>
    <t>Implied cap rate on FY28E NOI</t>
  </si>
  <si>
    <t>Steady-state (no-growth) EV = FY27E NOPAT / WACC</t>
  </si>
  <si>
    <t>No real growth, constant earnings</t>
  </si>
  <si>
    <t>Value of growth = EV − steady-state value</t>
  </si>
  <si>
    <t>Value of growth as % of EV</t>
  </si>
  <si>
    <t>Average reinvestment rate FY27E–FY29E</t>
  </si>
  <si>
    <t>(capex − D&amp;A + ΔNWC) / NOPAT; negative = D&amp;A exceeds reinvestment</t>
  </si>
  <si>
    <t>Terminal growth sanity: g vs INR risk-free rate</t>
  </si>
  <si>
    <t>Must be ≤ 0 (growth cannot exceed risk-free rate)</t>
  </si>
  <si>
    <t>5. Sensitivity – value per unit (Rs): WACC (down) × terminal growth (across); Gordon-growth basis</t>
  </si>
  <si>
    <t>WACC ↓ / g →</t>
  </si>
  <si>
    <t>6. Sensitivity – value per unit (Rs): WACC (down) × normalised terminal capex % of EBITDA (across)</t>
  </si>
  <si>
    <t>WACC ↓ / capex % →</t>
  </si>
  <si>
    <t>7. Reverse DCF – what WACC does the current price imply? (g and cash flows held at base case)</t>
  </si>
  <si>
    <t>Market-implied WACC (linear interpolation at current price)</t>
  </si>
  <si>
    <t>Compare with model WACC in C25: a lower implied WACC means the market is pricing the REIT more richly than the model.</t>
  </si>
  <si>
    <t>REITs distribute ≥90% of NDCF, so FCFE ≈ DPU · Two-stage DDM at cost of equity · anchored to Q1 FY27 distribution run-rate</t>
  </si>
  <si>
    <t>1. Distribution forecast and present value</t>
  </si>
  <si>
    <t>DPU still to be received after valuation date (Rs)</t>
  </si>
  <si>
    <t>Discount factor at cost of equity</t>
  </si>
  <si>
    <t>Present value (Rs/unit)</t>
  </si>
  <si>
    <t>2. Valuation</t>
  </si>
  <si>
    <t>From WACC sheet</t>
  </si>
  <si>
    <t>Stable growth in distributions</t>
  </si>
  <si>
    <t>ASSUMPTION – equal to terminal growth in DCF (inflation-linked rent growth)</t>
  </si>
  <si>
    <t>Terminal value of distributions (end FY36E)</t>
  </si>
  <si>
    <t>PV of terminal value (Rs/unit)</t>
  </si>
  <si>
    <t>PV of explicit distributions (Rs/unit)</t>
  </si>
  <si>
    <t>DDM VALUE PER UNIT (Rs)</t>
  </si>
  <si>
    <t>Terminal value as % of value</t>
  </si>
  <si>
    <t>Cross-check: Gordon on annualised run-rate DPU</t>
  </si>
  <si>
    <t>Single-stage</t>
  </si>
  <si>
    <t>Implied distribution yield at DDM value</t>
  </si>
  <si>
    <t>FCFE check: equity-funded capex (debt-funded in base case)</t>
  </si>
  <si>
    <t>Growth capex is debt-funded, so FCFE ≈ NDCF ≈ DPU</t>
  </si>
  <si>
    <t>3. Sensitivity – DDM value per unit (Rs): cost of equity (down) × stable growth (across)</t>
  </si>
  <si>
    <t>CoE ↓ / g →</t>
  </si>
  <si>
    <t>Peer prices: late-Sep-2026 closes · Fundamentals: Q1 FY27 results / FY26 NAV · Net debt for Mindspace and KRT derived from reported LTV (see notes)</t>
  </si>
  <si>
    <t>REIT</t>
  </si>
  <si>
    <t>Price (Rs)</t>
  </si>
  <si>
    <t>Units (cr)</t>
  </si>
  <si>
    <t>NAV/unit (Rs)</t>
  </si>
  <si>
    <t>Q1 FY27 NOI (Rs cr)</t>
  </si>
  <si>
    <t>Annualised NOI</t>
  </si>
  <si>
    <t>Net debt (Rs cr)</t>
  </si>
  <si>
    <t>Q1 DPU (Rs)</t>
  </si>
  <si>
    <t>EV (Rs cr)</t>
  </si>
  <si>
    <t>EV / NOI (x)</t>
  </si>
  <si>
    <t>P / NAV (x)</t>
  </si>
  <si>
    <t>DPU yield</t>
  </si>
  <si>
    <t>Embassy Office Parks REIT</t>
  </si>
  <si>
    <t>Embassy Q1 FY27 release (30-Jul-26): net debt Rs 21,879 cr; NAV FY26 annual report; units = NAV equity Rs 46,600 cr / NAV per unit</t>
  </si>
  <si>
    <t>Mindspace Business Parks REIT</t>
  </si>
  <si>
    <t>Q1 FY27 (5-Aug-26); units = Rs 441.55 cr distribution / DPU; net debt DERIVED = 29.7% LTV x GAV Rs 51,890 cr</t>
  </si>
  <si>
    <t>Knowledge Realty Trust</t>
  </si>
  <si>
    <t>Q1 FY27 (28-Jul-26); NAV 31-Mar-26; units = Rs 751.6 cr / DPU; net debt DERIVED from 18% LTV and NAV equity</t>
  </si>
  <si>
    <t>Mean</t>
  </si>
  <si>
    <t>Median</t>
  </si>
  <si>
    <t>Minimum</t>
  </si>
  <si>
    <t>Maximum</t>
  </si>
  <si>
    <t>Brookfield India REIT (model basis)</t>
  </si>
  <si>
    <t>Market-implied consolidated EV (100% basis) obtained by reversing the DCF bridge (partners' share, NCP stake); NOI = Q1 FY27 consolidated Rs 756.56 cr x 4</t>
  </si>
  <si>
    <t>BIRET premium / (discount) to peer median</t>
  </si>
  <si>
    <t>Implied value per unit (Rs) for Brookfield India REIT</t>
  </si>
  <si>
    <t>Low (peer min)</t>
  </si>
  <si>
    <t>High (peer max)</t>
  </si>
  <si>
    <t>Basis</t>
  </si>
  <si>
    <t>P / NAV x pro-forma NAV</t>
  </si>
  <si>
    <t xml:space="preserve">Peer P/NAV (low=min, high=max) x NAV Rs </t>
  </si>
  <si>
    <t>EV / NOI x consolidated NOI</t>
  </si>
  <si>
    <t>Peer EV/NOI → EV → same bridge as DCF</t>
  </si>
  <si>
    <t>Distribution yield (DPU run-rate ÷ peer yield)</t>
  </si>
  <si>
    <t>Low = highest peer yield</t>
  </si>
  <si>
    <t>RELATIVE VALUE (average of the three methods)</t>
  </si>
  <si>
    <t>Justified multiples from fundamentals (Damodaran: multiples are driven by growth, risk and reinvestment)</t>
  </si>
  <si>
    <t>Justified EV / EBITDA FY27E from DCF (x)</t>
  </si>
  <si>
    <t>Justified terminal EV / EBITDA = 1 − capex% x (1 − t) / (WACC − g)</t>
  </si>
  <si>
    <t>Peer median EV / NOI (market)</t>
  </si>
  <si>
    <t>BIRET trades at a higher yield than peers: smaller scale, ~90% floating-rate debt, IT/GCC tenant concentration – offset by ~15% embedded DPU growth guidance.</t>
  </si>
  <si>
    <t>ASSET-BASED VALUATION – NAV by capitalising asset NOI (BAV: asset-based / liquidation vs going-concern)</t>
  </si>
  <si>
    <t>Forward (FY28E) NOI from Rev_Build x NOI margin ÷ cap rate · same bridge as DCF · compared with reported NAV</t>
  </si>
  <si>
    <t>1. Asset-level gross asset value (Rs crore)</t>
  </si>
  <si>
    <t>FY28E revenue</t>
  </si>
  <si>
    <t>FY28E NOI</t>
  </si>
  <si>
    <t>Cap rate</t>
  </si>
  <si>
    <t>GAV – Base</t>
  </si>
  <si>
    <t>GAV – cap −25bp</t>
  </si>
  <si>
    <t>GAV – cap +25bp</t>
  </si>
  <si>
    <t>GAV – Stress</t>
  </si>
  <si>
    <t>Cap-rate shift</t>
  </si>
  <si>
    <t>Transaction / disposal cost (% of GAV)</t>
  </si>
  <si>
    <t>Illiquidity discount on JV stakes</t>
  </si>
  <si>
    <t>Cap rates (ASSUMPTION): Bengaluru/Mumbai 7.25%, Gurugram/Noida 7.75%, Kolkata 8.25%; BKC deal priced at 7.4% on FY28E NOI</t>
  </si>
  <si>
    <t>Under-construction area at cost (0.6 msf, 50% complete)</t>
  </si>
  <si>
    <t>ASSUMPTION – 600k sf under construction (Q1 FY27 release) at cost; 4.0 msf potential valued at Rs 300/sf (kept low; optionality valued in Real_Options)</t>
  </si>
  <si>
    <t>Future development potential (4.0 msf) – land/entitlement value</t>
  </si>
  <si>
    <t>Gross asset value – consolidated operations</t>
  </si>
  <si>
    <t>2. North Commercial Portfolio (equity-accounted JV, 100% basis)</t>
  </si>
  <si>
    <t>NCP NOI FY28E</t>
  </si>
  <si>
    <t>NCP enterprise value</t>
  </si>
  <si>
    <t>3. NAV bridge (Rs crore)</t>
  </si>
  <si>
    <t>Gross asset value – consolidated</t>
  </si>
  <si>
    <t>− Partners' share (value-weighted, base-case weights)</t>
  </si>
  <si>
    <t>+ REIT share of NCP equity (after illiquidity discount)</t>
  </si>
  <si>
    <t>NAV to unitholders</t>
  </si>
  <si>
    <t>NAV per unit (Rs)</t>
  </si>
  <si>
    <t>Base = going-concern; Stress = +100bp cap rate, 3% disposal cost, JV illiquidity discount (liquidation-style view)</t>
  </si>
  <si>
    <t>Reported NAV per unit, pro-forma for April-26 QIP (Rs)</t>
  </si>
  <si>
    <t>(Reported NAV x pre-QIP units + net QIP proceeds) ÷ post-QIP units; reported NAV Rs 386.66 at 31-Mar-26</t>
  </si>
  <si>
    <t>Model NAV vs reported (%)</t>
  </si>
  <si>
    <t>Price / NAV (x)</t>
  </si>
  <si>
    <t>Implied blended cap rate – consolidated assets</t>
  </si>
  <si>
    <t>Replacement-cost cross-check: all-in cost Rs/sq ft</t>
  </si>
  <si>
    <t>ASSUMPTION – all-in land + construction cost of comparable Grade-A campus; shows value created over replacement cost</t>
  </si>
  <si>
    <t>GAV / replacement cost (x)</t>
  </si>
  <si>
    <t>ECONOMIC VALUE ADDED &amp; VALUE ENHANCEMENT (BAV Ch. 31–32)</t>
  </si>
  <si>
    <t>EVA = NOPAT − WACC x opening invested capital · EV = IC₀ + PV(EVA) reconciles to the DCF · value-enhancement levers quantified</t>
  </si>
  <si>
    <t>1. Invested capital at book (Ind-AS cost model) – FY26 estimated</t>
  </si>
  <si>
    <t>Shareholders' funds FY25</t>
  </si>
  <si>
    <t>User model 'Balance Sheet'!F12</t>
  </si>
  <si>
    <t>Minority interest FY25</t>
  </si>
  <si>
    <t>'Balance Sheet'!F13</t>
  </si>
  <si>
    <t>Total debt FY25</t>
  </si>
  <si>
    <t>'Balance Sheet'!F61</t>
  </si>
  <si>
    <t>Cash FY25</t>
  </si>
  <si>
    <t>'Balance Sheet'!F50</t>
  </si>
  <si>
    <t>Invested capital FY25 (equity + MI + debt − cash)</t>
  </si>
  <si>
    <t>+ Ecoworld acquisition consideration (Dec-2025)</t>
  </si>
  <si>
    <t>Brookfield FY26 results: Arliga Ecoworld acquired for Rs 7,006.3 cr</t>
  </si>
  <si>
    <t>+ FY26 capex − FY26 depreciation (estimate)</t>
  </si>
  <si>
    <t>ASSUMPTION – capex Rs 100 cr</t>
  </si>
  <si>
    <t>Invested capital FY26E (opening for FY27E)</t>
  </si>
  <si>
    <t>2. EVA by year</t>
  </si>
  <si>
    <t>Net reinvestment (capex + ΔNWC − D&amp;A)</t>
  </si>
  <si>
    <t>Opening invested capital</t>
  </si>
  <si>
    <t>Closing invested capital</t>
  </si>
  <si>
    <t>ROIC − WACC spread</t>
  </si>
  <si>
    <t>EVA = NOPAT − WACC x opening IC</t>
  </si>
  <si>
    <t>Discount factor (year-end, from 31-Mar-26)</t>
  </si>
  <si>
    <t>PV of EVA</t>
  </si>
  <si>
    <t>FCFF, full year (DCF row 17)</t>
  </si>
  <si>
    <t>PV of FCFF (year-end convention)</t>
  </si>
  <si>
    <t>3. EVA valuation vs DCF (as at 31-Mar-2026, year-end convention, full-year flows)</t>
  </si>
  <si>
    <t>Opening invested capital (IC₀)</t>
  </si>
  <si>
    <t>+ PV of EVA, FY27E–FY36E</t>
  </si>
  <si>
    <t>Terminal value of FCFF at FY36 (Gordon, from DCF)</t>
  </si>
  <si>
    <t>− Closing invested capital FY36E</t>
  </si>
  <si>
    <t>PV of terminal EVA = (TV − IC_N) discounted</t>
  </si>
  <si>
    <t>EVA-based enterprise value</t>
  </si>
  <si>
    <t>DCF enterprise value, same convention</t>
  </si>
  <si>
    <t>Difference (should be ~0)</t>
  </si>
  <si>
    <t>Market value added (EV − book IC₀)</t>
  </si>
  <si>
    <t>Average ROIC on book capital FY27E–FY36E</t>
  </si>
  <si>
    <t>Book ROIC is depressed by Ind-AS cost model: Ecoworld enters at acquisition cost but legacy assets sit far below fair value (book value/unit Rs 231 vs NAV Rs 387).</t>
  </si>
  <si>
    <t>Average spread vs WACC</t>
  </si>
  <si>
    <t>4. Value-enhancement levers (BAV: operating, financing and investment levers)</t>
  </si>
  <si>
    <t>Lever</t>
  </si>
  <si>
    <t>Δ EV (Rs cr)</t>
  </si>
  <si>
    <t>Δ value / unit (Rs)</t>
  </si>
  <si>
    <t>+1pp portfolio occupancy (90% flow-through)</t>
  </si>
  <si>
    <t>FY29E revenue x 1pp/occupancy, taxed, capitalised at WACC − g</t>
  </si>
  <si>
    <t>−100bp operating-expense ratio</t>
  </si>
  <si>
    <t>Margin gain on FY29E revenue, capitalised</t>
  </si>
  <si>
    <t>−50bp WACC</t>
  </si>
  <si>
    <t>Closed-form re-valuation of the DCF</t>
  </si>
  <si>
    <t>Acquire Rs 1,000 cr at 7.4% cap, g = terminal</t>
  </si>
  <si>
    <t>NPV = A x (IRR − WACC)/(WACC − g); thin spread → discipline matters</t>
  </si>
  <si>
    <t>5. Capital-structure lever – WACC at different debt ratios (CoE re-levered, Kd steps up above 30% D/V)</t>
  </si>
  <si>
    <t>D/V</t>
  </si>
  <si>
    <t>Re-levered β</t>
  </si>
  <si>
    <t>Pre-tax Kd</t>
  </si>
  <si>
    <t>Minimum WACC sits near the target ratio; leverage beyond ~35% LTV raises Kd and equity risk faster than the tax shield helps.</t>
  </si>
  <si>
    <t>Three scenarios valued with the same compact FCFF engine as the Monte Carlo · probability-weighted value · two decision trees</t>
  </si>
  <si>
    <t>1. Scenario definitions and valuation (shocks applied to the base case)</t>
  </si>
  <si>
    <t>Scenario</t>
  </si>
  <si>
    <t>Probability</t>
  </si>
  <si>
    <t>Δ occupancy (pp, FY28+)</t>
  </si>
  <si>
    <t>Δ revenue growth FY30+</t>
  </si>
  <si>
    <t>Δ EBITDA margin</t>
  </si>
  <si>
    <t>Δ WACC</t>
  </si>
  <si>
    <t>Δ terminal g</t>
  </si>
  <si>
    <t>PV of TV</t>
  </si>
  <si>
    <t>Bear – softer leasing, rates stay high</t>
  </si>
  <si>
    <t>Base</t>
  </si>
  <si>
    <t>Bull – GCC demand, rate cuts, tax-regime savings</t>
  </si>
  <si>
    <t>Base-case arrays used by the engine (linked)</t>
  </si>
  <si>
    <t>Depreciation</t>
  </si>
  <si>
    <t>Tax rate</t>
  </si>
  <si>
    <t>Capex + increase in NWC</t>
  </si>
  <si>
    <t>Fraction of year counted</t>
  </si>
  <si>
    <t>Discount period</t>
  </si>
  <si>
    <t>Portfolio occupancy FY29E (base for occupancy shock)</t>
  </si>
  <si>
    <t>Probability-weighted value per unit (Rs)</t>
  </si>
  <si>
    <t>Check: probabilities sum to 100%</t>
  </si>
  <si>
    <t>Expected upside vs current price</t>
  </si>
  <si>
    <t>Standard deviation of scenario values</t>
  </si>
  <si>
    <t>2. Decision tree A – hedge the floating-rate debt? (90% of debt is floating; RBI hiked 25bp on 7-Oct-2026)</t>
  </si>
  <si>
    <t>Average gross debt FY28E (Rs cr)</t>
  </si>
  <si>
    <t>Floating-rate share of debt</t>
  </si>
  <si>
    <t>Share of floating debt fixed under hedge</t>
  </si>
  <si>
    <t>Hedge premium over floating (p.a.)</t>
  </si>
  <si>
    <t>Stable growth (DDM)</t>
  </si>
  <si>
    <t>Rate state (12-month move)</t>
  </si>
  <si>
    <t>Δ rate</t>
  </si>
  <si>
    <t>Stay floating: Δ interest (Rs cr)</t>
  </si>
  <si>
    <t>Hedge: Δ interest (Rs cr)</t>
  </si>
  <si>
    <t>Stay: value / unit (Rs)</t>
  </si>
  <si>
    <t>Hedge: value / unit (Rs)</t>
  </si>
  <si>
    <t>Further hikes</t>
  </si>
  <si>
    <t>Rates flat</t>
  </si>
  <si>
    <t>Cuts</t>
  </si>
  <si>
    <t>Expected value per unit (Rs)</t>
  </si>
  <si>
    <t>Preferred branch</t>
  </si>
  <si>
    <t>Hedging pays only if the hike probability is high enough to outweigh the premium; flat-rate state shows the pure cost of insurance.</t>
  </si>
  <si>
    <t>3. Decision tree B – deploy the Rs 4,300 cr 'dry powder' (35% LTV headroom after BKC)?</t>
  </si>
  <si>
    <t>Deployable capital (Rs cr)</t>
  </si>
  <si>
    <t>Mgmt: ~Rs 43 bn dry powder at 35% LTV (Q1 FY27 call)</t>
  </si>
  <si>
    <t>Transaction costs (% of price)</t>
  </si>
  <si>
    <t>Cash yield forgone / earned on idle cash</t>
  </si>
  <si>
    <t>Acquisition outcome (value ÷ price paid)</t>
  </si>
  <si>
    <t>Value / price</t>
  </si>
  <si>
    <t>Acquire: Δ value (Rs cr)</t>
  </si>
  <si>
    <t>Priced below fair value (sponsor discount, lease-up)</t>
  </si>
  <si>
    <t>Fairly priced</t>
  </si>
  <si>
    <t>Overpaid / lease-up misses</t>
  </si>
  <si>
    <t>Decision branch</t>
  </si>
  <si>
    <t>Expected Δ value (Rs cr)</t>
  </si>
  <si>
    <t>Acquire</t>
  </si>
  <si>
    <t>Prepay debt</t>
  </si>
  <si>
    <t>Hold cash</t>
  </si>
  <si>
    <t>Acquisitions only add value when bought at a discount to intrinsic value – the 3.6% discount achieved on BKC is the real source of accretion.</t>
  </si>
  <si>
    <t>MONTE CARLO SIMULATION – 500 trials of the compact FCFF engine (BAV: simulations)</t>
  </si>
  <si>
    <t>Uniform draws are stored as inputs (seed 42) so results are reproducible; replace columns C:G with =RAND() and paste values to resample</t>
  </si>
  <si>
    <t>1. Distribution assumptions (standard deviations of shocks)</t>
  </si>
  <si>
    <t>Occupancy shock, FY28+ (pp)</t>
  </si>
  <si>
    <t>Revenue growth shock FY30+ (p.a.)</t>
  </si>
  <si>
    <t>EBITDA margin shock</t>
  </si>
  <si>
    <t>WACC shock</t>
  </si>
  <si>
    <t>Terminal growth shock</t>
  </si>
  <si>
    <t>Correlation: occupancy ↔ revenue growth</t>
  </si>
  <si>
    <t>2. Results (value per unit, Rs)</t>
  </si>
  <si>
    <t>Standard deviation</t>
  </si>
  <si>
    <t>5th percentile</t>
  </si>
  <si>
    <t>10th percentile</t>
  </si>
  <si>
    <t>25th percentile</t>
  </si>
  <si>
    <t>75th percentile</t>
  </si>
  <si>
    <t>90th percentile</t>
  </si>
  <si>
    <t>95th percentile</t>
  </si>
  <si>
    <t>Probability value &gt; current price</t>
  </si>
  <si>
    <t>Probability value &gt; reported NAV</t>
  </si>
  <si>
    <t>Trials</t>
  </si>
  <si>
    <t>Check: zero-shock row vs DCF value</t>
  </si>
  <si>
    <t>3. Simulation table</t>
  </si>
  <si>
    <t>Trial</t>
  </si>
  <si>
    <t>U1 occ</t>
  </si>
  <si>
    <t>U2 growth</t>
  </si>
  <si>
    <t>U3 margin</t>
  </si>
  <si>
    <t>U4 WACC</t>
  </si>
  <si>
    <t>U5 g</t>
  </si>
  <si>
    <t>z1</t>
  </si>
  <si>
    <t>z2</t>
  </si>
  <si>
    <t>z3</t>
  </si>
  <si>
    <t>z4</t>
  </si>
  <si>
    <t>z5</t>
  </si>
  <si>
    <t>Δ occ</t>
  </si>
  <si>
    <t>Δ growth</t>
  </si>
  <si>
    <t>Δ margin</t>
  </si>
  <si>
    <t>Δ g</t>
  </si>
  <si>
    <t>FCFF FY27E</t>
  </si>
  <si>
    <t>FCFF FY28E</t>
  </si>
  <si>
    <t>FCFF FY29E</t>
  </si>
  <si>
    <t>FCFF FY30E</t>
  </si>
  <si>
    <t>FCFF FY31E</t>
  </si>
  <si>
    <t>FCFF FY32E</t>
  </si>
  <si>
    <t>FCFF FY33E</t>
  </si>
  <si>
    <t>FCFF FY34E</t>
  </si>
  <si>
    <t>FCFF FY35E</t>
  </si>
  <si>
    <t>FCFF FY36E</t>
  </si>
  <si>
    <t>Value / unit</t>
  </si>
  <si>
    <t>Histogram bin (Rs/unit)</t>
  </si>
  <si>
    <t>Base (zero shock)</t>
  </si>
  <si>
    <t>REAL OPTIONS (BAV Ch. 28-style contingent-claim valuation) – development and acquisition-pipeline optionality</t>
  </si>
  <si>
    <t>Not in the base DCF: the DCF includes only committed area additions through FY29E. Black-Scholes call with cost-of-delay (dividend-yield) adjustment</t>
  </si>
  <si>
    <t>1. Option to develop the 4.0 msf of future development potential</t>
  </si>
  <si>
    <t>Development potential ('000 sq ft)</t>
  </si>
  <si>
    <t>Q1 FY27 press release: 4.0M sf future development potential</t>
  </si>
  <si>
    <t>All-in development cost (Rs/sq ft)</t>
  </si>
  <si>
    <t>ASSUMPTION – construction + soft costs on owned land</t>
  </si>
  <si>
    <t>New-lease rent (Rs/sq ft/month)</t>
  </si>
  <si>
    <t>Q1 FY27 average rent on gross leasing Rs 100</t>
  </si>
  <si>
    <t>Stabilised occupancy</t>
  </si>
  <si>
    <t>Management targets 96–97% over two years</t>
  </si>
  <si>
    <t>NOI margin on rent</t>
  </si>
  <si>
    <t>ASSUMPTION – consolidated NOI/OLR ~107% incl. CAM margin; development NOI haircut</t>
  </si>
  <si>
    <t>Capitalisation rate on completed asset</t>
  </si>
  <si>
    <t>Construction &amp; lease-up lag after commitment (years)</t>
  </si>
  <si>
    <t>Time to decide (option life, years)</t>
  </si>
  <si>
    <t>ASSUMPTION – land bank optionality</t>
  </si>
  <si>
    <t>Volatility of project value (σ)</t>
  </si>
  <si>
    <t>Annualised unit-price volatility of listed office REITs ~15–25%</t>
  </si>
  <si>
    <t>Risk-free rate</t>
  </si>
  <si>
    <t>G-sec 10Y</t>
  </si>
  <si>
    <t>Cost of delay (annual yield forgone)</t>
  </si>
  <si>
    <t>≈ NOI yield lost by waiting (Damodaran: dividend-yield analogue)</t>
  </si>
  <si>
    <t>REIT economic share of development land</t>
  </si>
  <si>
    <t>ASSUMPTION – blend of 100% (N1, K1, G2) and 87%/50% assets</t>
  </si>
  <si>
    <t>Completed value per sq ft (Rs)</t>
  </si>
  <si>
    <t>Underlying S₀ = PV of completed value (Rs cr)</t>
  </si>
  <si>
    <t>Discounted over the construction lag at WACC</t>
  </si>
  <si>
    <t>Strike K = development cost (Rs cr)</t>
  </si>
  <si>
    <t>Intrinsic NPV if built now (S₀ − K)</t>
  </si>
  <si>
    <t>d₁</t>
  </si>
  <si>
    <t>d₂</t>
  </si>
  <si>
    <t>Option value (Rs cr) = S₀e^(−yT)N(d₁) − Ke^(−rT)N(d₂)</t>
  </si>
  <si>
    <t>Time value of the option (Rs cr)</t>
  </si>
  <si>
    <t>Value from waiting/flexibility beyond immediate NPV</t>
  </si>
  <si>
    <t>Option value attributable to unitholders (Rs cr)</t>
  </si>
  <si>
    <t>2. Sensitivity of option value (Rs cr, REIT share) – volatility (down) × time to decide (across)</t>
  </si>
  <si>
    <t>σ ↓ / T →</t>
  </si>
  <si>
    <t>3. Acquisition-pipeline option (ROFO / sponsor assets at a discount to GAV)</t>
  </si>
  <si>
    <t>Dry powder at 35% LTV (Rs cr)</t>
  </si>
  <si>
    <t>Expected discount to independent valuations captured</t>
  </si>
  <si>
    <t>BKC deal: 3.59% below average of two independent valuations (Aug-2026 filing)</t>
  </si>
  <si>
    <t>Probability of full deployment within 3 years</t>
  </si>
  <si>
    <t>Value of pipeline option (Rs cr)</t>
  </si>
  <si>
    <t>Value = capacity x expected pricing edge x probability (no edge, no value)</t>
  </si>
  <si>
    <t>4. Total optionality per unit</t>
  </si>
  <si>
    <t>Gross option value (Rs/unit)</t>
  </si>
  <si>
    <t>After execution haircut and include-switch (Rs/unit)</t>
  </si>
  <si>
    <t>Added to blended target price</t>
  </si>
  <si>
    <t>MODEL INTEGRITY CHECKS</t>
  </si>
  <si>
    <t>PASS = within tolerance · CHECK = review · Reconciles the rebuilt revenue engine to the user's original model</t>
  </si>
  <si>
    <t>Check</t>
  </si>
  <si>
    <t>Model value</t>
  </si>
  <si>
    <t>Reference</t>
  </si>
  <si>
    <t>Tolerance</t>
  </si>
  <si>
    <t>Status</t>
  </si>
  <si>
    <t>Comment</t>
  </si>
  <si>
    <t>Revenue FY27E vs user model (Quarterly-data AS3)</t>
  </si>
  <si>
    <t>Rev_Build reproduces Revenue Estimation T16/10</t>
  </si>
  <si>
    <t>Revenue FY28E vs user model (AT3)</t>
  </si>
  <si>
    <t>Revenue FY29E vs user model (AU3)</t>
  </si>
  <si>
    <t>EBITDA FY27E vs user model</t>
  </si>
  <si>
    <t>EBITDA FY28E vs user model</t>
  </si>
  <si>
    <t>EBITDA FY29E vs user model</t>
  </si>
  <si>
    <t>Net profit FY27E on user's interest vs user model</t>
  </si>
  <si>
    <t>Net profit FY29E on user's interest vs user model</t>
  </si>
  <si>
    <t>Depreciation FY27E vs user model</t>
  </si>
  <si>
    <t>EVA-based EV equals DCF EV (identity)</t>
  </si>
  <si>
    <t>Confirms NOPAT, reinvestment and invested-capital roll-forward are consistent</t>
  </si>
  <si>
    <t>Sensitivity-grid centre equals DCF value per unit</t>
  </si>
  <si>
    <t>Valid when TV method = 1</t>
  </si>
  <si>
    <t>DDM sensitivity centre equals DDM value</t>
  </si>
  <si>
    <t>Scenario engine (base) equals DCF value per unit</t>
  </si>
  <si>
    <t>Compact engine = full model</t>
  </si>
  <si>
    <t>Monte Carlo zero-shock row equals DCF value per unit</t>
  </si>
  <si>
    <t>FY27E DPU equals anchor</t>
  </si>
  <si>
    <t>Calibration constant</t>
  </si>
  <si>
    <t>Valuation weights sum to 100%</t>
  </si>
  <si>
    <t>Scenario probabilities sum to 100%</t>
  </si>
  <si>
    <t>Terminal growth ≤ INR risk-free rate (should be ≤ 0 gap)</t>
  </si>
  <si>
    <t>One-sided: passes when growth is below Rf</t>
  </si>
  <si>
    <t>WACC − terminal growth ≥ 2pp</t>
  </si>
  <si>
    <t>One-sided: passes when spread ≥ 2pp</t>
  </si>
  <si>
    <t>Implied exit cap rate within 6.5%–8.5% (market range)</t>
  </si>
  <si>
    <t>Terminal value consistent with market cap rates</t>
  </si>
  <si>
    <t>Net debt / DCF EV below 35% LTV cap</t>
  </si>
  <si>
    <t>One-sided</t>
  </si>
  <si>
    <t>Pro-forma net debt vs management pro-forma (Rs 15,363 cr incl. NCP share)</t>
  </si>
  <si>
    <t>Mgmt figure includes NCP at-share debt (~Rs 1,700 cr) – difference expected</t>
  </si>
  <si>
    <t>Peer-implied market EV vs DCF EV (reasonableness)</t>
  </si>
  <si>
    <t>Within ±Rs 12,000 cr – informational</t>
  </si>
  <si>
    <t>OVERALL STATUS</t>
  </si>
  <si>
    <t>FCFF DISCOUNTED CASH FLOW – enterprise value → value per unit</t>
  </si>
  <si>
    <t>HISTORICAL ANALYSIS &amp; ACCOUNTING QUALITY  – what to trust, what to normalise</t>
  </si>
  <si>
    <t xml:space="preserve">COST OF CAPITAL – Damodaran INR approach </t>
  </si>
  <si>
    <t>NDCF / DIVIDEND DISCOUNT MODEL– equity-level valuation per unit</t>
  </si>
  <si>
    <t>RELATIVE VALUATION – peer REIT multiples : equity multiples (P/NAV, yield) and value multiple (EV/NOI)</t>
  </si>
  <si>
    <t>SCENARIO ANALYSIS &amp; DECISION TREES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</si>
</sst>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00\);\-"/>
    <numFmt numFmtId="165" formatCode="0.0%;\(0.0%\);\-"/>
    <numFmt numFmtId="166" formatCode="#,##0;\(#,##0\);\-"/>
    <numFmt numFmtId="167" formatCode="0.00%;\(0.00%\);\-"/>
    <numFmt numFmtId="168" formatCode="0.0\x"/>
    <numFmt numFmtId="169" formatCode="dd\-mmm\-yyyy"/>
    <numFmt numFmtId="170" formatCode="0.000"/>
    <numFmt numFmtId="171" formatCode="#,##0.0;\(#,##0.0\);\-"/>
    <numFmt numFmtId="172" formatCode="0.00000"/>
    <numFmt numFmtId="173" formatCode="0.0000"/>
  </numFmts>
  <fonts count="15" x14ac:knownFonts="1">
    <font>
      <sz val="11"/>
      <color theme="1"/>
      <name val="Calibri"/>
      <family val="2"/>
      <charset val="1"/>
    </font>
    <font>
      <b/>
      <sz val="11"/>
      <color rgb="FF000000"/>
      <name val="Arial"/>
      <family val="2"/>
    </font>
    <font>
      <b/>
      <sz val="22"/>
      <color rgb="FF000000"/>
      <name val="Arial"/>
      <family val="2"/>
    </font>
    <font>
      <b/>
      <sz val="14"/>
      <color rgb="FF000000"/>
      <name val="Arial"/>
      <family val="2"/>
    </font>
    <font>
      <b/>
      <i/>
      <sz val="10"/>
      <color rgb="FF000000"/>
      <name val="Arial"/>
      <family val="2"/>
    </font>
    <font>
      <sz val="11"/>
      <color rgb="FF000000"/>
      <name val="Arial"/>
      <family val="2"/>
    </font>
    <font>
      <b/>
      <sz val="10"/>
      <color rgb="FF000000"/>
      <name val="Arial"/>
      <family val="2"/>
    </font>
    <font>
      <b/>
      <u/>
      <sz val="10"/>
      <color rgb="FF000000"/>
      <name val="Arial"/>
      <family val="2"/>
    </font>
    <font>
      <sz val="10"/>
      <color rgb="FF000000"/>
      <name val="Arial"/>
      <family val="2"/>
    </font>
    <font>
      <i/>
      <sz val="10"/>
      <color rgb="FF000000"/>
      <name val="Arial"/>
      <family val="2"/>
    </font>
    <font>
      <b/>
      <i/>
      <sz val="9"/>
      <color rgb="FF000000"/>
      <name val="Arial"/>
      <family val="2"/>
    </font>
    <font>
      <b/>
      <sz val="12"/>
      <color rgb="FF000000"/>
      <name val="Arial"/>
      <family val="2"/>
    </font>
    <font>
      <sz val="10"/>
      <color rgb="FF0000FF"/>
      <name val="Arial"/>
      <family val="2"/>
    </font>
    <font>
      <sz val="10"/>
      <color rgb="FF00B050"/>
      <name val="Arial"/>
      <family val="2"/>
    </font>
    <font>
      <b/>
      <sz val="10"/>
      <color rgb="FF0000FF"/>
      <name val="Arial"/>
      <family val="2"/>
    </font>
  </fonts>
  <fills count="2">
    <fill>
      <patternFill patternType="none"/>
    </fill>
    <fill>
      <patternFill patternType="gray125"/>
    </fill>
  </fills>
  <borders count="4">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s>
  <cellStyleXfs count="1">
    <xf numFmtId="0" fontId="0" fillId="0" borderId="0"/>
  </cellStyleXfs>
  <cellXfs count="75">
    <xf numFmtId="0" fontId="0" fillId="0" borderId="0" xfId="0"/>
    <xf numFmtId="0" fontId="8" fillId="0" borderId="0" xfId="0" applyFont="1" applyAlignment="1">
      <alignment vertical="top" wrapText="1"/>
    </xf>
    <xf numFmtId="0" fontId="1" fillId="0" borderId="1" xfId="0" applyFont="1" applyBorder="1"/>
    <xf numFmtId="0" fontId="2" fillId="0" borderId="1" xfId="0" applyFont="1" applyBorder="1"/>
    <xf numFmtId="0" fontId="3" fillId="0" borderId="1" xfId="0" applyFont="1" applyBorder="1"/>
    <xf numFmtId="0" fontId="4" fillId="0" borderId="1" xfId="0" applyFont="1" applyBorder="1"/>
    <xf numFmtId="0" fontId="5" fillId="0" borderId="0" xfId="0" applyFont="1"/>
    <xf numFmtId="0" fontId="6" fillId="0" borderId="1" xfId="0" applyFont="1" applyBorder="1"/>
    <xf numFmtId="0" fontId="6" fillId="0" borderId="1" xfId="0" applyFont="1" applyBorder="1" applyAlignment="1">
      <alignment horizontal="center" vertical="center" wrapText="1"/>
    </xf>
    <xf numFmtId="0" fontId="7" fillId="0" borderId="0" xfId="0" applyFont="1"/>
    <xf numFmtId="0" fontId="8" fillId="0" borderId="0" xfId="0" applyFont="1"/>
    <xf numFmtId="0" fontId="9" fillId="0" borderId="0" xfId="0" applyFont="1"/>
    <xf numFmtId="0" fontId="6" fillId="0" borderId="2" xfId="0" applyFont="1" applyBorder="1"/>
    <xf numFmtId="0" fontId="8" fillId="0" borderId="0" xfId="0" applyFont="1" applyAlignment="1">
      <alignment vertical="top" wrapText="1"/>
    </xf>
    <xf numFmtId="0" fontId="10" fillId="0" borderId="1" xfId="0" applyFont="1" applyBorder="1"/>
    <xf numFmtId="164" fontId="8" fillId="0" borderId="0" xfId="0" applyNumberFormat="1" applyFont="1"/>
    <xf numFmtId="165" fontId="8" fillId="0" borderId="0" xfId="0" applyNumberFormat="1" applyFont="1"/>
    <xf numFmtId="166" fontId="8" fillId="0" borderId="0" xfId="0" applyNumberFormat="1" applyFont="1"/>
    <xf numFmtId="167" fontId="8" fillId="0" borderId="0" xfId="0" applyNumberFormat="1" applyFont="1"/>
    <xf numFmtId="0" fontId="6" fillId="0" borderId="3" xfId="0" applyFont="1" applyBorder="1"/>
    <xf numFmtId="0" fontId="5" fillId="0" borderId="3" xfId="0" applyFont="1" applyBorder="1"/>
    <xf numFmtId="165" fontId="6" fillId="0" borderId="3" xfId="0" applyNumberFormat="1" applyFont="1" applyBorder="1"/>
    <xf numFmtId="164" fontId="6" fillId="0" borderId="3" xfId="0" applyNumberFormat="1" applyFont="1" applyBorder="1"/>
    <xf numFmtId="0" fontId="6" fillId="0" borderId="0" xfId="0" applyFont="1"/>
    <xf numFmtId="164" fontId="11" fillId="0" borderId="2" xfId="0" applyNumberFormat="1" applyFont="1" applyBorder="1"/>
    <xf numFmtId="165" fontId="6" fillId="0" borderId="0" xfId="0" applyNumberFormat="1" applyFont="1"/>
    <xf numFmtId="0" fontId="6" fillId="0" borderId="0" xfId="0" applyFont="1" applyAlignment="1">
      <alignment horizontal="right"/>
    </xf>
    <xf numFmtId="168" fontId="8" fillId="0" borderId="0" xfId="0" applyNumberFormat="1" applyFont="1"/>
    <xf numFmtId="166" fontId="12" fillId="0" borderId="0" xfId="0" applyNumberFormat="1" applyFont="1"/>
    <xf numFmtId="165" fontId="12" fillId="0" borderId="0" xfId="0" applyNumberFormat="1" applyFont="1"/>
    <xf numFmtId="164" fontId="12" fillId="0" borderId="0" xfId="0" applyNumberFormat="1" applyFont="1"/>
    <xf numFmtId="168" fontId="12" fillId="0" borderId="0" xfId="0" applyNumberFormat="1" applyFont="1"/>
    <xf numFmtId="169" fontId="8" fillId="0" borderId="0" xfId="0" applyNumberFormat="1" applyFont="1"/>
    <xf numFmtId="170" fontId="8" fillId="0" borderId="0" xfId="0" applyNumberFormat="1" applyFont="1"/>
    <xf numFmtId="171" fontId="8" fillId="0" borderId="0" xfId="0" applyNumberFormat="1" applyFont="1"/>
    <xf numFmtId="165" fontId="13" fillId="0" borderId="0" xfId="0" applyNumberFormat="1" applyFont="1"/>
    <xf numFmtId="167" fontId="13" fillId="0" borderId="0" xfId="0" applyNumberFormat="1" applyFont="1"/>
    <xf numFmtId="164" fontId="13" fillId="0" borderId="0" xfId="0" applyNumberFormat="1" applyFont="1"/>
    <xf numFmtId="166" fontId="13" fillId="0" borderId="0" xfId="0" applyNumberFormat="1" applyFont="1"/>
    <xf numFmtId="172" fontId="13" fillId="0" borderId="0" xfId="0" applyNumberFormat="1" applyFont="1"/>
    <xf numFmtId="1" fontId="13" fillId="0" borderId="0" xfId="0" applyNumberFormat="1" applyFont="1"/>
    <xf numFmtId="171" fontId="6" fillId="0" borderId="0" xfId="0" applyNumberFormat="1" applyFont="1"/>
    <xf numFmtId="173" fontId="13" fillId="0" borderId="0" xfId="0" applyNumberFormat="1" applyFont="1"/>
    <xf numFmtId="171" fontId="13" fillId="0" borderId="0" xfId="0" applyNumberFormat="1" applyFont="1"/>
    <xf numFmtId="2" fontId="13" fillId="0" borderId="0" xfId="0" applyNumberFormat="1" applyFont="1"/>
    <xf numFmtId="171" fontId="12" fillId="0" borderId="0" xfId="0" applyNumberFormat="1" applyFont="1"/>
    <xf numFmtId="173" fontId="12" fillId="0" borderId="0" xfId="0" applyNumberFormat="1" applyFont="1"/>
    <xf numFmtId="167" fontId="12" fillId="0" borderId="0" xfId="0" applyNumberFormat="1" applyFont="1"/>
    <xf numFmtId="170" fontId="12" fillId="0" borderId="0" xfId="0" applyNumberFormat="1" applyFont="1"/>
    <xf numFmtId="166" fontId="14" fillId="0" borderId="3" xfId="0" applyNumberFormat="1" applyFont="1" applyBorder="1"/>
    <xf numFmtId="167" fontId="14" fillId="0" borderId="3" xfId="0" applyNumberFormat="1" applyFont="1" applyBorder="1"/>
    <xf numFmtId="166" fontId="14" fillId="0" borderId="0" xfId="0" applyNumberFormat="1" applyFont="1"/>
    <xf numFmtId="171" fontId="14" fillId="0" borderId="0" xfId="0" applyNumberFormat="1" applyFont="1"/>
    <xf numFmtId="167" fontId="6" fillId="0" borderId="0" xfId="0" applyNumberFormat="1" applyFont="1"/>
    <xf numFmtId="1" fontId="9" fillId="0" borderId="0" xfId="0" applyNumberFormat="1" applyFont="1" applyAlignment="1">
      <alignment horizontal="center"/>
    </xf>
    <xf numFmtId="164" fontId="14" fillId="0" borderId="0" xfId="0" applyNumberFormat="1" applyFont="1"/>
    <xf numFmtId="167" fontId="6" fillId="0" borderId="2" xfId="0" applyNumberFormat="1" applyFont="1" applyBorder="1"/>
    <xf numFmtId="167" fontId="1" fillId="0" borderId="2" xfId="0" applyNumberFormat="1" applyFont="1" applyBorder="1"/>
    <xf numFmtId="0" fontId="6" fillId="0" borderId="1" xfId="0" applyFont="1" applyBorder="1" applyAlignment="1">
      <alignment horizontal="center"/>
    </xf>
    <xf numFmtId="1" fontId="8" fillId="0" borderId="0" xfId="0" applyNumberFormat="1" applyFont="1" applyAlignment="1">
      <alignment horizontal="center"/>
    </xf>
    <xf numFmtId="171" fontId="14" fillId="0" borderId="3" xfId="0" applyNumberFormat="1" applyFont="1" applyBorder="1"/>
    <xf numFmtId="166" fontId="6" fillId="0" borderId="2" xfId="0" applyNumberFormat="1" applyFont="1" applyBorder="1"/>
    <xf numFmtId="164" fontId="6" fillId="0" borderId="2" xfId="0" applyNumberFormat="1" applyFont="1" applyBorder="1"/>
    <xf numFmtId="167" fontId="6" fillId="0" borderId="1" xfId="0" applyNumberFormat="1" applyFont="1" applyBorder="1"/>
    <xf numFmtId="167" fontId="6" fillId="0" borderId="1" xfId="0" applyNumberFormat="1" applyFont="1" applyBorder="1" applyAlignment="1">
      <alignment horizontal="right"/>
    </xf>
    <xf numFmtId="168" fontId="6" fillId="0" borderId="3" xfId="0" applyNumberFormat="1" applyFont="1" applyBorder="1"/>
    <xf numFmtId="167" fontId="6" fillId="0" borderId="3" xfId="0" applyNumberFormat="1" applyFont="1" applyBorder="1"/>
    <xf numFmtId="168" fontId="6" fillId="0" borderId="0" xfId="0" applyNumberFormat="1" applyFont="1"/>
    <xf numFmtId="164" fontId="6" fillId="0" borderId="0" xfId="0" applyNumberFormat="1" applyFont="1"/>
    <xf numFmtId="166" fontId="6" fillId="0" borderId="3" xfId="0" applyNumberFormat="1" applyFont="1" applyBorder="1"/>
    <xf numFmtId="166" fontId="6" fillId="0" borderId="0" xfId="0" applyNumberFormat="1" applyFont="1"/>
    <xf numFmtId="0" fontId="6" fillId="0" borderId="1" xfId="0" applyFont="1" applyBorder="1" applyAlignment="1">
      <alignment horizontal="center" wrapText="1"/>
    </xf>
    <xf numFmtId="1" fontId="8" fillId="0" borderId="0" xfId="0" applyNumberFormat="1" applyFont="1"/>
    <xf numFmtId="173" fontId="8" fillId="0" borderId="0" xfId="0" applyNumberFormat="1" applyFont="1"/>
    <xf numFmtId="0" fontId="6" fillId="0" borderId="0" xfId="0" applyFont="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00B050"/>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Valuation football field (Rs per unit)</a:t>
            </a:r>
          </a:p>
        </c:rich>
      </c:tx>
      <c:overlay val="0"/>
      <c:spPr>
        <a:noFill/>
        <a:ln w="0">
          <a:noFill/>
        </a:ln>
      </c:spPr>
    </c:title>
    <c:autoTitleDeleted val="0"/>
    <c:plotArea>
      <c:layout/>
      <c:barChart>
        <c:barDir val="bar"/>
        <c:grouping val="stacked"/>
        <c:varyColors val="0"/>
        <c:ser>
          <c:idx val="0"/>
          <c:order val="0"/>
          <c:tx>
            <c:strRef>
              <c:f>Summary!$C$34</c:f>
              <c:strCache>
                <c:ptCount val="1"/>
                <c:pt idx="0">
                  <c:v>Low</c:v>
                </c:pt>
              </c:strCache>
            </c:strRef>
          </c:tx>
          <c:spPr>
            <a:no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Summary!$B$35:$B$41</c:f>
              <c:strCache>
                <c:ptCount val="7"/>
                <c:pt idx="0">
                  <c:v>DCF (WACC ±0.5pp, g ±0.5pp)</c:v>
                </c:pt>
                <c:pt idx="1">
                  <c:v>DDM (CoE ±0.5pp, g ±0.5pp)</c:v>
                </c:pt>
                <c:pt idx="2">
                  <c:v>NAV (cap rate ±25bp)</c:v>
                </c:pt>
                <c:pt idx="3">
                  <c:v>Relative (peer min–max)</c:v>
                </c:pt>
                <c:pt idx="4">
                  <c:v>Scenarios (bear – bull)</c:v>
                </c:pt>
                <c:pt idx="5">
                  <c:v>Monte Carlo (P10 – P90)</c:v>
                </c:pt>
                <c:pt idx="6">
                  <c:v>52-week trading range</c:v>
                </c:pt>
              </c:strCache>
            </c:strRef>
          </c:cat>
          <c:val>
            <c:numRef>
              <c:f>Summary!$C$35:$C$41</c:f>
              <c:numCache>
                <c:formatCode>#,##0;\(#,##0\);\-</c:formatCode>
                <c:ptCount val="7"/>
                <c:pt idx="0">
                  <c:v>273.21523316455944</c:v>
                </c:pt>
                <c:pt idx="1">
                  <c:v>348.93580729690467</c:v>
                </c:pt>
                <c:pt idx="2">
                  <c:v>302.9327495315876</c:v>
                </c:pt>
                <c:pt idx="3">
                  <c:v>340.40995104452043</c:v>
                </c:pt>
                <c:pt idx="4">
                  <c:v>223.18443011922349</c:v>
                </c:pt>
                <c:pt idx="5">
                  <c:v>266.63160626150068</c:v>
                </c:pt>
                <c:pt idx="6">
                  <c:v>311.26</c:v>
                </c:pt>
              </c:numCache>
            </c:numRef>
          </c:val>
          <c:extLst>
            <c:ext xmlns:c16="http://schemas.microsoft.com/office/drawing/2014/chart" uri="{C3380CC4-5D6E-409C-BE32-E72D297353CC}">
              <c16:uniqueId val="{00000000-3899-44D1-9107-22BE9E87D9E6}"/>
            </c:ext>
          </c:extLst>
        </c:ser>
        <c:ser>
          <c:idx val="1"/>
          <c:order val="1"/>
          <c:tx>
            <c:strRef>
              <c:f>Summary!$D$34</c:f>
              <c:strCache>
                <c:ptCount val="1"/>
                <c:pt idx="0">
                  <c:v>Spread</c:v>
                </c:pt>
              </c:strCache>
            </c:strRef>
          </c:tx>
          <c:spPr>
            <a:solidFill>
              <a:srgbClr val="A6A6A6"/>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Summary!$B$35:$B$41</c:f>
              <c:strCache>
                <c:ptCount val="7"/>
                <c:pt idx="0">
                  <c:v>DCF (WACC ±0.5pp, g ±0.5pp)</c:v>
                </c:pt>
                <c:pt idx="1">
                  <c:v>DDM (CoE ±0.5pp, g ±0.5pp)</c:v>
                </c:pt>
                <c:pt idx="2">
                  <c:v>NAV (cap rate ±25bp)</c:v>
                </c:pt>
                <c:pt idx="3">
                  <c:v>Relative (peer min–max)</c:v>
                </c:pt>
                <c:pt idx="4">
                  <c:v>Scenarios (bear – bull)</c:v>
                </c:pt>
                <c:pt idx="5">
                  <c:v>Monte Carlo (P10 – P90)</c:v>
                </c:pt>
                <c:pt idx="6">
                  <c:v>52-week trading range</c:v>
                </c:pt>
              </c:strCache>
            </c:strRef>
          </c:cat>
          <c:val>
            <c:numRef>
              <c:f>Summary!$D$35:$D$41</c:f>
              <c:numCache>
                <c:formatCode>#,##0;\(#,##0\);\-</c:formatCode>
                <c:ptCount val="7"/>
                <c:pt idx="0">
                  <c:v>145.75038995396335</c:v>
                </c:pt>
                <c:pt idx="1">
                  <c:v>90.974249508152525</c:v>
                </c:pt>
                <c:pt idx="2">
                  <c:v>30.466933362819191</c:v>
                </c:pt>
                <c:pt idx="3">
                  <c:v>42.314658126295456</c:v>
                </c:pt>
                <c:pt idx="4">
                  <c:v>237.32336125705595</c:v>
                </c:pt>
                <c:pt idx="5">
                  <c:v>162.10282850793226</c:v>
                </c:pt>
                <c:pt idx="6">
                  <c:v>65.240000000000009</c:v>
                </c:pt>
              </c:numCache>
            </c:numRef>
          </c:val>
          <c:extLst>
            <c:ext xmlns:c16="http://schemas.microsoft.com/office/drawing/2014/chart" uri="{C3380CC4-5D6E-409C-BE32-E72D297353CC}">
              <c16:uniqueId val="{00000001-3899-44D1-9107-22BE9E87D9E6}"/>
            </c:ext>
          </c:extLst>
        </c:ser>
        <c:dLbls>
          <c:showLegendKey val="0"/>
          <c:showVal val="0"/>
          <c:showCatName val="0"/>
          <c:showSerName val="0"/>
          <c:showPercent val="0"/>
          <c:showBubbleSize val="0"/>
        </c:dLbls>
        <c:gapWidth val="150"/>
        <c:overlap val="100"/>
        <c:axId val="84265492"/>
        <c:axId val="35915425"/>
      </c:barChart>
      <c:catAx>
        <c:axId val="84265492"/>
        <c:scaling>
          <c:orientation val="maxMin"/>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5915425"/>
        <c:crosses val="autoZero"/>
        <c:auto val="1"/>
        <c:lblAlgn val="ctr"/>
        <c:lblOffset val="100"/>
        <c:noMultiLvlLbl val="0"/>
      </c:catAx>
      <c:valAx>
        <c:axId val="35915425"/>
        <c:scaling>
          <c:orientation val="minMax"/>
          <c:min val="100"/>
        </c:scaling>
        <c:delete val="0"/>
        <c:axPos val="t"/>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426549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Revenue and EBITDA (Rs crore)</a:t>
            </a:r>
          </a:p>
        </c:rich>
      </c:tx>
      <c:overlay val="0"/>
      <c:spPr>
        <a:noFill/>
        <a:ln w="0">
          <a:noFill/>
        </a:ln>
      </c:spPr>
    </c:title>
    <c:autoTitleDeleted val="0"/>
    <c:plotArea>
      <c:layout/>
      <c:barChart>
        <c:barDir val="col"/>
        <c:grouping val="clustered"/>
        <c:varyColors val="0"/>
        <c:ser>
          <c:idx val="0"/>
          <c:order val="0"/>
          <c:tx>
            <c:v>Revenue</c:v>
          </c:tx>
          <c:spPr>
            <a:solidFill>
              <a:srgbClr val="40404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Fin_Proj!$G$4:$R$4</c:f>
              <c:strCache>
                <c:ptCount val="12"/>
                <c:pt idx="0">
                  <c:v>FY25A</c:v>
                </c:pt>
                <c:pt idx="1">
                  <c:v>FY26A</c:v>
                </c:pt>
                <c:pt idx="2">
                  <c:v>FY27E</c:v>
                </c:pt>
                <c:pt idx="3">
                  <c:v>FY28E</c:v>
                </c:pt>
                <c:pt idx="4">
                  <c:v>FY29E</c:v>
                </c:pt>
                <c:pt idx="5">
                  <c:v>FY30E</c:v>
                </c:pt>
                <c:pt idx="6">
                  <c:v>FY31E</c:v>
                </c:pt>
                <c:pt idx="7">
                  <c:v>FY32E</c:v>
                </c:pt>
                <c:pt idx="8">
                  <c:v>FY33E</c:v>
                </c:pt>
                <c:pt idx="9">
                  <c:v>FY34E</c:v>
                </c:pt>
                <c:pt idx="10">
                  <c:v>FY35E</c:v>
                </c:pt>
                <c:pt idx="11">
                  <c:v>FY36E</c:v>
                </c:pt>
              </c:strCache>
            </c:strRef>
          </c:cat>
          <c:val>
            <c:numRef>
              <c:f>Fin_Proj!$G$24:$R$24</c:f>
              <c:numCache>
                <c:formatCode>#,##0.0;\(#,##0.0\);\-</c:formatCode>
                <c:ptCount val="12"/>
                <c:pt idx="0">
                  <c:v>2385.5920000000001</c:v>
                </c:pt>
                <c:pt idx="1">
                  <c:v>2962.259</c:v>
                </c:pt>
                <c:pt idx="2">
                  <c:v>3936.7405140614114</c:v>
                </c:pt>
                <c:pt idx="3">
                  <c:v>4143.6326245749278</c:v>
                </c:pt>
                <c:pt idx="4">
                  <c:v>4352.1901026887917</c:v>
                </c:pt>
                <c:pt idx="5">
                  <c:v>4569.7996078232318</c:v>
                </c:pt>
                <c:pt idx="6">
                  <c:v>4798.2895882143939</c:v>
                </c:pt>
                <c:pt idx="7">
                  <c:v>5038.2040676251136</c:v>
                </c:pt>
                <c:pt idx="8">
                  <c:v>5290.1142710063696</c:v>
                </c:pt>
                <c:pt idx="9">
                  <c:v>5554.619984556688</c:v>
                </c:pt>
                <c:pt idx="10">
                  <c:v>5832.3509837845222</c:v>
                </c:pt>
                <c:pt idx="11">
                  <c:v>6123.9685329737486</c:v>
                </c:pt>
              </c:numCache>
            </c:numRef>
          </c:val>
          <c:extLst>
            <c:ext xmlns:c16="http://schemas.microsoft.com/office/drawing/2014/chart" uri="{C3380CC4-5D6E-409C-BE32-E72D297353CC}">
              <c16:uniqueId val="{00000000-14E5-4C61-8BF5-042B61736BE1}"/>
            </c:ext>
          </c:extLst>
        </c:ser>
        <c:ser>
          <c:idx val="1"/>
          <c:order val="1"/>
          <c:tx>
            <c:v>EBITDA</c:v>
          </c:tx>
          <c:spPr>
            <a:solidFill>
              <a:srgbClr val="A6A6A6"/>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Fin_Proj!$G$4:$R$4</c:f>
              <c:strCache>
                <c:ptCount val="12"/>
                <c:pt idx="0">
                  <c:v>FY25A</c:v>
                </c:pt>
                <c:pt idx="1">
                  <c:v>FY26A</c:v>
                </c:pt>
                <c:pt idx="2">
                  <c:v>FY27E</c:v>
                </c:pt>
                <c:pt idx="3">
                  <c:v>FY28E</c:v>
                </c:pt>
                <c:pt idx="4">
                  <c:v>FY29E</c:v>
                </c:pt>
                <c:pt idx="5">
                  <c:v>FY30E</c:v>
                </c:pt>
                <c:pt idx="6">
                  <c:v>FY31E</c:v>
                </c:pt>
                <c:pt idx="7">
                  <c:v>FY32E</c:v>
                </c:pt>
                <c:pt idx="8">
                  <c:v>FY33E</c:v>
                </c:pt>
                <c:pt idx="9">
                  <c:v>FY34E</c:v>
                </c:pt>
                <c:pt idx="10">
                  <c:v>FY35E</c:v>
                </c:pt>
                <c:pt idx="11">
                  <c:v>FY36E</c:v>
                </c:pt>
              </c:strCache>
            </c:strRef>
          </c:cat>
          <c:val>
            <c:numRef>
              <c:f>Fin_Proj!$G$29:$R$29</c:f>
              <c:numCache>
                <c:formatCode>#,##0.0;\(#,##0.0\);\-</c:formatCode>
                <c:ptCount val="12"/>
                <c:pt idx="0">
                  <c:v>1729.88396783706</c:v>
                </c:pt>
                <c:pt idx="1">
                  <c:v>2136.3392914630899</c:v>
                </c:pt>
                <c:pt idx="2">
                  <c:v>2776.0208627531651</c:v>
                </c:pt>
                <c:pt idx="3">
                  <c:v>3005.6346487717296</c:v>
                </c:pt>
                <c:pt idx="4">
                  <c:v>3200.1394055053397</c:v>
                </c:pt>
                <c:pt idx="5">
                  <c:v>3360.1463757806073</c:v>
                </c:pt>
                <c:pt idx="6">
                  <c:v>3528.1536945696384</c:v>
                </c:pt>
                <c:pt idx="7">
                  <c:v>3704.5613792981198</c:v>
                </c:pt>
                <c:pt idx="8">
                  <c:v>3889.7894482630263</c:v>
                </c:pt>
                <c:pt idx="9">
                  <c:v>4084.2789206761768</c:v>
                </c:pt>
                <c:pt idx="10">
                  <c:v>4288.4928667099857</c:v>
                </c:pt>
                <c:pt idx="11">
                  <c:v>4502.917510045485</c:v>
                </c:pt>
              </c:numCache>
            </c:numRef>
          </c:val>
          <c:extLst>
            <c:ext xmlns:c16="http://schemas.microsoft.com/office/drawing/2014/chart" uri="{C3380CC4-5D6E-409C-BE32-E72D297353CC}">
              <c16:uniqueId val="{00000001-14E5-4C61-8BF5-042B61736BE1}"/>
            </c:ext>
          </c:extLst>
        </c:ser>
        <c:dLbls>
          <c:showLegendKey val="0"/>
          <c:showVal val="0"/>
          <c:showCatName val="0"/>
          <c:showSerName val="0"/>
          <c:showPercent val="0"/>
          <c:showBubbleSize val="0"/>
        </c:dLbls>
        <c:gapWidth val="150"/>
        <c:axId val="75665630"/>
        <c:axId val="13713949"/>
      </c:barChart>
      <c:catAx>
        <c:axId val="7566563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3713949"/>
        <c:crosses val="autoZero"/>
        <c:auto val="1"/>
        <c:lblAlgn val="ctr"/>
        <c:lblOffset val="100"/>
        <c:noMultiLvlLbl val="0"/>
      </c:catAx>
      <c:valAx>
        <c:axId val="13713949"/>
        <c:scaling>
          <c:orientation val="minMax"/>
        </c:scaling>
        <c:delete val="0"/>
        <c:axPos val="l"/>
        <c:majorGridlines>
          <c:spPr>
            <a:ln w="9360">
              <a:solidFill>
                <a:srgbClr val="878787"/>
              </a:solidFill>
              <a:round/>
            </a:ln>
          </c:spPr>
        </c:majorGridlines>
        <c:numFmt formatCode="#,##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566563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Distribution of value per unit (bin lower bound, Rs)</a:t>
            </a:r>
          </a:p>
        </c:rich>
      </c:tx>
      <c:overlay val="0"/>
      <c:spPr>
        <a:noFill/>
        <a:ln w="0">
          <a:noFill/>
        </a:ln>
      </c:spPr>
    </c:title>
    <c:autoTitleDeleted val="0"/>
    <c:plotArea>
      <c:layout/>
      <c:barChart>
        <c:barDir val="col"/>
        <c:grouping val="clustered"/>
        <c:varyColors val="0"/>
        <c:ser>
          <c:idx val="0"/>
          <c:order val="0"/>
          <c:tx>
            <c:strRef>
              <c:f>Monte_Carlo!$AG$30</c:f>
              <c:strCache>
                <c:ptCount val="1"/>
                <c:pt idx="0">
                  <c:v>Trials</c:v>
                </c:pt>
              </c:strCache>
            </c:strRef>
          </c:tx>
          <c:spPr>
            <a:solidFill>
              <a:srgbClr val="40404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Monte_Carlo!$AF$31:$AF$54</c:f>
              <c:numCache>
                <c:formatCode>#,##0;\(#,##0\);\-</c:formatCode>
                <c:ptCount val="24"/>
                <c:pt idx="0">
                  <c:v>100</c:v>
                </c:pt>
                <c:pt idx="1">
                  <c:v>125</c:v>
                </c:pt>
                <c:pt idx="2">
                  <c:v>150</c:v>
                </c:pt>
                <c:pt idx="3">
                  <c:v>175</c:v>
                </c:pt>
                <c:pt idx="4">
                  <c:v>200</c:v>
                </c:pt>
                <c:pt idx="5">
                  <c:v>225</c:v>
                </c:pt>
                <c:pt idx="6">
                  <c:v>250</c:v>
                </c:pt>
                <c:pt idx="7">
                  <c:v>275</c:v>
                </c:pt>
                <c:pt idx="8">
                  <c:v>300</c:v>
                </c:pt>
                <c:pt idx="9">
                  <c:v>325</c:v>
                </c:pt>
                <c:pt idx="10">
                  <c:v>350</c:v>
                </c:pt>
                <c:pt idx="11">
                  <c:v>375</c:v>
                </c:pt>
                <c:pt idx="12">
                  <c:v>400</c:v>
                </c:pt>
                <c:pt idx="13">
                  <c:v>425</c:v>
                </c:pt>
                <c:pt idx="14">
                  <c:v>450</c:v>
                </c:pt>
                <c:pt idx="15">
                  <c:v>475</c:v>
                </c:pt>
                <c:pt idx="16">
                  <c:v>500</c:v>
                </c:pt>
                <c:pt idx="17">
                  <c:v>525</c:v>
                </c:pt>
                <c:pt idx="18">
                  <c:v>550</c:v>
                </c:pt>
                <c:pt idx="19">
                  <c:v>575</c:v>
                </c:pt>
                <c:pt idx="20">
                  <c:v>600</c:v>
                </c:pt>
                <c:pt idx="21">
                  <c:v>625</c:v>
                </c:pt>
                <c:pt idx="22">
                  <c:v>650</c:v>
                </c:pt>
                <c:pt idx="23">
                  <c:v>675</c:v>
                </c:pt>
              </c:numCache>
            </c:numRef>
          </c:cat>
          <c:val>
            <c:numRef>
              <c:f>Monte_Carlo!$AG$31:$AG$54</c:f>
              <c:numCache>
                <c:formatCode>#,##0;\(#,##0\);\-</c:formatCode>
                <c:ptCount val="24"/>
                <c:pt idx="0">
                  <c:v>0</c:v>
                </c:pt>
                <c:pt idx="1">
                  <c:v>0</c:v>
                </c:pt>
                <c:pt idx="2">
                  <c:v>0</c:v>
                </c:pt>
                <c:pt idx="3">
                  <c:v>1</c:v>
                </c:pt>
                <c:pt idx="4">
                  <c:v>3</c:v>
                </c:pt>
                <c:pt idx="5">
                  <c:v>22</c:v>
                </c:pt>
                <c:pt idx="6">
                  <c:v>39</c:v>
                </c:pt>
                <c:pt idx="7">
                  <c:v>65</c:v>
                </c:pt>
                <c:pt idx="8">
                  <c:v>84</c:v>
                </c:pt>
                <c:pt idx="9">
                  <c:v>73</c:v>
                </c:pt>
                <c:pt idx="10">
                  <c:v>77</c:v>
                </c:pt>
                <c:pt idx="11">
                  <c:v>49</c:v>
                </c:pt>
                <c:pt idx="12">
                  <c:v>31</c:v>
                </c:pt>
                <c:pt idx="13">
                  <c:v>28</c:v>
                </c:pt>
                <c:pt idx="14">
                  <c:v>13</c:v>
                </c:pt>
                <c:pt idx="15">
                  <c:v>4</c:v>
                </c:pt>
                <c:pt idx="16">
                  <c:v>6</c:v>
                </c:pt>
                <c:pt idx="17">
                  <c:v>1</c:v>
                </c:pt>
                <c:pt idx="18">
                  <c:v>2</c:v>
                </c:pt>
                <c:pt idx="19">
                  <c:v>2</c:v>
                </c:pt>
                <c:pt idx="20">
                  <c:v>0</c:v>
                </c:pt>
                <c:pt idx="21">
                  <c:v>0</c:v>
                </c:pt>
                <c:pt idx="22">
                  <c:v>0</c:v>
                </c:pt>
                <c:pt idx="23">
                  <c:v>0</c:v>
                </c:pt>
              </c:numCache>
            </c:numRef>
          </c:val>
          <c:extLst>
            <c:ext xmlns:c16="http://schemas.microsoft.com/office/drawing/2014/chart" uri="{C3380CC4-5D6E-409C-BE32-E72D297353CC}">
              <c16:uniqueId val="{00000000-963E-482F-876C-19ADC0365588}"/>
            </c:ext>
          </c:extLst>
        </c:ser>
        <c:dLbls>
          <c:showLegendKey val="0"/>
          <c:showVal val="0"/>
          <c:showCatName val="0"/>
          <c:showSerName val="0"/>
          <c:showPercent val="0"/>
          <c:showBubbleSize val="0"/>
        </c:dLbls>
        <c:gapWidth val="150"/>
        <c:axId val="31831853"/>
        <c:axId val="1720572"/>
      </c:barChart>
      <c:catAx>
        <c:axId val="31831853"/>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Rs per unit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720572"/>
        <c:crosses val="autoZero"/>
        <c:auto val="1"/>
        <c:lblAlgn val="ctr"/>
        <c:lblOffset val="100"/>
        <c:noMultiLvlLbl val="0"/>
      </c:catAx>
      <c:valAx>
        <c:axId val="172057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Trials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183185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41</xdr:row>
      <xdr:rowOff>78120</xdr:rowOff>
    </xdr:from>
    <xdr:to>
      <xdr:col>7</xdr:col>
      <xdr:colOff>10440</xdr:colOff>
      <xdr:row>58</xdr:row>
      <xdr:rowOff>79560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20</xdr:row>
      <xdr:rowOff>78120</xdr:rowOff>
    </xdr:from>
    <xdr:to>
      <xdr:col>15</xdr:col>
      <xdr:colOff>166680</xdr:colOff>
      <xdr:row>37</xdr:row>
      <xdr:rowOff>79200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13</xdr:col>
      <xdr:colOff>410400</xdr:colOff>
      <xdr:row>17</xdr:row>
      <xdr:rowOff>32760</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Brookfield_India_REIT_DCF_Model_Plain.xlsx" TargetMode="External"/><Relationship Id="rId13" Type="http://schemas.openxmlformats.org/officeDocument/2006/relationships/hyperlink" Target="Brookfield_India_REIT_DCF_Model_Plain.xlsx" TargetMode="External"/><Relationship Id="rId3" Type="http://schemas.openxmlformats.org/officeDocument/2006/relationships/hyperlink" Target="Brookfield_India_REIT_DCF_Model_Plain.xlsx" TargetMode="External"/><Relationship Id="rId7" Type="http://schemas.openxmlformats.org/officeDocument/2006/relationships/hyperlink" Target="Brookfield_India_REIT_DCF_Model_Plain.xlsx" TargetMode="External"/><Relationship Id="rId12" Type="http://schemas.openxmlformats.org/officeDocument/2006/relationships/hyperlink" Target="Brookfield_India_REIT_DCF_Model_Plain.xlsx" TargetMode="External"/><Relationship Id="rId2" Type="http://schemas.openxmlformats.org/officeDocument/2006/relationships/hyperlink" Target="Brookfield_India_REIT_DCF_Model_Plain.xlsx" TargetMode="External"/><Relationship Id="rId1" Type="http://schemas.openxmlformats.org/officeDocument/2006/relationships/hyperlink" Target="Brookfield_India_REIT_DCF_Model_Plain.xlsx" TargetMode="External"/><Relationship Id="rId6" Type="http://schemas.openxmlformats.org/officeDocument/2006/relationships/hyperlink" Target="Brookfield_India_REIT_DCF_Model_Plain.xlsx" TargetMode="External"/><Relationship Id="rId11" Type="http://schemas.openxmlformats.org/officeDocument/2006/relationships/hyperlink" Target="Brookfield_India_REIT_DCF_Model_Plain.xlsx" TargetMode="External"/><Relationship Id="rId5" Type="http://schemas.openxmlformats.org/officeDocument/2006/relationships/hyperlink" Target="Brookfield_India_REIT_DCF_Model_Plain.xlsx" TargetMode="External"/><Relationship Id="rId15" Type="http://schemas.openxmlformats.org/officeDocument/2006/relationships/hyperlink" Target="Brookfield_India_REIT_DCF_Model_Plain.xlsx" TargetMode="External"/><Relationship Id="rId10" Type="http://schemas.openxmlformats.org/officeDocument/2006/relationships/hyperlink" Target="Brookfield_India_REIT_DCF_Model_Plain.xlsx" TargetMode="External"/><Relationship Id="rId4" Type="http://schemas.openxmlformats.org/officeDocument/2006/relationships/hyperlink" Target="Brookfield_India_REIT_DCF_Model_Plain.xlsx" TargetMode="External"/><Relationship Id="rId9" Type="http://schemas.openxmlformats.org/officeDocument/2006/relationships/hyperlink" Target="Brookfield_India_REIT_DCF_Model_Plain.xlsx" TargetMode="External"/><Relationship Id="rId14" Type="http://schemas.openxmlformats.org/officeDocument/2006/relationships/hyperlink" Target="Brookfield_India_REIT_DCF_Model_Plain.xlsx"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39"/>
  <sheetViews>
    <sheetView topLeftCell="A17" zoomScale="90" zoomScaleNormal="90" workbookViewId="0">
      <selection activeCell="C21" sqref="C21"/>
    </sheetView>
  </sheetViews>
  <sheetFormatPr defaultColWidth="8.6640625" defaultRowHeight="14.4" x14ac:dyDescent="0.3"/>
  <cols>
    <col min="1" max="1" width="2" customWidth="1"/>
    <col min="2" max="2" width="22" customWidth="1"/>
    <col min="3" max="3" width="92" customWidth="1"/>
    <col min="4" max="4" width="72" customWidth="1"/>
  </cols>
  <sheetData>
    <row r="1" spans="1:4" x14ac:dyDescent="0.3">
      <c r="A1" s="2"/>
      <c r="B1" s="2"/>
      <c r="C1" s="2"/>
      <c r="D1" s="2"/>
    </row>
    <row r="2" spans="1:4" ht="28.2" x14ac:dyDescent="0.5">
      <c r="A2" s="2"/>
      <c r="B2" s="3" t="s">
        <v>0</v>
      </c>
      <c r="C2" s="2"/>
      <c r="D2" s="2"/>
    </row>
    <row r="3" spans="1:4" x14ac:dyDescent="0.3">
      <c r="A3" s="2"/>
      <c r="B3" s="2"/>
      <c r="C3" s="2"/>
      <c r="D3" s="2"/>
    </row>
    <row r="4" spans="1:4" ht="17.399999999999999" x14ac:dyDescent="0.3">
      <c r="A4" s="2"/>
      <c r="B4" s="4" t="s">
        <v>1</v>
      </c>
      <c r="C4" s="2"/>
      <c r="D4" s="2"/>
    </row>
    <row r="5" spans="1:4" x14ac:dyDescent="0.3">
      <c r="A5" s="2"/>
      <c r="B5" s="2"/>
      <c r="C5" s="2"/>
      <c r="D5" s="2"/>
    </row>
    <row r="6" spans="1:4" x14ac:dyDescent="0.3">
      <c r="A6" s="2"/>
      <c r="B6" s="5" t="s">
        <v>2</v>
      </c>
      <c r="C6" s="2"/>
      <c r="D6" s="2"/>
    </row>
    <row r="7" spans="1:4" x14ac:dyDescent="0.3">
      <c r="A7" s="2"/>
      <c r="B7" s="2"/>
      <c r="C7" s="2"/>
      <c r="D7" s="2"/>
    </row>
    <row r="8" spans="1:4" x14ac:dyDescent="0.3">
      <c r="A8" s="2"/>
      <c r="B8" s="2"/>
      <c r="C8" s="2"/>
      <c r="D8" s="2"/>
    </row>
    <row r="9" spans="1:4" x14ac:dyDescent="0.3">
      <c r="A9" s="6"/>
      <c r="B9" s="6"/>
      <c r="C9" s="6"/>
      <c r="D9" s="6"/>
    </row>
    <row r="10" spans="1:4" x14ac:dyDescent="0.3">
      <c r="A10" s="6"/>
      <c r="B10" s="7" t="s">
        <v>3</v>
      </c>
      <c r="C10" s="7"/>
      <c r="D10" s="7"/>
    </row>
    <row r="11" spans="1:4" x14ac:dyDescent="0.3">
      <c r="A11" s="6"/>
      <c r="B11" s="8" t="s">
        <v>4</v>
      </c>
      <c r="C11" s="8" t="s">
        <v>5</v>
      </c>
      <c r="D11" s="8"/>
    </row>
    <row r="12" spans="1:4" x14ac:dyDescent="0.3">
      <c r="A12" s="6"/>
      <c r="B12" s="9" t="s">
        <v>6</v>
      </c>
      <c r="C12" s="10" t="s">
        <v>7</v>
      </c>
      <c r="D12" s="11"/>
    </row>
    <row r="13" spans="1:4" x14ac:dyDescent="0.3">
      <c r="A13" s="6"/>
      <c r="B13" s="9" t="s">
        <v>8</v>
      </c>
      <c r="C13" s="10" t="s">
        <v>9</v>
      </c>
      <c r="D13" s="11"/>
    </row>
    <row r="14" spans="1:4" x14ac:dyDescent="0.3">
      <c r="A14" s="6"/>
      <c r="B14" s="9" t="s">
        <v>10</v>
      </c>
      <c r="C14" s="10" t="s">
        <v>11</v>
      </c>
      <c r="D14" s="11"/>
    </row>
    <row r="15" spans="1:4" x14ac:dyDescent="0.3">
      <c r="A15" s="6"/>
      <c r="B15" s="9" t="s">
        <v>12</v>
      </c>
      <c r="C15" s="10" t="s">
        <v>13</v>
      </c>
      <c r="D15" s="11"/>
    </row>
    <row r="16" spans="1:4" x14ac:dyDescent="0.3">
      <c r="A16" s="6"/>
      <c r="B16" s="9" t="s">
        <v>14</v>
      </c>
      <c r="C16" s="10" t="s">
        <v>15</v>
      </c>
      <c r="D16" s="11"/>
    </row>
    <row r="17" spans="1:4" x14ac:dyDescent="0.3">
      <c r="A17" s="6"/>
      <c r="B17" s="9" t="s">
        <v>16</v>
      </c>
      <c r="C17" s="10" t="s">
        <v>17</v>
      </c>
      <c r="D17" s="11"/>
    </row>
    <row r="18" spans="1:4" x14ac:dyDescent="0.3">
      <c r="A18" s="6"/>
      <c r="B18" s="9" t="s">
        <v>18</v>
      </c>
      <c r="C18" s="10" t="s">
        <v>19</v>
      </c>
      <c r="D18" s="11"/>
    </row>
    <row r="19" spans="1:4" x14ac:dyDescent="0.3">
      <c r="A19" s="6"/>
      <c r="B19" s="9" t="s">
        <v>20</v>
      </c>
      <c r="C19" s="10" t="s">
        <v>21</v>
      </c>
      <c r="D19" s="11"/>
    </row>
    <row r="20" spans="1:4" x14ac:dyDescent="0.3">
      <c r="A20" s="6"/>
      <c r="B20" s="9" t="s">
        <v>22</v>
      </c>
      <c r="C20" s="10" t="s">
        <v>23</v>
      </c>
      <c r="D20" s="11"/>
    </row>
    <row r="21" spans="1:4" x14ac:dyDescent="0.3">
      <c r="A21" s="6"/>
      <c r="B21" s="9" t="s">
        <v>24</v>
      </c>
      <c r="C21" s="10" t="s">
        <v>25</v>
      </c>
      <c r="D21" s="11"/>
    </row>
    <row r="22" spans="1:4" x14ac:dyDescent="0.3">
      <c r="A22" s="6"/>
      <c r="B22" s="9" t="s">
        <v>26</v>
      </c>
      <c r="C22" s="10" t="s">
        <v>27</v>
      </c>
      <c r="D22" s="11"/>
    </row>
    <row r="23" spans="1:4" x14ac:dyDescent="0.3">
      <c r="A23" s="6"/>
      <c r="B23" s="9" t="s">
        <v>28</v>
      </c>
      <c r="C23" s="10" t="s">
        <v>29</v>
      </c>
      <c r="D23" s="11"/>
    </row>
    <row r="24" spans="1:4" x14ac:dyDescent="0.3">
      <c r="A24" s="6"/>
      <c r="B24" s="9" t="s">
        <v>30</v>
      </c>
      <c r="C24" s="10" t="s">
        <v>31</v>
      </c>
      <c r="D24" s="11"/>
    </row>
    <row r="25" spans="1:4" x14ac:dyDescent="0.3">
      <c r="A25" s="6"/>
      <c r="B25" s="9" t="s">
        <v>32</v>
      </c>
      <c r="C25" s="10" t="s">
        <v>33</v>
      </c>
      <c r="D25" s="11"/>
    </row>
    <row r="26" spans="1:4" x14ac:dyDescent="0.3">
      <c r="A26" s="6"/>
      <c r="B26" s="9" t="s">
        <v>34</v>
      </c>
      <c r="C26" s="10" t="s">
        <v>35</v>
      </c>
      <c r="D26" s="11"/>
    </row>
    <row r="27" spans="1:4" x14ac:dyDescent="0.3">
      <c r="A27" s="6"/>
      <c r="B27" s="6"/>
      <c r="C27" s="6"/>
      <c r="D27" s="6"/>
    </row>
    <row r="28" spans="1:4" x14ac:dyDescent="0.3">
      <c r="A28" s="6"/>
      <c r="B28" s="7" t="s">
        <v>36</v>
      </c>
      <c r="C28" s="7"/>
      <c r="D28" s="7"/>
    </row>
    <row r="29" spans="1:4" x14ac:dyDescent="0.3">
      <c r="A29" s="6"/>
      <c r="B29" s="10" t="s">
        <v>37</v>
      </c>
      <c r="C29" s="6"/>
      <c r="D29" s="6"/>
    </row>
    <row r="30" spans="1:4" x14ac:dyDescent="0.3">
      <c r="A30" s="6"/>
      <c r="B30" s="10" t="s">
        <v>38</v>
      </c>
      <c r="C30" s="6"/>
      <c r="D30" s="6"/>
    </row>
    <row r="31" spans="1:4" x14ac:dyDescent="0.3">
      <c r="A31" s="6"/>
      <c r="B31" s="10" t="s">
        <v>39</v>
      </c>
      <c r="C31" s="6"/>
      <c r="D31" s="6"/>
    </row>
    <row r="32" spans="1:4" x14ac:dyDescent="0.3">
      <c r="A32" s="6"/>
      <c r="B32" s="12" t="s">
        <v>40</v>
      </c>
      <c r="C32" s="6"/>
      <c r="D32" s="6"/>
    </row>
    <row r="33" spans="1:4" x14ac:dyDescent="0.3">
      <c r="A33" s="6"/>
      <c r="B33" s="6"/>
      <c r="C33" s="6"/>
      <c r="D33" s="6"/>
    </row>
    <row r="34" spans="1:4" x14ac:dyDescent="0.3">
      <c r="A34" s="6"/>
      <c r="B34" s="7" t="s">
        <v>41</v>
      </c>
      <c r="C34" s="7"/>
      <c r="D34" s="7"/>
    </row>
    <row r="35" spans="1:4" ht="31.5" customHeight="1" x14ac:dyDescent="0.3">
      <c r="A35" s="6"/>
      <c r="B35" s="1" t="s">
        <v>42</v>
      </c>
      <c r="C35" s="1"/>
      <c r="D35" s="1"/>
    </row>
    <row r="36" spans="1:4" ht="31.5" customHeight="1" x14ac:dyDescent="0.3">
      <c r="A36" s="6"/>
      <c r="B36" s="1" t="s">
        <v>43</v>
      </c>
      <c r="C36" s="1"/>
      <c r="D36" s="1"/>
    </row>
    <row r="37" spans="1:4" ht="31.5" customHeight="1" x14ac:dyDescent="0.3">
      <c r="A37" s="6"/>
      <c r="B37" s="1" t="s">
        <v>44</v>
      </c>
      <c r="C37" s="1"/>
      <c r="D37" s="1"/>
    </row>
    <row r="38" spans="1:4" ht="31.5" customHeight="1" x14ac:dyDescent="0.3">
      <c r="A38" s="6"/>
      <c r="B38" s="1" t="s">
        <v>45</v>
      </c>
      <c r="C38" s="1"/>
      <c r="D38" s="1"/>
    </row>
    <row r="39" spans="1:4" ht="31.5" customHeight="1" x14ac:dyDescent="0.3">
      <c r="A39" s="6"/>
      <c r="B39" s="1" t="s">
        <v>46</v>
      </c>
      <c r="C39" s="1"/>
      <c r="D39" s="1"/>
    </row>
  </sheetData>
  <mergeCells count="5">
    <mergeCell ref="B35:D35"/>
    <mergeCell ref="B36:D36"/>
    <mergeCell ref="B37:D37"/>
    <mergeCell ref="B38:D38"/>
    <mergeCell ref="B39:D39"/>
  </mergeCells>
  <hyperlinks>
    <hyperlink ref="B12" r:id="rId1" location="'Summary'!A1" xr:uid="{00000000-0004-0000-0000-000000000000}"/>
    <hyperlink ref="B13" r:id="rId2" location="'Inputs'!A1" xr:uid="{00000000-0004-0000-0000-000001000000}"/>
    <hyperlink ref="B14" r:id="rId3" location="'Hist_Quality'!A1" xr:uid="{00000000-0004-0000-0000-000002000000}"/>
    <hyperlink ref="B15" r:id="rId4" location="'Rev_Build'!A1" xr:uid="{00000000-0004-0000-0000-000003000000}"/>
    <hyperlink ref="B16" r:id="rId5" location="'Fin_Proj'!A1" xr:uid="{00000000-0004-0000-0000-000004000000}"/>
    <hyperlink ref="B17" r:id="rId6" location="'WACC'!A1" xr:uid="{00000000-0004-0000-0000-000005000000}"/>
    <hyperlink ref="B18" r:id="rId7" location="'DCF_FCFF'!A1" xr:uid="{00000000-0004-0000-0000-000006000000}"/>
    <hyperlink ref="B19" r:id="rId8" location="'DDM_NDCF'!A1" xr:uid="{00000000-0004-0000-0000-000007000000}"/>
    <hyperlink ref="B20" r:id="rId9" location="'Relative'!A1" xr:uid="{00000000-0004-0000-0000-000008000000}"/>
    <hyperlink ref="B21" r:id="rId10" location="'NAV_Asset'!A1" xr:uid="{00000000-0004-0000-0000-000009000000}"/>
    <hyperlink ref="B22" r:id="rId11" location="'EVA'!A1" xr:uid="{00000000-0004-0000-0000-00000A000000}"/>
    <hyperlink ref="B23" r:id="rId12" location="'Scenario_DT'!A1" xr:uid="{00000000-0004-0000-0000-00000B000000}"/>
    <hyperlink ref="B24" r:id="rId13" location="'Monte_Carlo'!A1" xr:uid="{00000000-0004-0000-0000-00000C000000}"/>
    <hyperlink ref="B25" r:id="rId14" location="'Real_Options'!A1" xr:uid="{00000000-0004-0000-0000-00000D000000}"/>
    <hyperlink ref="B26" r:id="rId15" location="'Checks'!A1" xr:uid="{00000000-0004-0000-0000-00000E000000}"/>
  </hyperlink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62"/>
  <sheetViews>
    <sheetView zoomScale="90" zoomScaleNormal="90" workbookViewId="0">
      <pane ySplit="3" topLeftCell="A20" activePane="bottomLeft" state="frozen"/>
      <selection pane="bottomLeft"/>
    </sheetView>
  </sheetViews>
  <sheetFormatPr defaultColWidth="8.6640625" defaultRowHeight="14.4" x14ac:dyDescent="0.3"/>
  <cols>
    <col min="1" max="1" width="2" customWidth="1"/>
    <col min="2" max="2" width="40" customWidth="1"/>
    <col min="3" max="3" width="14" customWidth="1"/>
    <col min="4" max="9" width="12" customWidth="1"/>
    <col min="10" max="10" width="3" customWidth="1"/>
    <col min="11" max="11" width="34" customWidth="1"/>
    <col min="12" max="13" width="14" customWidth="1"/>
  </cols>
  <sheetData>
    <row r="1" spans="1:13" ht="24" customHeight="1" x14ac:dyDescent="0.3">
      <c r="A1" s="2"/>
      <c r="B1" s="4" t="s">
        <v>47</v>
      </c>
      <c r="C1" s="2"/>
      <c r="D1" s="2"/>
      <c r="E1" s="2"/>
      <c r="F1" s="2"/>
      <c r="G1" s="2"/>
      <c r="H1" s="2"/>
      <c r="I1" s="2"/>
      <c r="J1" s="2"/>
      <c r="K1" s="2"/>
      <c r="L1" s="2"/>
      <c r="M1" s="2"/>
    </row>
    <row r="2" spans="1:13" x14ac:dyDescent="0.3">
      <c r="A2" s="2"/>
      <c r="B2" s="14" t="s">
        <v>48</v>
      </c>
      <c r="C2" s="2"/>
      <c r="D2" s="2"/>
      <c r="E2" s="2"/>
      <c r="F2" s="2"/>
      <c r="G2" s="2"/>
      <c r="H2" s="2"/>
      <c r="I2" s="2"/>
      <c r="J2" s="2"/>
      <c r="K2" s="2"/>
      <c r="L2" s="2"/>
      <c r="M2" s="2"/>
    </row>
    <row r="3" spans="1:13" x14ac:dyDescent="0.3">
      <c r="A3" s="6"/>
      <c r="B3" s="6"/>
      <c r="C3" s="6"/>
      <c r="D3" s="6"/>
      <c r="E3" s="6"/>
      <c r="F3" s="6"/>
      <c r="G3" s="6"/>
      <c r="H3" s="6"/>
      <c r="I3" s="6"/>
      <c r="J3" s="6"/>
      <c r="K3" s="6"/>
      <c r="L3" s="6"/>
      <c r="M3" s="6"/>
    </row>
    <row r="4" spans="1:13" x14ac:dyDescent="0.3">
      <c r="A4" s="6"/>
      <c r="B4" s="7" t="s">
        <v>49</v>
      </c>
      <c r="C4" s="7"/>
      <c r="D4" s="7"/>
      <c r="E4" s="7"/>
      <c r="F4" s="7"/>
      <c r="G4" s="7"/>
      <c r="H4" s="7"/>
      <c r="I4" s="7"/>
      <c r="J4" s="6"/>
      <c r="K4" s="7" t="s">
        <v>50</v>
      </c>
      <c r="L4" s="7"/>
      <c r="M4" s="7"/>
    </row>
    <row r="5" spans="1:13" ht="26.4" x14ac:dyDescent="0.3">
      <c r="A5" s="6"/>
      <c r="B5" s="8" t="s">
        <v>51</v>
      </c>
      <c r="C5" s="8" t="s">
        <v>52</v>
      </c>
      <c r="D5" s="8" t="s">
        <v>53</v>
      </c>
      <c r="E5" s="8" t="s">
        <v>54</v>
      </c>
      <c r="F5" s="8" t="s">
        <v>55</v>
      </c>
      <c r="G5" s="6"/>
      <c r="H5" s="6"/>
      <c r="I5" s="6"/>
      <c r="J5" s="6"/>
      <c r="K5" s="10" t="s">
        <v>56</v>
      </c>
      <c r="L5" s="15">
        <f>Inputs!$C$10</f>
        <v>328.8</v>
      </c>
      <c r="M5" s="6"/>
    </row>
    <row r="6" spans="1:13" x14ac:dyDescent="0.3">
      <c r="A6" s="6"/>
      <c r="B6" s="10" t="s">
        <v>57</v>
      </c>
      <c r="C6" s="15">
        <f>DCF_FCFF!$C$61</f>
        <v>331.89843467402915</v>
      </c>
      <c r="D6" s="16">
        <f>Inputs!$C$63</f>
        <v>0.3</v>
      </c>
      <c r="E6" s="15">
        <f>C6*D6</f>
        <v>99.569530402208741</v>
      </c>
      <c r="F6" s="16">
        <f>C6/Inputs!$C$10-1</f>
        <v>9.423463120526554E-3</v>
      </c>
      <c r="G6" s="6"/>
      <c r="H6" s="6"/>
      <c r="I6" s="6"/>
      <c r="J6" s="6"/>
      <c r="K6" s="10" t="s">
        <v>58</v>
      </c>
      <c r="L6" s="17">
        <f>Inputs!$C$12</f>
        <v>27286.482972720001</v>
      </c>
      <c r="M6" s="6"/>
    </row>
    <row r="7" spans="1:13" x14ac:dyDescent="0.3">
      <c r="A7" s="6"/>
      <c r="B7" s="10" t="s">
        <v>59</v>
      </c>
      <c r="C7" s="15">
        <f>DDM_NDCF!$C$18</f>
        <v>387.8540199054367</v>
      </c>
      <c r="D7" s="16">
        <f>Inputs!$C$64</f>
        <v>0.2</v>
      </c>
      <c r="E7" s="15">
        <f>C7*D7</f>
        <v>77.570803981087352</v>
      </c>
      <c r="F7" s="16">
        <f>C7/Inputs!$C$10-1</f>
        <v>0.17960468341069546</v>
      </c>
      <c r="G7" s="6"/>
      <c r="H7" s="6"/>
      <c r="I7" s="6"/>
      <c r="J7" s="6"/>
      <c r="K7" s="10" t="s">
        <v>60</v>
      </c>
      <c r="L7" s="15">
        <f>Inputs!$C$11</f>
        <v>82.988086899999999</v>
      </c>
      <c r="M7" s="6"/>
    </row>
    <row r="8" spans="1:13" x14ac:dyDescent="0.3">
      <c r="A8" s="6"/>
      <c r="B8" s="10" t="s">
        <v>61</v>
      </c>
      <c r="C8" s="15">
        <f>NAV_Asset!$G$33</f>
        <v>317.66065400959877</v>
      </c>
      <c r="D8" s="16">
        <f>Inputs!$C$65</f>
        <v>0.25</v>
      </c>
      <c r="E8" s="15">
        <f>C8*D8</f>
        <v>79.415163502399693</v>
      </c>
      <c r="F8" s="16">
        <f>C8/Inputs!$C$10-1</f>
        <v>-3.3878789508519636E-2</v>
      </c>
      <c r="G8" s="6"/>
      <c r="H8" s="6"/>
      <c r="I8" s="6"/>
      <c r="J8" s="6"/>
      <c r="K8" s="10" t="s">
        <v>62</v>
      </c>
      <c r="L8" s="17">
        <f>Inputs!$C$34</f>
        <v>14060.5648</v>
      </c>
      <c r="M8" s="6"/>
    </row>
    <row r="9" spans="1:13" x14ac:dyDescent="0.3">
      <c r="A9" s="6"/>
      <c r="B9" s="10" t="s">
        <v>63</v>
      </c>
      <c r="C9" s="15">
        <f>Relative!$D$24</f>
        <v>363.55930506598469</v>
      </c>
      <c r="D9" s="16">
        <f>Inputs!$C$66</f>
        <v>0.25</v>
      </c>
      <c r="E9" s="15">
        <f>C9*D9</f>
        <v>90.889826266496172</v>
      </c>
      <c r="F9" s="16">
        <f>C9/Inputs!$C$10-1</f>
        <v>0.10571564801090227</v>
      </c>
      <c r="G9" s="6"/>
      <c r="H9" s="6"/>
      <c r="I9" s="6"/>
      <c r="J9" s="6"/>
      <c r="K9" s="10" t="s">
        <v>64</v>
      </c>
      <c r="L9" s="18">
        <f>WACC!$C$8</f>
        <v>5.3600000000000002E-2</v>
      </c>
      <c r="M9" s="6"/>
    </row>
    <row r="10" spans="1:13" x14ac:dyDescent="0.3">
      <c r="A10" s="6"/>
      <c r="B10" s="19" t="s">
        <v>65</v>
      </c>
      <c r="C10" s="20"/>
      <c r="D10" s="21">
        <f>SUM(D6:D9)</f>
        <v>1</v>
      </c>
      <c r="E10" s="22">
        <f>SUM(E6:E9)</f>
        <v>347.44532415219197</v>
      </c>
      <c r="F10" s="20"/>
      <c r="G10" s="6"/>
      <c r="H10" s="6"/>
      <c r="I10" s="6"/>
      <c r="J10" s="6"/>
      <c r="K10" s="10" t="s">
        <v>66</v>
      </c>
      <c r="L10" s="18">
        <f>WACC!$C$26</f>
        <v>0.10727921067014926</v>
      </c>
      <c r="M10" s="6"/>
    </row>
    <row r="11" spans="1:13" x14ac:dyDescent="0.3">
      <c r="A11" s="6"/>
      <c r="B11" s="10" t="s">
        <v>67</v>
      </c>
      <c r="C11" s="6"/>
      <c r="D11" s="6"/>
      <c r="E11" s="15">
        <f>Real_Options!$C$42</f>
        <v>5.6654190105655244</v>
      </c>
      <c r="F11" s="6"/>
      <c r="G11" s="6"/>
      <c r="H11" s="6"/>
      <c r="I11" s="6"/>
      <c r="J11" s="6"/>
      <c r="K11" s="10" t="s">
        <v>16</v>
      </c>
      <c r="L11" s="18">
        <f>WACC!$C$44</f>
        <v>9.0397496149000001E-2</v>
      </c>
      <c r="M11" s="6"/>
    </row>
    <row r="12" spans="1:13" ht="15.6" x14ac:dyDescent="0.3">
      <c r="A12" s="6"/>
      <c r="B12" s="23" t="s">
        <v>68</v>
      </c>
      <c r="C12" s="6"/>
      <c r="D12" s="6"/>
      <c r="E12" s="24">
        <f>E10+E11</f>
        <v>353.1107431627575</v>
      </c>
      <c r="F12" s="6"/>
      <c r="G12" s="6"/>
      <c r="H12" s="6"/>
      <c r="I12" s="6"/>
      <c r="J12" s="6"/>
      <c r="K12" s="10" t="s">
        <v>69</v>
      </c>
      <c r="L12" s="18">
        <f>DCF_FCFF!C26</f>
        <v>0.04</v>
      </c>
      <c r="M12" s="6"/>
    </row>
    <row r="13" spans="1:13" x14ac:dyDescent="0.3">
      <c r="A13" s="6"/>
      <c r="B13" s="10" t="s">
        <v>70</v>
      </c>
      <c r="C13" s="6"/>
      <c r="D13" s="6"/>
      <c r="E13" s="15">
        <f>Inputs!$C$10</f>
        <v>328.8</v>
      </c>
      <c r="F13" s="6"/>
      <c r="G13" s="6"/>
      <c r="H13" s="6"/>
      <c r="I13" s="6"/>
      <c r="J13" s="6"/>
      <c r="K13" s="10" t="s">
        <v>71</v>
      </c>
      <c r="L13" s="18">
        <f>DCF_FCFF!$C$106</f>
        <v>9.0834012442928214E-2</v>
      </c>
      <c r="M13" s="6"/>
    </row>
    <row r="14" spans="1:13" x14ac:dyDescent="0.3">
      <c r="A14" s="6"/>
      <c r="B14" s="23" t="s">
        <v>72</v>
      </c>
      <c r="C14" s="6"/>
      <c r="D14" s="6"/>
      <c r="E14" s="25">
        <f>E12/E13-1</f>
        <v>7.3937783341719854E-2</v>
      </c>
      <c r="F14" s="6"/>
      <c r="G14" s="6"/>
      <c r="H14" s="6"/>
      <c r="I14" s="6"/>
      <c r="J14" s="6"/>
      <c r="K14" s="10" t="s">
        <v>73</v>
      </c>
      <c r="L14" s="17">
        <f>DCF_FCFF!C43</f>
        <v>44624.772822664367</v>
      </c>
      <c r="M14" s="6"/>
    </row>
    <row r="15" spans="1:13" x14ac:dyDescent="0.3">
      <c r="A15" s="6"/>
      <c r="B15" s="23" t="s">
        <v>74</v>
      </c>
      <c r="C15" s="6"/>
      <c r="D15" s="6"/>
      <c r="E15" s="26" t="str">
        <f>IF(E14&gt;Inputs!$C$69,"BUY",IF(E14&lt;Inputs!$C$70,"SELL","HOLD"))</f>
        <v>HOLD</v>
      </c>
      <c r="F15" s="6"/>
      <c r="G15" s="6"/>
      <c r="H15" s="6"/>
      <c r="I15" s="6"/>
      <c r="J15" s="6"/>
      <c r="K15" s="10" t="s">
        <v>75</v>
      </c>
      <c r="L15" s="27">
        <f>DCF_FCFF!C66</f>
        <v>13.896104516541495</v>
      </c>
      <c r="M15" s="6"/>
    </row>
    <row r="16" spans="1:13" x14ac:dyDescent="0.3">
      <c r="A16" s="6"/>
      <c r="B16" s="10" t="s">
        <v>76</v>
      </c>
      <c r="C16" s="6"/>
      <c r="D16" s="6"/>
      <c r="E16" s="15">
        <f>Scenario_DT!$U$21</f>
        <v>336.87227271089029</v>
      </c>
      <c r="F16" s="6"/>
      <c r="G16" s="6"/>
      <c r="H16" s="6"/>
      <c r="I16" s="6"/>
      <c r="J16" s="6"/>
      <c r="K16" s="10" t="s">
        <v>77</v>
      </c>
      <c r="L16" s="18">
        <f>DCF_FCFF!C37</f>
        <v>7.3205782598527683E-2</v>
      </c>
      <c r="M16" s="6"/>
    </row>
    <row r="17" spans="1:13" x14ac:dyDescent="0.3">
      <c r="A17" s="6"/>
      <c r="B17" s="10" t="s">
        <v>78</v>
      </c>
      <c r="C17" s="6"/>
      <c r="D17" s="6"/>
      <c r="E17" s="15">
        <f>Monte_Carlo!$C$13</f>
        <v>342.99344393329409</v>
      </c>
      <c r="F17" s="16">
        <f>Monte_Carlo!$C$22</f>
        <v>0.54800000000000004</v>
      </c>
      <c r="G17" s="6"/>
      <c r="H17" s="6"/>
      <c r="I17" s="6"/>
      <c r="J17" s="6"/>
      <c r="K17" s="10" t="s">
        <v>79</v>
      </c>
      <c r="L17" s="18">
        <f>Relative!N16</f>
        <v>6.8126520681265207E-2</v>
      </c>
      <c r="M17" s="6"/>
    </row>
    <row r="18" spans="1:13" x14ac:dyDescent="0.3">
      <c r="A18" s="6"/>
      <c r="B18" s="10" t="s">
        <v>80</v>
      </c>
      <c r="C18" s="6"/>
      <c r="D18" s="6"/>
      <c r="E18" s="15">
        <f>Inputs!$C$13</f>
        <v>386.66</v>
      </c>
      <c r="F18" s="15">
        <f>NAV_Asset!$G$34</f>
        <v>379.85862093926033</v>
      </c>
      <c r="G18" s="6"/>
      <c r="H18" s="6"/>
      <c r="I18" s="6"/>
      <c r="J18" s="6"/>
      <c r="K18" s="10" t="s">
        <v>81</v>
      </c>
      <c r="L18" s="15">
        <f>Relative!M16</f>
        <v>0.86558519900638342</v>
      </c>
      <c r="M18" s="6"/>
    </row>
    <row r="19" spans="1:13" x14ac:dyDescent="0.3">
      <c r="A19" s="6"/>
      <c r="B19" s="10" t="s">
        <v>82</v>
      </c>
      <c r="C19" s="6"/>
      <c r="D19" s="6"/>
      <c r="E19" s="26" t="str">
        <f>Checks!$F$29</f>
        <v>ALL PASS</v>
      </c>
      <c r="F19" s="6"/>
      <c r="G19" s="6"/>
      <c r="H19" s="6"/>
      <c r="I19" s="6"/>
      <c r="J19" s="6"/>
      <c r="K19" s="10" t="s">
        <v>83</v>
      </c>
      <c r="L19" s="16">
        <f>Rev_Build!$D$75</f>
        <v>0.20341656783670192</v>
      </c>
      <c r="M19" s="6"/>
    </row>
    <row r="20" spans="1:13" x14ac:dyDescent="0.3">
      <c r="A20" s="6"/>
      <c r="B20" s="6"/>
      <c r="C20" s="6"/>
      <c r="D20" s="6"/>
      <c r="E20" s="6"/>
      <c r="F20" s="6"/>
      <c r="G20" s="6"/>
      <c r="H20" s="6"/>
      <c r="I20" s="6"/>
      <c r="J20" s="6"/>
      <c r="K20" s="6"/>
      <c r="L20" s="6"/>
      <c r="M20" s="6"/>
    </row>
    <row r="21" spans="1:13" x14ac:dyDescent="0.3">
      <c r="A21" s="6"/>
      <c r="B21" s="6"/>
      <c r="C21" s="6"/>
      <c r="D21" s="6"/>
      <c r="E21" s="6"/>
      <c r="F21" s="6"/>
      <c r="G21" s="6"/>
      <c r="H21" s="6"/>
      <c r="I21" s="6"/>
      <c r="J21" s="6"/>
      <c r="K21" s="6"/>
      <c r="L21" s="6"/>
      <c r="M21" s="6"/>
    </row>
    <row r="22" spans="1:13" x14ac:dyDescent="0.3">
      <c r="A22" s="6"/>
      <c r="B22" s="7" t="s">
        <v>84</v>
      </c>
      <c r="C22" s="7"/>
      <c r="D22" s="7"/>
      <c r="E22" s="7"/>
      <c r="F22" s="7"/>
      <c r="G22" s="7"/>
      <c r="H22" s="7"/>
      <c r="I22" s="7"/>
      <c r="J22" s="6"/>
      <c r="K22" s="6"/>
      <c r="L22" s="6"/>
      <c r="M22" s="6"/>
    </row>
    <row r="23" spans="1:13" x14ac:dyDescent="0.3">
      <c r="A23" s="6"/>
      <c r="B23" s="8"/>
      <c r="C23" s="8" t="s">
        <v>85</v>
      </c>
      <c r="D23" s="8" t="s">
        <v>86</v>
      </c>
      <c r="E23" s="8" t="s">
        <v>87</v>
      </c>
      <c r="F23" s="8" t="s">
        <v>88</v>
      </c>
      <c r="G23" s="8" t="s">
        <v>89</v>
      </c>
      <c r="H23" s="8" t="s">
        <v>90</v>
      </c>
      <c r="I23" s="8" t="s">
        <v>91</v>
      </c>
      <c r="J23" s="6"/>
      <c r="K23" s="6"/>
      <c r="L23" s="6"/>
      <c r="M23" s="6"/>
    </row>
    <row r="24" spans="1:13" x14ac:dyDescent="0.3">
      <c r="A24" s="6"/>
      <c r="B24" s="10" t="s">
        <v>92</v>
      </c>
      <c r="C24" s="17">
        <f>Fin_Proj!G24</f>
        <v>2385.5920000000001</v>
      </c>
      <c r="D24" s="17">
        <f>Fin_Proj!H24</f>
        <v>2962.259</v>
      </c>
      <c r="E24" s="28">
        <f>Fin_Proj!I24</f>
        <v>3936.7405140614114</v>
      </c>
      <c r="F24" s="28">
        <f>Fin_Proj!J24</f>
        <v>4143.6326245749278</v>
      </c>
      <c r="G24" s="28">
        <f>Fin_Proj!K24</f>
        <v>4352.1901026887917</v>
      </c>
      <c r="H24" s="28">
        <f>Fin_Proj!M24</f>
        <v>4798.2895882143939</v>
      </c>
      <c r="I24" s="28">
        <f>Fin_Proj!R24</f>
        <v>6123.9685329737486</v>
      </c>
      <c r="J24" s="6"/>
      <c r="K24" s="6"/>
      <c r="L24" s="6"/>
      <c r="M24" s="6"/>
    </row>
    <row r="25" spans="1:13" x14ac:dyDescent="0.3">
      <c r="A25" s="6"/>
      <c r="B25" s="10" t="s">
        <v>93</v>
      </c>
      <c r="C25" s="17">
        <f>Fin_Proj!G29</f>
        <v>1729.88396783706</v>
      </c>
      <c r="D25" s="17">
        <f>Fin_Proj!H29</f>
        <v>2136.3392914630899</v>
      </c>
      <c r="E25" s="28">
        <f>Fin_Proj!I29</f>
        <v>2776.0208627531651</v>
      </c>
      <c r="F25" s="28">
        <f>Fin_Proj!J29</f>
        <v>3005.6346487717296</v>
      </c>
      <c r="G25" s="28">
        <f>Fin_Proj!K29</f>
        <v>3200.1394055053397</v>
      </c>
      <c r="H25" s="28">
        <f>Fin_Proj!M29</f>
        <v>3528.1536945696384</v>
      </c>
      <c r="I25" s="28">
        <f>Fin_Proj!R29</f>
        <v>4502.917510045485</v>
      </c>
      <c r="J25" s="6"/>
      <c r="K25" s="6"/>
      <c r="L25" s="6"/>
      <c r="M25" s="6"/>
    </row>
    <row r="26" spans="1:13" x14ac:dyDescent="0.3">
      <c r="A26" s="6"/>
      <c r="B26" s="10" t="s">
        <v>94</v>
      </c>
      <c r="C26" s="16">
        <f>Fin_Proj!G30</f>
        <v>0.7251382331249685</v>
      </c>
      <c r="D26" s="16">
        <f>Fin_Proj!H30</f>
        <v>0.72118585561326332</v>
      </c>
      <c r="E26" s="29">
        <f>Fin_Proj!I30</f>
        <v>0.70515718596073573</v>
      </c>
      <c r="F26" s="29">
        <f>Fin_Proj!J30</f>
        <v>0.72536224156215123</v>
      </c>
      <c r="G26" s="29">
        <f>Fin_Proj!K30</f>
        <v>0.73529403128054704</v>
      </c>
      <c r="H26" s="29">
        <f>Fin_Proj!M30</f>
        <v>0.73529403128054716</v>
      </c>
      <c r="I26" s="29">
        <f>Fin_Proj!R30</f>
        <v>0.73529403128054704</v>
      </c>
      <c r="J26" s="6"/>
      <c r="K26" s="6"/>
      <c r="L26" s="6"/>
      <c r="M26" s="6"/>
    </row>
    <row r="27" spans="1:13" x14ac:dyDescent="0.3">
      <c r="A27" s="6"/>
      <c r="B27" s="10" t="s">
        <v>95</v>
      </c>
      <c r="C27" s="17">
        <f>Fin_Proj!G40</f>
        <v>188.6439678370601</v>
      </c>
      <c r="D27" s="17">
        <f>Fin_Proj!H40</f>
        <v>474.87129146308985</v>
      </c>
      <c r="E27" s="28">
        <f>Fin_Proj!I40</f>
        <v>833.1675755438938</v>
      </c>
      <c r="F27" s="28">
        <f>Fin_Proj!J40</f>
        <v>966.52523198259394</v>
      </c>
      <c r="G27" s="28">
        <f>Fin_Proj!K40</f>
        <v>1067.7064629036856</v>
      </c>
      <c r="H27" s="28">
        <f>Fin_Proj!M40</f>
        <v>1309.3662245888356</v>
      </c>
      <c r="I27" s="28">
        <f>Fin_Proj!R40</f>
        <v>2021.9833559349568</v>
      </c>
      <c r="J27" s="6"/>
      <c r="K27" s="6"/>
      <c r="L27" s="6"/>
      <c r="M27" s="6"/>
    </row>
    <row r="28" spans="1:13" x14ac:dyDescent="0.3">
      <c r="A28" s="6"/>
      <c r="B28" s="10" t="s">
        <v>96</v>
      </c>
      <c r="C28" s="6"/>
      <c r="D28" s="6"/>
      <c r="E28" s="30">
        <f>Fin_Proj!I86</f>
        <v>22.6</v>
      </c>
      <c r="F28" s="30">
        <f>Fin_Proj!J86</f>
        <v>24.586688742371226</v>
      </c>
      <c r="G28" s="30">
        <f>Fin_Proj!K86</f>
        <v>25.886528805942834</v>
      </c>
      <c r="H28" s="30">
        <f>Fin_Proj!M86</f>
        <v>28.248720595942739</v>
      </c>
      <c r="I28" s="30">
        <f>Fin_Proj!R86</f>
        <v>35.615166961951324</v>
      </c>
      <c r="J28" s="6"/>
      <c r="K28" s="6"/>
      <c r="L28" s="6"/>
      <c r="M28" s="6"/>
    </row>
    <row r="29" spans="1:13" x14ac:dyDescent="0.3">
      <c r="A29" s="6"/>
      <c r="B29" s="10" t="s">
        <v>97</v>
      </c>
      <c r="C29" s="6"/>
      <c r="D29" s="6"/>
      <c r="E29" s="31">
        <f>Fin_Proj!I59</f>
        <v>2.4869878924718956</v>
      </c>
      <c r="F29" s="31">
        <f>Fin_Proj!J59</f>
        <v>2.6218971623391161</v>
      </c>
      <c r="G29" s="31">
        <f>Fin_Proj!K59</f>
        <v>2.7144282123523098</v>
      </c>
      <c r="H29" s="31">
        <f>Fin_Proj!M59</f>
        <v>2.9310084657923543</v>
      </c>
      <c r="I29" s="31">
        <f>Fin_Proj!R59</f>
        <v>3.6277757152160208</v>
      </c>
      <c r="J29" s="6"/>
      <c r="K29" s="6"/>
      <c r="L29" s="6"/>
      <c r="M29" s="6"/>
    </row>
    <row r="30" spans="1:13" x14ac:dyDescent="0.3">
      <c r="A30" s="6"/>
      <c r="B30" s="10" t="s">
        <v>98</v>
      </c>
      <c r="C30" s="6"/>
      <c r="D30" s="6"/>
      <c r="E30" s="28">
        <f>DCF_FCFF!I17</f>
        <v>1933.1939313954761</v>
      </c>
      <c r="F30" s="28">
        <f>DCF_FCFF!J17</f>
        <v>1831.9087759019417</v>
      </c>
      <c r="G30" s="28">
        <f>DCF_FCFF!K17</f>
        <v>2096.4934596780977</v>
      </c>
      <c r="H30" s="28">
        <f>DCF_FCFF!M17</f>
        <v>2621.6773564907076</v>
      </c>
      <c r="I30" s="28">
        <f>DCF_FCFF!R17</f>
        <v>3341.3263428114979</v>
      </c>
      <c r="J30" s="6"/>
      <c r="K30" s="6"/>
      <c r="L30" s="6"/>
      <c r="M30" s="6"/>
    </row>
    <row r="31" spans="1:13" x14ac:dyDescent="0.3">
      <c r="A31" s="6"/>
      <c r="B31" s="10" t="s">
        <v>99</v>
      </c>
      <c r="C31" s="6"/>
      <c r="D31" s="6"/>
      <c r="E31" s="29">
        <f>EVA!I19</f>
        <v>5.376803931548866E-2</v>
      </c>
      <c r="F31" s="29">
        <f>EVA!J19</f>
        <v>5.8888045437251547E-2</v>
      </c>
      <c r="G31" s="29">
        <f>EVA!K19</f>
        <v>6.250066924077935E-2</v>
      </c>
      <c r="H31" s="29">
        <f>EVA!M19</f>
        <v>7.2328280754147017E-2</v>
      </c>
      <c r="I31" s="29">
        <f>EVA!R19</f>
        <v>0.10341702307557571</v>
      </c>
      <c r="J31" s="6"/>
      <c r="K31" s="6"/>
      <c r="L31" s="6"/>
      <c r="M31" s="6"/>
    </row>
    <row r="32" spans="1:13" x14ac:dyDescent="0.3">
      <c r="A32" s="6"/>
      <c r="B32" s="6"/>
      <c r="C32" s="6"/>
      <c r="D32" s="6"/>
      <c r="E32" s="6"/>
      <c r="F32" s="6"/>
      <c r="G32" s="6"/>
      <c r="H32" s="6"/>
      <c r="I32" s="6"/>
      <c r="J32" s="6"/>
      <c r="K32" s="6"/>
      <c r="L32" s="6"/>
      <c r="M32" s="6"/>
    </row>
    <row r="33" spans="1:13" x14ac:dyDescent="0.3">
      <c r="A33" s="6"/>
      <c r="B33" s="7" t="s">
        <v>100</v>
      </c>
      <c r="C33" s="7"/>
      <c r="D33" s="7"/>
      <c r="E33" s="7"/>
      <c r="F33" s="7"/>
      <c r="G33" s="7"/>
      <c r="H33" s="7"/>
      <c r="I33" s="7"/>
      <c r="J33" s="6"/>
      <c r="K33" s="6"/>
      <c r="L33" s="6"/>
      <c r="M33" s="6"/>
    </row>
    <row r="34" spans="1:13" x14ac:dyDescent="0.3">
      <c r="A34" s="6"/>
      <c r="B34" s="8" t="s">
        <v>51</v>
      </c>
      <c r="C34" s="8" t="s">
        <v>101</v>
      </c>
      <c r="D34" s="8" t="s">
        <v>102</v>
      </c>
      <c r="E34" s="8" t="s">
        <v>103</v>
      </c>
      <c r="F34" s="8" t="s">
        <v>104</v>
      </c>
      <c r="G34" s="6"/>
      <c r="H34" s="6"/>
      <c r="I34" s="6"/>
      <c r="J34" s="6"/>
      <c r="K34" s="6"/>
      <c r="L34" s="6"/>
      <c r="M34" s="6"/>
    </row>
    <row r="35" spans="1:13" x14ac:dyDescent="0.3">
      <c r="A35" s="6"/>
      <c r="B35" s="10" t="s">
        <v>105</v>
      </c>
      <c r="C35" s="17">
        <f>MIN(MIN(DCF_FCFF!D77:F79),MAX(DCF_FCFF!D77:F79))</f>
        <v>273.21523316455944</v>
      </c>
      <c r="D35" s="17">
        <f t="shared" ref="D35:D41" si="0">E35-C35</f>
        <v>145.75038995396335</v>
      </c>
      <c r="E35" s="17">
        <f>MAX(MIN(DCF_FCFF!D77:F79),MAX(DCF_FCFF!D77:F79))</f>
        <v>418.96562311852279</v>
      </c>
      <c r="F35" s="17">
        <f>DCF_FCFF!$C$61</f>
        <v>331.89843467402915</v>
      </c>
      <c r="G35" s="6"/>
      <c r="H35" s="6"/>
      <c r="I35" s="6"/>
      <c r="J35" s="6"/>
      <c r="K35" s="6"/>
      <c r="L35" s="6"/>
      <c r="M35" s="6"/>
    </row>
    <row r="36" spans="1:13" x14ac:dyDescent="0.3">
      <c r="A36" s="6"/>
      <c r="B36" s="10" t="s">
        <v>106</v>
      </c>
      <c r="C36" s="17">
        <f>MIN(MIN(DDM_NDCF!D28:F30),MAX(DDM_NDCF!D28:F30))</f>
        <v>348.93580729690467</v>
      </c>
      <c r="D36" s="17">
        <f t="shared" si="0"/>
        <v>90.974249508152525</v>
      </c>
      <c r="E36" s="17">
        <f>MAX(MIN(DDM_NDCF!D28:F30),MAX(DDM_NDCF!D28:F30))</f>
        <v>439.9100568050572</v>
      </c>
      <c r="F36" s="17">
        <f>DDM_NDCF!$C$18</f>
        <v>387.8540199054367</v>
      </c>
      <c r="G36" s="6"/>
      <c r="H36" s="6"/>
      <c r="I36" s="6"/>
      <c r="J36" s="6"/>
      <c r="K36" s="6"/>
      <c r="L36" s="6"/>
      <c r="M36" s="6"/>
    </row>
    <row r="37" spans="1:13" x14ac:dyDescent="0.3">
      <c r="A37" s="6"/>
      <c r="B37" s="10" t="s">
        <v>107</v>
      </c>
      <c r="C37" s="17">
        <f>MIN(NAV_Asset!$I$33,NAV_Asset!$H$33)</f>
        <v>302.9327495315876</v>
      </c>
      <c r="D37" s="17">
        <f t="shared" si="0"/>
        <v>30.466933362819191</v>
      </c>
      <c r="E37" s="17">
        <f>MAX(NAV_Asset!$I$33,NAV_Asset!$H$33)</f>
        <v>333.39968289440679</v>
      </c>
      <c r="F37" s="17">
        <f>NAV_Asset!$G$33</f>
        <v>317.66065400959877</v>
      </c>
      <c r="G37" s="6"/>
      <c r="H37" s="6"/>
      <c r="I37" s="6"/>
      <c r="J37" s="6"/>
      <c r="K37" s="6"/>
      <c r="L37" s="6"/>
      <c r="M37" s="6"/>
    </row>
    <row r="38" spans="1:13" x14ac:dyDescent="0.3">
      <c r="A38" s="6"/>
      <c r="B38" s="10" t="s">
        <v>108</v>
      </c>
      <c r="C38" s="17">
        <f>MIN(Relative!$C$24,Relative!$E$24)</f>
        <v>340.40995104452043</v>
      </c>
      <c r="D38" s="17">
        <f t="shared" si="0"/>
        <v>42.314658126295456</v>
      </c>
      <c r="E38" s="17">
        <f>MAX(Relative!$C$24,Relative!$E$24)</f>
        <v>382.72460917081588</v>
      </c>
      <c r="F38" s="17">
        <f>Relative!$D$24</f>
        <v>363.55930506598469</v>
      </c>
      <c r="G38" s="6"/>
      <c r="H38" s="6"/>
      <c r="I38" s="6"/>
      <c r="J38" s="6"/>
      <c r="K38" s="6"/>
      <c r="L38" s="6"/>
      <c r="M38" s="6"/>
    </row>
    <row r="39" spans="1:13" x14ac:dyDescent="0.3">
      <c r="A39" s="6"/>
      <c r="B39" s="10" t="s">
        <v>109</v>
      </c>
      <c r="C39" s="17">
        <f>MIN(Scenario_DT!$U$6,Scenario_DT!$U$8)</f>
        <v>223.18443011922349</v>
      </c>
      <c r="D39" s="17">
        <f t="shared" si="0"/>
        <v>237.32336125705595</v>
      </c>
      <c r="E39" s="17">
        <f>MAX(Scenario_DT!$U$6,Scenario_DT!$U$8)</f>
        <v>460.50779137627944</v>
      </c>
      <c r="F39" s="17">
        <f>Scenario_DT!$U$21</f>
        <v>336.87227271089029</v>
      </c>
      <c r="G39" s="6"/>
      <c r="H39" s="6"/>
      <c r="I39" s="6"/>
      <c r="J39" s="6"/>
      <c r="K39" s="6"/>
      <c r="L39" s="6"/>
      <c r="M39" s="6"/>
    </row>
    <row r="40" spans="1:13" x14ac:dyDescent="0.3">
      <c r="A40" s="6"/>
      <c r="B40" s="10" t="s">
        <v>110</v>
      </c>
      <c r="C40" s="17">
        <f>MIN(Monte_Carlo!$C$17,Monte_Carlo!$C$20)</f>
        <v>266.63160626150068</v>
      </c>
      <c r="D40" s="17">
        <f t="shared" si="0"/>
        <v>162.10282850793226</v>
      </c>
      <c r="E40" s="17">
        <f>MAX(Monte_Carlo!$C$17,Monte_Carlo!$C$20)</f>
        <v>428.73443476943294</v>
      </c>
      <c r="F40" s="17">
        <f>Monte_Carlo!$C$13</f>
        <v>342.99344393329409</v>
      </c>
      <c r="G40" s="6"/>
      <c r="H40" s="6"/>
      <c r="I40" s="6"/>
      <c r="J40" s="6"/>
      <c r="K40" s="6"/>
      <c r="L40" s="6"/>
      <c r="M40" s="6"/>
    </row>
    <row r="41" spans="1:13" x14ac:dyDescent="0.3">
      <c r="A41" s="6"/>
      <c r="B41" s="10" t="s">
        <v>111</v>
      </c>
      <c r="C41" s="17">
        <f>MIN(Inputs!$C$15,Inputs!$C$14)</f>
        <v>311.26</v>
      </c>
      <c r="D41" s="17">
        <f t="shared" si="0"/>
        <v>65.240000000000009</v>
      </c>
      <c r="E41" s="17">
        <f>MAX(Inputs!$C$15,Inputs!$C$14)</f>
        <v>376.5</v>
      </c>
      <c r="F41" s="17">
        <f>Inputs!$C$10</f>
        <v>328.8</v>
      </c>
      <c r="G41" s="6"/>
      <c r="H41" s="6"/>
      <c r="I41" s="6"/>
      <c r="J41" s="6"/>
      <c r="K41" s="6"/>
      <c r="L41" s="6"/>
      <c r="M41" s="6"/>
    </row>
    <row r="42" spans="1:13" x14ac:dyDescent="0.3">
      <c r="A42" s="6"/>
      <c r="B42" s="6"/>
      <c r="C42" s="6"/>
      <c r="D42" s="6"/>
      <c r="E42" s="6"/>
      <c r="F42" s="6"/>
      <c r="G42" s="6"/>
      <c r="H42" s="6"/>
      <c r="I42" s="6"/>
      <c r="J42" s="6"/>
      <c r="K42" s="6"/>
      <c r="L42" s="6"/>
      <c r="M42" s="6"/>
    </row>
    <row r="43" spans="1:13" x14ac:dyDescent="0.3">
      <c r="A43" s="6"/>
      <c r="B43" s="6"/>
      <c r="C43" s="6"/>
      <c r="D43" s="6"/>
      <c r="E43" s="6"/>
      <c r="F43" s="6"/>
      <c r="G43" s="6"/>
      <c r="H43" s="6"/>
      <c r="I43" s="6"/>
      <c r="J43" s="6"/>
      <c r="K43" s="6"/>
      <c r="L43" s="6"/>
      <c r="M43" s="6"/>
    </row>
    <row r="44" spans="1:13" x14ac:dyDescent="0.3">
      <c r="A44" s="6"/>
      <c r="B44" s="6"/>
      <c r="C44" s="6"/>
      <c r="D44" s="6"/>
      <c r="E44" s="6"/>
      <c r="F44" s="6"/>
      <c r="G44" s="6"/>
      <c r="H44" s="6"/>
      <c r="I44" s="6"/>
      <c r="J44" s="6"/>
      <c r="K44" s="6"/>
      <c r="L44" s="6"/>
      <c r="M44" s="6"/>
    </row>
    <row r="45" spans="1:13" x14ac:dyDescent="0.3">
      <c r="A45" s="6"/>
      <c r="B45" s="6"/>
      <c r="C45" s="6"/>
      <c r="D45" s="6"/>
      <c r="E45" s="6"/>
      <c r="F45" s="6"/>
      <c r="G45" s="6"/>
      <c r="H45" s="6"/>
      <c r="I45" s="6"/>
      <c r="J45" s="6"/>
      <c r="K45" s="6"/>
      <c r="L45" s="6"/>
      <c r="M45" s="6"/>
    </row>
    <row r="46" spans="1:13" x14ac:dyDescent="0.3">
      <c r="A46" s="6"/>
      <c r="B46" s="6"/>
      <c r="C46" s="6"/>
      <c r="D46" s="6"/>
      <c r="E46" s="6"/>
      <c r="F46" s="6"/>
      <c r="G46" s="6"/>
      <c r="H46" s="6"/>
      <c r="I46" s="6"/>
      <c r="J46" s="6"/>
      <c r="K46" s="6"/>
      <c r="L46" s="6"/>
      <c r="M46" s="6"/>
    </row>
    <row r="47" spans="1:13" x14ac:dyDescent="0.3">
      <c r="A47" s="6"/>
      <c r="B47" s="6"/>
      <c r="C47" s="6"/>
      <c r="D47" s="6"/>
      <c r="E47" s="6"/>
      <c r="F47" s="6"/>
      <c r="G47" s="6"/>
      <c r="H47" s="6"/>
      <c r="I47" s="6"/>
      <c r="J47" s="6"/>
      <c r="K47" s="6"/>
      <c r="L47" s="6"/>
      <c r="M47" s="6"/>
    </row>
    <row r="48" spans="1:13" x14ac:dyDescent="0.3">
      <c r="A48" s="6"/>
      <c r="B48" s="6"/>
      <c r="C48" s="6"/>
      <c r="D48" s="6"/>
      <c r="E48" s="6"/>
      <c r="F48" s="6"/>
      <c r="G48" s="6"/>
      <c r="H48" s="6"/>
      <c r="I48" s="6"/>
      <c r="J48" s="6"/>
      <c r="K48" s="6"/>
      <c r="L48" s="6"/>
      <c r="M48" s="6"/>
    </row>
    <row r="49" spans="1:13" x14ac:dyDescent="0.3">
      <c r="A49" s="6"/>
      <c r="B49" s="6"/>
      <c r="C49" s="6"/>
      <c r="D49" s="6"/>
      <c r="E49" s="6"/>
      <c r="F49" s="6"/>
      <c r="G49" s="6"/>
      <c r="H49" s="6"/>
      <c r="I49" s="6"/>
      <c r="J49" s="6"/>
      <c r="K49" s="6"/>
      <c r="L49" s="6"/>
      <c r="M49" s="6"/>
    </row>
    <row r="50" spans="1:13" x14ac:dyDescent="0.3">
      <c r="A50" s="6"/>
      <c r="B50" s="6"/>
      <c r="C50" s="6"/>
      <c r="D50" s="6"/>
      <c r="E50" s="6"/>
      <c r="F50" s="6"/>
      <c r="G50" s="6"/>
      <c r="H50" s="6"/>
      <c r="I50" s="6"/>
      <c r="J50" s="6"/>
      <c r="K50" s="6"/>
      <c r="L50" s="6"/>
      <c r="M50" s="6"/>
    </row>
    <row r="51" spans="1:13" x14ac:dyDescent="0.3">
      <c r="A51" s="6"/>
      <c r="B51" s="6"/>
      <c r="C51" s="6"/>
      <c r="D51" s="6"/>
      <c r="E51" s="6"/>
      <c r="F51" s="6"/>
      <c r="G51" s="6"/>
      <c r="H51" s="6"/>
      <c r="I51" s="6"/>
      <c r="J51" s="6"/>
      <c r="K51" s="6"/>
      <c r="L51" s="6"/>
      <c r="M51" s="6"/>
    </row>
    <row r="52" spans="1:13" x14ac:dyDescent="0.3">
      <c r="A52" s="6"/>
      <c r="B52" s="6"/>
      <c r="C52" s="6"/>
      <c r="D52" s="6"/>
      <c r="E52" s="6"/>
      <c r="F52" s="6"/>
      <c r="G52" s="6"/>
      <c r="H52" s="6"/>
      <c r="I52" s="6"/>
      <c r="J52" s="6"/>
      <c r="K52" s="6"/>
      <c r="L52" s="6"/>
      <c r="M52" s="6"/>
    </row>
    <row r="53" spans="1:13" x14ac:dyDescent="0.3">
      <c r="A53" s="6"/>
      <c r="B53" s="6"/>
      <c r="C53" s="6"/>
      <c r="D53" s="6"/>
      <c r="E53" s="6"/>
      <c r="F53" s="6"/>
      <c r="G53" s="6"/>
      <c r="H53" s="6"/>
      <c r="I53" s="6"/>
      <c r="J53" s="6"/>
      <c r="K53" s="6"/>
      <c r="L53" s="6"/>
      <c r="M53" s="6"/>
    </row>
    <row r="54" spans="1:13" x14ac:dyDescent="0.3">
      <c r="A54" s="6"/>
      <c r="B54" s="6"/>
      <c r="C54" s="6"/>
      <c r="D54" s="6"/>
      <c r="E54" s="6"/>
      <c r="F54" s="6"/>
      <c r="G54" s="6"/>
      <c r="H54" s="6"/>
      <c r="I54" s="6"/>
      <c r="J54" s="6"/>
      <c r="K54" s="6"/>
      <c r="L54" s="6"/>
      <c r="M54" s="6"/>
    </row>
    <row r="55" spans="1:13" x14ac:dyDescent="0.3">
      <c r="A55" s="6"/>
      <c r="B55" s="6"/>
      <c r="C55" s="6"/>
      <c r="D55" s="6"/>
      <c r="E55" s="6"/>
      <c r="F55" s="6"/>
      <c r="G55" s="6"/>
      <c r="H55" s="6"/>
      <c r="I55" s="6"/>
      <c r="J55" s="6"/>
      <c r="K55" s="6"/>
      <c r="L55" s="6"/>
      <c r="M55" s="6"/>
    </row>
    <row r="56" spans="1:13" x14ac:dyDescent="0.3">
      <c r="A56" s="6"/>
      <c r="B56" s="6"/>
      <c r="C56" s="6"/>
      <c r="D56" s="6"/>
      <c r="E56" s="6"/>
      <c r="F56" s="6"/>
      <c r="G56" s="6"/>
      <c r="H56" s="6"/>
      <c r="I56" s="6"/>
      <c r="J56" s="6"/>
      <c r="K56" s="6"/>
      <c r="L56" s="6"/>
      <c r="M56" s="6"/>
    </row>
    <row r="57" spans="1:13" x14ac:dyDescent="0.3">
      <c r="A57" s="6"/>
      <c r="B57" s="6"/>
      <c r="C57" s="6"/>
      <c r="D57" s="6"/>
      <c r="E57" s="6"/>
      <c r="F57" s="6"/>
      <c r="G57" s="6"/>
      <c r="H57" s="6"/>
      <c r="I57" s="6"/>
      <c r="J57" s="6"/>
      <c r="K57" s="6"/>
      <c r="L57" s="6"/>
      <c r="M57" s="6"/>
    </row>
    <row r="58" spans="1:13" x14ac:dyDescent="0.3">
      <c r="A58" s="6"/>
      <c r="B58" s="6"/>
      <c r="C58" s="6"/>
      <c r="D58" s="6"/>
      <c r="E58" s="6"/>
      <c r="F58" s="6"/>
      <c r="G58" s="6"/>
      <c r="H58" s="6"/>
      <c r="I58" s="6"/>
      <c r="J58" s="6"/>
      <c r="K58" s="6"/>
      <c r="L58" s="6"/>
      <c r="M58" s="6"/>
    </row>
    <row r="59" spans="1:13" x14ac:dyDescent="0.3">
      <c r="A59" s="6"/>
      <c r="B59" s="6"/>
      <c r="C59" s="6"/>
      <c r="D59" s="6"/>
      <c r="E59" s="6"/>
      <c r="F59" s="6"/>
      <c r="G59" s="6"/>
      <c r="H59" s="6"/>
      <c r="I59" s="6"/>
      <c r="J59" s="6"/>
      <c r="K59" s="6"/>
      <c r="L59" s="6"/>
      <c r="M59" s="6"/>
    </row>
    <row r="60" spans="1:13" x14ac:dyDescent="0.3">
      <c r="A60" s="6"/>
      <c r="B60" s="6"/>
      <c r="C60" s="6"/>
      <c r="D60" s="6"/>
      <c r="E60" s="6"/>
      <c r="F60" s="6"/>
      <c r="G60" s="6"/>
      <c r="H60" s="6"/>
      <c r="I60" s="6"/>
      <c r="J60" s="6"/>
      <c r="K60" s="6"/>
      <c r="L60" s="6"/>
      <c r="M60" s="6"/>
    </row>
    <row r="61" spans="1:13" x14ac:dyDescent="0.3">
      <c r="A61" s="6"/>
      <c r="B61" s="6"/>
      <c r="C61" s="6"/>
      <c r="D61" s="6"/>
      <c r="E61" s="6"/>
      <c r="F61" s="6"/>
      <c r="G61" s="6"/>
      <c r="H61" s="6"/>
      <c r="I61" s="6"/>
      <c r="J61" s="6"/>
      <c r="K61" s="6"/>
      <c r="L61" s="6"/>
      <c r="M61" s="6"/>
    </row>
    <row r="62" spans="1:13" x14ac:dyDescent="0.3">
      <c r="A62" s="6"/>
      <c r="B62" s="11" t="s">
        <v>112</v>
      </c>
      <c r="C62" s="6"/>
      <c r="D62" s="6"/>
      <c r="E62" s="6"/>
      <c r="F62" s="6"/>
      <c r="G62" s="6"/>
      <c r="H62" s="6"/>
      <c r="I62" s="6"/>
      <c r="J62" s="6"/>
      <c r="K62" s="6"/>
      <c r="L62" s="6"/>
      <c r="M62" s="6"/>
    </row>
  </sheetData>
  <pageMargins left="0.75" right="0.75" top="1" bottom="1" header="0.511811023622047" footer="0.511811023622047"/>
  <pageSetup fitToHeight="0" orientation="landscape"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70"/>
  <sheetViews>
    <sheetView zoomScale="90" zoomScaleNormal="90" workbookViewId="0">
      <pane xSplit="2" ySplit="3" topLeftCell="C4" activePane="bottomRight" state="frozen"/>
      <selection pane="topRight" activeCell="C1" sqref="C1"/>
      <selection pane="bottomLeft" activeCell="A4" sqref="A4"/>
      <selection pane="bottomRight"/>
    </sheetView>
  </sheetViews>
  <sheetFormatPr defaultColWidth="8.6640625" defaultRowHeight="14.4" x14ac:dyDescent="0.3"/>
  <cols>
    <col min="1" max="1" width="2" customWidth="1"/>
    <col min="2" max="2" width="54" customWidth="1"/>
    <col min="3" max="3" width="16" customWidth="1"/>
    <col min="4" max="4" width="12" customWidth="1"/>
    <col min="5" max="5" width="100" customWidth="1"/>
  </cols>
  <sheetData>
    <row r="1" spans="1:5" ht="24" customHeight="1" x14ac:dyDescent="0.3">
      <c r="A1" s="2"/>
      <c r="B1" s="4" t="s">
        <v>113</v>
      </c>
      <c r="C1" s="2"/>
      <c r="D1" s="2"/>
      <c r="E1" s="2"/>
    </row>
    <row r="2" spans="1:5" x14ac:dyDescent="0.3">
      <c r="A2" s="2"/>
      <c r="B2" s="14" t="s">
        <v>114</v>
      </c>
      <c r="C2" s="2"/>
      <c r="D2" s="2"/>
      <c r="E2" s="2"/>
    </row>
    <row r="3" spans="1:5" x14ac:dyDescent="0.3">
      <c r="A3" s="6"/>
      <c r="B3" s="6"/>
      <c r="C3" s="6"/>
      <c r="D3" s="6"/>
      <c r="E3" s="6"/>
    </row>
    <row r="4" spans="1:5" x14ac:dyDescent="0.3">
      <c r="A4" s="6"/>
      <c r="B4" s="6"/>
      <c r="C4" s="6"/>
      <c r="D4" s="6"/>
      <c r="E4" s="6"/>
    </row>
    <row r="5" spans="1:5" x14ac:dyDescent="0.3">
      <c r="A5" s="6"/>
      <c r="B5" s="7" t="s">
        <v>115</v>
      </c>
      <c r="C5" s="7"/>
      <c r="D5" s="7"/>
      <c r="E5" s="7"/>
    </row>
    <row r="6" spans="1:5" x14ac:dyDescent="0.3">
      <c r="A6" s="6"/>
      <c r="B6" s="8" t="s">
        <v>116</v>
      </c>
      <c r="C6" s="8" t="s">
        <v>117</v>
      </c>
      <c r="D6" s="8" t="s">
        <v>118</v>
      </c>
      <c r="E6" s="8" t="s">
        <v>119</v>
      </c>
    </row>
    <row r="7" spans="1:5" x14ac:dyDescent="0.3">
      <c r="A7" s="6"/>
      <c r="B7" s="10" t="s">
        <v>120</v>
      </c>
      <c r="C7" s="32">
        <v>46305</v>
      </c>
      <c r="D7" s="11" t="s">
        <v>121</v>
      </c>
      <c r="E7" s="11" t="s">
        <v>122</v>
      </c>
    </row>
    <row r="8" spans="1:5" x14ac:dyDescent="0.3">
      <c r="A8" s="6"/>
      <c r="B8" s="10" t="s">
        <v>123</v>
      </c>
      <c r="C8" s="32">
        <v>46477</v>
      </c>
      <c r="D8" s="11" t="s">
        <v>121</v>
      </c>
      <c r="E8" s="11" t="s">
        <v>124</v>
      </c>
    </row>
    <row r="9" spans="1:5" x14ac:dyDescent="0.3">
      <c r="A9" s="6"/>
      <c r="B9" s="10" t="s">
        <v>125</v>
      </c>
      <c r="C9" s="33">
        <f>($C$8-$C$7)/365</f>
        <v>0.47123287671232877</v>
      </c>
      <c r="D9" s="11" t="s">
        <v>126</v>
      </c>
      <c r="E9" s="11" t="s">
        <v>127</v>
      </c>
    </row>
    <row r="10" spans="1:5" x14ac:dyDescent="0.3">
      <c r="A10" s="6"/>
      <c r="B10" s="10" t="s">
        <v>128</v>
      </c>
      <c r="C10" s="15">
        <v>328.8</v>
      </c>
      <c r="D10" s="11" t="s">
        <v>129</v>
      </c>
      <c r="E10" s="11" t="s">
        <v>130</v>
      </c>
    </row>
    <row r="11" spans="1:5" x14ac:dyDescent="0.3">
      <c r="A11" s="6"/>
      <c r="B11" s="10" t="s">
        <v>131</v>
      </c>
      <c r="C11" s="33">
        <v>82.988086899999999</v>
      </c>
      <c r="D11" s="11" t="s">
        <v>132</v>
      </c>
      <c r="E11" s="11" t="s">
        <v>133</v>
      </c>
    </row>
    <row r="12" spans="1:5" x14ac:dyDescent="0.3">
      <c r="A12" s="6"/>
      <c r="B12" s="10" t="s">
        <v>134</v>
      </c>
      <c r="C12" s="17">
        <f>$C$10*$C$11</f>
        <v>27286.482972720001</v>
      </c>
      <c r="D12" s="11" t="s">
        <v>135</v>
      </c>
      <c r="E12" s="11"/>
    </row>
    <row r="13" spans="1:5" x14ac:dyDescent="0.3">
      <c r="A13" s="6"/>
      <c r="B13" s="10" t="s">
        <v>136</v>
      </c>
      <c r="C13" s="15">
        <v>386.66</v>
      </c>
      <c r="D13" s="11" t="s">
        <v>129</v>
      </c>
      <c r="E13" s="11" t="s">
        <v>137</v>
      </c>
    </row>
    <row r="14" spans="1:5" x14ac:dyDescent="0.3">
      <c r="A14" s="6"/>
      <c r="B14" s="10" t="s">
        <v>138</v>
      </c>
      <c r="C14" s="15">
        <v>376.5</v>
      </c>
      <c r="D14" s="11" t="s">
        <v>129</v>
      </c>
      <c r="E14" s="11" t="s">
        <v>139</v>
      </c>
    </row>
    <row r="15" spans="1:5" x14ac:dyDescent="0.3">
      <c r="A15" s="6"/>
      <c r="B15" s="10" t="s">
        <v>140</v>
      </c>
      <c r="C15" s="15">
        <v>311.26</v>
      </c>
      <c r="D15" s="11" t="s">
        <v>129</v>
      </c>
      <c r="E15" s="11" t="s">
        <v>139</v>
      </c>
    </row>
    <row r="16" spans="1:5" x14ac:dyDescent="0.3">
      <c r="A16" s="6"/>
      <c r="B16" s="10" t="s">
        <v>141</v>
      </c>
      <c r="C16" s="15">
        <v>5.6</v>
      </c>
      <c r="D16" s="11" t="s">
        <v>129</v>
      </c>
      <c r="E16" s="11" t="s">
        <v>142</v>
      </c>
    </row>
    <row r="17" spans="1:5" x14ac:dyDescent="0.3">
      <c r="A17" s="6"/>
      <c r="B17" s="10" t="s">
        <v>143</v>
      </c>
      <c r="C17" s="15">
        <f>$C$16*4</f>
        <v>22.4</v>
      </c>
      <c r="D17" s="11" t="s">
        <v>129</v>
      </c>
      <c r="E17" s="11"/>
    </row>
    <row r="18" spans="1:5" x14ac:dyDescent="0.3">
      <c r="A18" s="6"/>
      <c r="B18" s="10" t="s">
        <v>144</v>
      </c>
      <c r="C18" s="15">
        <v>21.4</v>
      </c>
      <c r="D18" s="11" t="s">
        <v>129</v>
      </c>
      <c r="E18" s="11" t="s">
        <v>145</v>
      </c>
    </row>
    <row r="19" spans="1:5" x14ac:dyDescent="0.3">
      <c r="A19" s="6"/>
      <c r="B19" s="10" t="s">
        <v>146</v>
      </c>
      <c r="C19" s="15">
        <v>323</v>
      </c>
      <c r="D19" s="11" t="s">
        <v>129</v>
      </c>
      <c r="E19" s="11" t="s">
        <v>147</v>
      </c>
    </row>
    <row r="20" spans="1:5" x14ac:dyDescent="0.3">
      <c r="A20" s="6"/>
      <c r="B20" s="6"/>
      <c r="C20" s="6"/>
      <c r="D20" s="6"/>
      <c r="E20" s="6"/>
    </row>
    <row r="21" spans="1:5" x14ac:dyDescent="0.3">
      <c r="A21" s="6"/>
      <c r="B21" s="7" t="s">
        <v>148</v>
      </c>
      <c r="C21" s="7"/>
      <c r="D21" s="7"/>
      <c r="E21" s="7"/>
    </row>
    <row r="22" spans="1:5" x14ac:dyDescent="0.3">
      <c r="A22" s="6"/>
      <c r="B22" s="8" t="s">
        <v>116</v>
      </c>
      <c r="C22" s="8" t="s">
        <v>117</v>
      </c>
      <c r="D22" s="8" t="s">
        <v>118</v>
      </c>
      <c r="E22" s="8" t="s">
        <v>119</v>
      </c>
    </row>
    <row r="23" spans="1:5" x14ac:dyDescent="0.3">
      <c r="A23" s="6"/>
      <c r="B23" s="10" t="s">
        <v>149</v>
      </c>
      <c r="C23" s="34">
        <v>16432.782800000001</v>
      </c>
      <c r="D23" s="11" t="s">
        <v>135</v>
      </c>
      <c r="E23" s="11" t="s">
        <v>150</v>
      </c>
    </row>
    <row r="24" spans="1:5" x14ac:dyDescent="0.3">
      <c r="A24" s="6"/>
      <c r="B24" s="10" t="s">
        <v>151</v>
      </c>
      <c r="C24" s="34">
        <v>674.21799999999996</v>
      </c>
      <c r="D24" s="11" t="s">
        <v>135</v>
      </c>
      <c r="E24" s="11" t="s">
        <v>152</v>
      </c>
    </row>
    <row r="25" spans="1:5" x14ac:dyDescent="0.3">
      <c r="A25" s="6"/>
      <c r="B25" s="10" t="s">
        <v>153</v>
      </c>
      <c r="C25" s="34">
        <v>1125</v>
      </c>
      <c r="D25" s="11" t="s">
        <v>135</v>
      </c>
      <c r="E25" s="11" t="s">
        <v>154</v>
      </c>
    </row>
    <row r="26" spans="1:5" x14ac:dyDescent="0.3">
      <c r="A26" s="6"/>
      <c r="B26" s="10" t="s">
        <v>155</v>
      </c>
      <c r="C26" s="34">
        <v>2600</v>
      </c>
      <c r="D26" s="11" t="s">
        <v>135</v>
      </c>
      <c r="E26" s="11" t="s">
        <v>156</v>
      </c>
    </row>
    <row r="27" spans="1:5" x14ac:dyDescent="0.3">
      <c r="A27" s="6"/>
      <c r="B27" s="10" t="s">
        <v>157</v>
      </c>
      <c r="C27" s="35">
        <v>0.02</v>
      </c>
      <c r="D27" s="11" t="s">
        <v>158</v>
      </c>
      <c r="E27" s="11" t="s">
        <v>159</v>
      </c>
    </row>
    <row r="28" spans="1:5" x14ac:dyDescent="0.3">
      <c r="A28" s="6"/>
      <c r="B28" s="10" t="s">
        <v>160</v>
      </c>
      <c r="C28" s="34">
        <f>$C$26*(1-$C$27)</f>
        <v>2548</v>
      </c>
      <c r="D28" s="11" t="s">
        <v>135</v>
      </c>
      <c r="E28" s="11"/>
    </row>
    <row r="29" spans="1:5" x14ac:dyDescent="0.3">
      <c r="A29" s="6"/>
      <c r="B29" s="10" t="s">
        <v>161</v>
      </c>
      <c r="C29" s="34">
        <v>1125</v>
      </c>
      <c r="D29" s="11" t="s">
        <v>135</v>
      </c>
      <c r="E29" s="11" t="s">
        <v>162</v>
      </c>
    </row>
    <row r="30" spans="1:5" x14ac:dyDescent="0.3">
      <c r="A30" s="6"/>
      <c r="B30" s="10" t="s">
        <v>163</v>
      </c>
      <c r="C30" s="34">
        <v>1700</v>
      </c>
      <c r="D30" s="11" t="s">
        <v>135</v>
      </c>
      <c r="E30" s="11" t="s">
        <v>164</v>
      </c>
    </row>
    <row r="31" spans="1:5" x14ac:dyDescent="0.3">
      <c r="A31" s="6"/>
      <c r="B31" s="10" t="s">
        <v>165</v>
      </c>
      <c r="C31" s="16">
        <v>0.5</v>
      </c>
      <c r="D31" s="11" t="s">
        <v>158</v>
      </c>
      <c r="E31" s="11" t="s">
        <v>166</v>
      </c>
    </row>
    <row r="32" spans="1:5" x14ac:dyDescent="0.3">
      <c r="A32" s="6"/>
      <c r="B32" s="10" t="s">
        <v>167</v>
      </c>
      <c r="C32" s="34">
        <f>$C$30*$C$31</f>
        <v>850</v>
      </c>
      <c r="D32" s="11" t="s">
        <v>135</v>
      </c>
      <c r="E32" s="11" t="s">
        <v>168</v>
      </c>
    </row>
    <row r="33" spans="1:5" x14ac:dyDescent="0.3">
      <c r="A33" s="6"/>
      <c r="B33" s="10" t="s">
        <v>169</v>
      </c>
      <c r="C33" s="34">
        <f>$C$23-$C$28+$C$32</f>
        <v>14734.782800000001</v>
      </c>
      <c r="D33" s="11" t="s">
        <v>135</v>
      </c>
      <c r="E33" s="11" t="s">
        <v>170</v>
      </c>
    </row>
    <row r="34" spans="1:5" x14ac:dyDescent="0.3">
      <c r="A34" s="6"/>
      <c r="B34" s="10" t="s">
        <v>171</v>
      </c>
      <c r="C34" s="34">
        <f>$C$33-$C$24+$C$25-$C$29</f>
        <v>14060.5648</v>
      </c>
      <c r="D34" s="11" t="s">
        <v>135</v>
      </c>
      <c r="E34" s="11" t="s">
        <v>172</v>
      </c>
    </row>
    <row r="35" spans="1:5" x14ac:dyDescent="0.3">
      <c r="A35" s="6"/>
      <c r="B35" s="10" t="s">
        <v>173</v>
      </c>
      <c r="C35" s="34">
        <v>3400</v>
      </c>
      <c r="D35" s="11" t="s">
        <v>135</v>
      </c>
      <c r="E35" s="11" t="s">
        <v>174</v>
      </c>
    </row>
    <row r="36" spans="1:5" x14ac:dyDescent="0.3">
      <c r="A36" s="6"/>
      <c r="B36" s="10" t="s">
        <v>175</v>
      </c>
      <c r="C36" s="16">
        <v>0.5</v>
      </c>
      <c r="D36" s="11" t="s">
        <v>158</v>
      </c>
      <c r="E36" s="11" t="s">
        <v>176</v>
      </c>
    </row>
    <row r="37" spans="1:5" x14ac:dyDescent="0.3">
      <c r="A37" s="6"/>
      <c r="B37" s="10" t="s">
        <v>177</v>
      </c>
      <c r="C37" s="35">
        <v>0.1</v>
      </c>
      <c r="D37" s="11" t="s">
        <v>158</v>
      </c>
      <c r="E37" s="11" t="s">
        <v>178</v>
      </c>
    </row>
    <row r="38" spans="1:5" x14ac:dyDescent="0.3">
      <c r="A38" s="6"/>
      <c r="B38" s="10" t="s">
        <v>179</v>
      </c>
      <c r="C38" s="34">
        <v>1980.6949999999999</v>
      </c>
      <c r="D38" s="11" t="s">
        <v>135</v>
      </c>
      <c r="E38" s="11" t="s">
        <v>180</v>
      </c>
    </row>
    <row r="39" spans="1:5" x14ac:dyDescent="0.3">
      <c r="A39" s="6"/>
      <c r="B39" s="6"/>
      <c r="C39" s="6"/>
      <c r="D39" s="6"/>
      <c r="E39" s="6"/>
    </row>
    <row r="40" spans="1:5" x14ac:dyDescent="0.3">
      <c r="A40" s="6"/>
      <c r="B40" s="7" t="s">
        <v>181</v>
      </c>
      <c r="C40" s="7"/>
      <c r="D40" s="7"/>
      <c r="E40" s="7"/>
    </row>
    <row r="41" spans="1:5" x14ac:dyDescent="0.3">
      <c r="A41" s="6"/>
      <c r="B41" s="8" t="s">
        <v>116</v>
      </c>
      <c r="C41" s="8" t="s">
        <v>117</v>
      </c>
      <c r="D41" s="8" t="s">
        <v>118</v>
      </c>
      <c r="E41" s="8" t="s">
        <v>119</v>
      </c>
    </row>
    <row r="42" spans="1:5" x14ac:dyDescent="0.3">
      <c r="A42" s="6"/>
      <c r="B42" s="10" t="s">
        <v>182</v>
      </c>
      <c r="C42" s="36">
        <v>0.25169999999999998</v>
      </c>
      <c r="D42" s="11" t="s">
        <v>158</v>
      </c>
      <c r="E42" s="11" t="s">
        <v>183</v>
      </c>
    </row>
    <row r="43" spans="1:5" x14ac:dyDescent="0.3">
      <c r="A43" s="6"/>
      <c r="B43" s="10" t="s">
        <v>184</v>
      </c>
      <c r="C43" s="37">
        <v>2</v>
      </c>
      <c r="D43" s="11" t="s">
        <v>129</v>
      </c>
      <c r="E43" s="11" t="s">
        <v>185</v>
      </c>
    </row>
    <row r="44" spans="1:5" x14ac:dyDescent="0.3">
      <c r="A44" s="6"/>
      <c r="B44" s="10" t="s">
        <v>186</v>
      </c>
      <c r="C44" s="35">
        <v>4.4999999999999998E-2</v>
      </c>
      <c r="D44" s="11" t="s">
        <v>158</v>
      </c>
      <c r="E44" s="11" t="s">
        <v>187</v>
      </c>
    </row>
    <row r="45" spans="1:5" x14ac:dyDescent="0.3">
      <c r="A45" s="6"/>
      <c r="B45" s="10" t="s">
        <v>188</v>
      </c>
      <c r="C45" s="38">
        <v>6500</v>
      </c>
      <c r="D45" s="11" t="s">
        <v>129</v>
      </c>
      <c r="E45" s="11" t="s">
        <v>189</v>
      </c>
    </row>
    <row r="46" spans="1:5" x14ac:dyDescent="0.3">
      <c r="A46" s="6"/>
      <c r="B46" s="10" t="s">
        <v>190</v>
      </c>
      <c r="C46" s="35">
        <v>-0.05</v>
      </c>
      <c r="D46" s="11" t="s">
        <v>158</v>
      </c>
      <c r="E46" s="11" t="s">
        <v>191</v>
      </c>
    </row>
    <row r="47" spans="1:5" x14ac:dyDescent="0.3">
      <c r="A47" s="6"/>
      <c r="B47" s="10" t="s">
        <v>192</v>
      </c>
      <c r="C47" s="35">
        <v>1</v>
      </c>
      <c r="D47" s="11" t="s">
        <v>158</v>
      </c>
      <c r="E47" s="11" t="s">
        <v>193</v>
      </c>
    </row>
    <row r="48" spans="1:5" x14ac:dyDescent="0.3">
      <c r="A48" s="6"/>
      <c r="B48" s="10" t="s">
        <v>194</v>
      </c>
      <c r="C48" s="39">
        <v>5.0984528832630103E-3</v>
      </c>
      <c r="D48" s="11" t="s">
        <v>135</v>
      </c>
      <c r="E48" s="11" t="s">
        <v>195</v>
      </c>
    </row>
    <row r="49" spans="1:5" x14ac:dyDescent="0.3">
      <c r="A49" s="6"/>
      <c r="B49" s="10" t="s">
        <v>196</v>
      </c>
      <c r="C49" s="37">
        <v>1.07</v>
      </c>
      <c r="D49" s="11" t="s">
        <v>197</v>
      </c>
      <c r="E49" s="11" t="s">
        <v>198</v>
      </c>
    </row>
    <row r="50" spans="1:5" x14ac:dyDescent="0.3">
      <c r="A50" s="6"/>
      <c r="B50" s="10" t="s">
        <v>199</v>
      </c>
      <c r="C50" s="35">
        <v>0.77500000000000002</v>
      </c>
      <c r="D50" s="11" t="s">
        <v>158</v>
      </c>
      <c r="E50" s="11" t="s">
        <v>200</v>
      </c>
    </row>
    <row r="51" spans="1:5" x14ac:dyDescent="0.3">
      <c r="A51" s="6"/>
      <c r="B51" s="10" t="s">
        <v>201</v>
      </c>
      <c r="C51" s="40">
        <v>1</v>
      </c>
      <c r="D51" s="11" t="s">
        <v>202</v>
      </c>
      <c r="E51" s="11" t="s">
        <v>203</v>
      </c>
    </row>
    <row r="52" spans="1:5" x14ac:dyDescent="0.3">
      <c r="A52" s="6"/>
      <c r="B52" s="6"/>
      <c r="C52" s="6"/>
      <c r="D52" s="6"/>
      <c r="E52" s="6"/>
    </row>
    <row r="53" spans="1:5" x14ac:dyDescent="0.3">
      <c r="A53" s="6"/>
      <c r="B53" s="7" t="s">
        <v>204</v>
      </c>
      <c r="C53" s="7"/>
      <c r="D53" s="7"/>
      <c r="E53" s="7"/>
    </row>
    <row r="54" spans="1:5" x14ac:dyDescent="0.3">
      <c r="A54" s="6"/>
      <c r="B54" s="8" t="s">
        <v>116</v>
      </c>
      <c r="C54" s="8" t="s">
        <v>117</v>
      </c>
      <c r="D54" s="8" t="s">
        <v>118</v>
      </c>
      <c r="E54" s="8" t="s">
        <v>119</v>
      </c>
    </row>
    <row r="55" spans="1:5" x14ac:dyDescent="0.3">
      <c r="A55" s="6"/>
      <c r="B55" s="10" t="s">
        <v>205</v>
      </c>
      <c r="C55" s="37">
        <v>22.6</v>
      </c>
      <c r="D55" s="11" t="s">
        <v>129</v>
      </c>
      <c r="E55" s="11" t="s">
        <v>206</v>
      </c>
    </row>
    <row r="56" spans="1:5" x14ac:dyDescent="0.3">
      <c r="A56" s="6"/>
      <c r="B56" s="10" t="s">
        <v>207</v>
      </c>
      <c r="C56" s="35">
        <v>0.15</v>
      </c>
      <c r="D56" s="11" t="s">
        <v>158</v>
      </c>
      <c r="E56" s="11" t="s">
        <v>208</v>
      </c>
    </row>
    <row r="57" spans="1:5" x14ac:dyDescent="0.3">
      <c r="A57" s="6"/>
      <c r="B57" s="10" t="s">
        <v>209</v>
      </c>
      <c r="C57" s="35">
        <v>1</v>
      </c>
      <c r="D57" s="11" t="s">
        <v>158</v>
      </c>
      <c r="E57" s="11" t="s">
        <v>210</v>
      </c>
    </row>
    <row r="58" spans="1:5" x14ac:dyDescent="0.3">
      <c r="A58" s="6"/>
      <c r="B58" s="10" t="s">
        <v>211</v>
      </c>
      <c r="C58" s="35">
        <v>7.0999999999999994E-2</v>
      </c>
      <c r="D58" s="11" t="s">
        <v>158</v>
      </c>
      <c r="E58" s="11" t="s">
        <v>212</v>
      </c>
    </row>
    <row r="59" spans="1:5" x14ac:dyDescent="0.3">
      <c r="A59" s="6"/>
      <c r="B59" s="10" t="s">
        <v>213</v>
      </c>
      <c r="C59" s="35">
        <v>0.04</v>
      </c>
      <c r="D59" s="11" t="s">
        <v>158</v>
      </c>
      <c r="E59" s="11" t="s">
        <v>214</v>
      </c>
    </row>
    <row r="60" spans="1:5" x14ac:dyDescent="0.3">
      <c r="A60" s="6"/>
      <c r="B60" s="6"/>
      <c r="C60" s="6"/>
      <c r="D60" s="6"/>
      <c r="E60" s="6"/>
    </row>
    <row r="61" spans="1:5" x14ac:dyDescent="0.3">
      <c r="A61" s="6"/>
      <c r="B61" s="7" t="s">
        <v>215</v>
      </c>
      <c r="C61" s="7"/>
      <c r="D61" s="7"/>
      <c r="E61" s="7"/>
    </row>
    <row r="62" spans="1:5" x14ac:dyDescent="0.3">
      <c r="A62" s="6"/>
      <c r="B62" s="8" t="s">
        <v>116</v>
      </c>
      <c r="C62" s="8" t="s">
        <v>117</v>
      </c>
      <c r="D62" s="8" t="s">
        <v>118</v>
      </c>
      <c r="E62" s="8" t="s">
        <v>119</v>
      </c>
    </row>
    <row r="63" spans="1:5" x14ac:dyDescent="0.3">
      <c r="A63" s="6"/>
      <c r="B63" s="10" t="s">
        <v>216</v>
      </c>
      <c r="C63" s="35">
        <v>0.3</v>
      </c>
      <c r="D63" s="11" t="s">
        <v>158</v>
      </c>
      <c r="E63" s="11" t="s">
        <v>217</v>
      </c>
    </row>
    <row r="64" spans="1:5" x14ac:dyDescent="0.3">
      <c r="A64" s="6"/>
      <c r="B64" s="10" t="s">
        <v>218</v>
      </c>
      <c r="C64" s="35">
        <v>0.2</v>
      </c>
      <c r="D64" s="11" t="s">
        <v>158</v>
      </c>
      <c r="E64" s="11" t="s">
        <v>219</v>
      </c>
    </row>
    <row r="65" spans="1:5" x14ac:dyDescent="0.3">
      <c r="A65" s="6"/>
      <c r="B65" s="10" t="s">
        <v>220</v>
      </c>
      <c r="C65" s="35">
        <v>0.25</v>
      </c>
      <c r="D65" s="11" t="s">
        <v>158</v>
      </c>
      <c r="E65" s="11" t="s">
        <v>221</v>
      </c>
    </row>
    <row r="66" spans="1:5" x14ac:dyDescent="0.3">
      <c r="A66" s="6"/>
      <c r="B66" s="10" t="s">
        <v>222</v>
      </c>
      <c r="C66" s="35">
        <v>0.25</v>
      </c>
      <c r="D66" s="11" t="s">
        <v>158</v>
      </c>
      <c r="E66" s="11" t="s">
        <v>223</v>
      </c>
    </row>
    <row r="67" spans="1:5" x14ac:dyDescent="0.3">
      <c r="A67" s="6"/>
      <c r="B67" s="10" t="s">
        <v>224</v>
      </c>
      <c r="C67" s="40">
        <v>1</v>
      </c>
      <c r="D67" s="11" t="s">
        <v>202</v>
      </c>
      <c r="E67" s="11"/>
    </row>
    <row r="68" spans="1:5" x14ac:dyDescent="0.3">
      <c r="A68" s="6"/>
      <c r="B68" s="10" t="s">
        <v>225</v>
      </c>
      <c r="C68" s="35">
        <v>0.5</v>
      </c>
      <c r="D68" s="11" t="s">
        <v>158</v>
      </c>
      <c r="E68" s="11" t="s">
        <v>226</v>
      </c>
    </row>
    <row r="69" spans="1:5" x14ac:dyDescent="0.3">
      <c r="A69" s="6"/>
      <c r="B69" s="10" t="s">
        <v>227</v>
      </c>
      <c r="C69" s="35">
        <v>0.15</v>
      </c>
      <c r="D69" s="11" t="s">
        <v>158</v>
      </c>
      <c r="E69" s="11"/>
    </row>
    <row r="70" spans="1:5" x14ac:dyDescent="0.3">
      <c r="A70" s="6"/>
      <c r="B70" s="10" t="s">
        <v>228</v>
      </c>
      <c r="C70" s="35">
        <v>-0.05</v>
      </c>
      <c r="D70" s="11" t="s">
        <v>158</v>
      </c>
      <c r="E70" s="11"/>
    </row>
  </sheetData>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68"/>
  <sheetViews>
    <sheetView zoomScale="90" zoomScaleNormal="90" workbookViewId="0">
      <pane xSplit="3" ySplit="4" topLeftCell="D5" activePane="bottomRight" state="frozen"/>
      <selection pane="topRight" activeCell="D1" sqref="D1"/>
      <selection pane="bottomLeft" activeCell="A5" sqref="A5"/>
      <selection pane="bottomRight" activeCell="B2" sqref="B2"/>
    </sheetView>
  </sheetViews>
  <sheetFormatPr defaultColWidth="8.6640625" defaultRowHeight="14.4" x14ac:dyDescent="0.3"/>
  <cols>
    <col min="1" max="1" width="2" customWidth="1"/>
    <col min="2" max="2" width="54" customWidth="1"/>
    <col min="3" max="3" width="10" customWidth="1"/>
    <col min="4" max="8" width="12" customWidth="1"/>
    <col min="9" max="9" width="80" customWidth="1"/>
  </cols>
  <sheetData>
    <row r="1" spans="1:9" ht="24" customHeight="1" x14ac:dyDescent="0.3">
      <c r="A1" s="2"/>
      <c r="B1" s="4" t="s">
        <v>1011</v>
      </c>
      <c r="C1" s="2"/>
      <c r="D1" s="2"/>
      <c r="E1" s="2"/>
      <c r="F1" s="2"/>
      <c r="G1" s="2"/>
      <c r="H1" s="2"/>
      <c r="I1" s="2"/>
    </row>
    <row r="2" spans="1:9" x14ac:dyDescent="0.3">
      <c r="A2" s="2"/>
      <c r="B2" s="14" t="s">
        <v>229</v>
      </c>
      <c r="C2" s="2"/>
      <c r="D2" s="2"/>
      <c r="E2" s="2"/>
      <c r="F2" s="2"/>
      <c r="G2" s="2"/>
      <c r="H2" s="2"/>
      <c r="I2" s="2"/>
    </row>
    <row r="3" spans="1:9" x14ac:dyDescent="0.3">
      <c r="A3" s="6"/>
      <c r="B3" s="6"/>
      <c r="C3" s="6"/>
      <c r="D3" s="6"/>
      <c r="E3" s="6"/>
      <c r="F3" s="6"/>
      <c r="G3" s="6"/>
      <c r="H3" s="6"/>
      <c r="I3" s="6"/>
    </row>
    <row r="4" spans="1:9" x14ac:dyDescent="0.3">
      <c r="A4" s="6"/>
      <c r="B4" s="8" t="s">
        <v>230</v>
      </c>
      <c r="C4" s="8" t="s">
        <v>118</v>
      </c>
      <c r="D4" s="8" t="s">
        <v>231</v>
      </c>
      <c r="E4" s="8" t="s">
        <v>232</v>
      </c>
      <c r="F4" s="8" t="s">
        <v>233</v>
      </c>
      <c r="G4" s="8" t="s">
        <v>85</v>
      </c>
      <c r="H4" s="8" t="s">
        <v>86</v>
      </c>
      <c r="I4" s="6"/>
    </row>
    <row r="5" spans="1:9" x14ac:dyDescent="0.3">
      <c r="A5" s="6"/>
      <c r="B5" s="7" t="s">
        <v>234</v>
      </c>
      <c r="C5" s="7"/>
      <c r="D5" s="7"/>
      <c r="E5" s="7"/>
      <c r="F5" s="7"/>
      <c r="G5" s="7"/>
      <c r="H5" s="7"/>
      <c r="I5" s="7"/>
    </row>
    <row r="6" spans="1:9" x14ac:dyDescent="0.3">
      <c r="A6" s="6"/>
      <c r="B6" s="10" t="s">
        <v>235</v>
      </c>
      <c r="C6" s="11" t="s">
        <v>135</v>
      </c>
      <c r="D6" s="34">
        <f>Fin_Proj!D24</f>
        <v>876.79100000000005</v>
      </c>
      <c r="E6" s="34">
        <f>Fin_Proj!E24</f>
        <v>1196.999</v>
      </c>
      <c r="F6" s="34">
        <f>Fin_Proj!F24</f>
        <v>1780.481</v>
      </c>
      <c r="G6" s="34">
        <f>Fin_Proj!G24</f>
        <v>2385.5920000000001</v>
      </c>
      <c r="H6" s="34">
        <f>Fin_Proj!H24</f>
        <v>2962.259</v>
      </c>
      <c r="I6" s="6"/>
    </row>
    <row r="7" spans="1:9" x14ac:dyDescent="0.3">
      <c r="A7" s="6"/>
      <c r="B7" s="10" t="s">
        <v>236</v>
      </c>
      <c r="C7" s="11" t="s">
        <v>158</v>
      </c>
      <c r="D7" s="6"/>
      <c r="E7" s="16">
        <f>Fin_Proj!E25</f>
        <v>0.36520447860436511</v>
      </c>
      <c r="F7" s="16">
        <f>Fin_Proj!F25</f>
        <v>0.4874540413149886</v>
      </c>
      <c r="G7" s="16">
        <f>Fin_Proj!G25</f>
        <v>0.33985816192366003</v>
      </c>
      <c r="H7" s="16">
        <f>Fin_Proj!H25</f>
        <v>0.24172909701239775</v>
      </c>
      <c r="I7" s="11" t="s">
        <v>237</v>
      </c>
    </row>
    <row r="8" spans="1:9" x14ac:dyDescent="0.3">
      <c r="A8" s="6"/>
      <c r="B8" s="10" t="s">
        <v>93</v>
      </c>
      <c r="C8" s="11" t="s">
        <v>135</v>
      </c>
      <c r="D8" s="34">
        <f>Fin_Proj!D29</f>
        <v>618.31093943447604</v>
      </c>
      <c r="E8" s="34">
        <f>Fin_Proj!E29</f>
        <v>815.55074359669902</v>
      </c>
      <c r="F8" s="34">
        <f>Fin_Proj!F29</f>
        <v>1254.6932787646899</v>
      </c>
      <c r="G8" s="34">
        <f>Fin_Proj!G29</f>
        <v>1729.88396783706</v>
      </c>
      <c r="H8" s="34">
        <f>Fin_Proj!H29</f>
        <v>2136.3392914630899</v>
      </c>
      <c r="I8" s="6"/>
    </row>
    <row r="9" spans="1:9" x14ac:dyDescent="0.3">
      <c r="A9" s="6"/>
      <c r="B9" s="10" t="s">
        <v>238</v>
      </c>
      <c r="C9" s="11" t="s">
        <v>158</v>
      </c>
      <c r="D9" s="16">
        <f>Fin_Proj!D30</f>
        <v>0.70519763482343678</v>
      </c>
      <c r="E9" s="16">
        <f>Fin_Proj!E30</f>
        <v>0.68132951121654994</v>
      </c>
      <c r="F9" s="16">
        <f>Fin_Proj!F30</f>
        <v>0.70469343888796898</v>
      </c>
      <c r="G9" s="16">
        <f>Fin_Proj!G30</f>
        <v>0.7251382331249685</v>
      </c>
      <c r="H9" s="16">
        <f>Fin_Proj!H30</f>
        <v>0.72118585561326332</v>
      </c>
      <c r="I9" s="6"/>
    </row>
    <row r="10" spans="1:9" x14ac:dyDescent="0.3">
      <c r="A10" s="6"/>
      <c r="B10" s="10" t="s">
        <v>95</v>
      </c>
      <c r="C10" s="11" t="s">
        <v>135</v>
      </c>
      <c r="D10" s="34">
        <f>Fin_Proj!D40</f>
        <v>246.27393943447606</v>
      </c>
      <c r="E10" s="34">
        <f>Fin_Proj!E40</f>
        <v>131.21374359669906</v>
      </c>
      <c r="F10" s="34">
        <f>Fin_Proj!F40</f>
        <v>20.732278764689877</v>
      </c>
      <c r="G10" s="34">
        <f>Fin_Proj!G40</f>
        <v>188.6439678370601</v>
      </c>
      <c r="H10" s="34">
        <f>Fin_Proj!H40</f>
        <v>474.87129146308985</v>
      </c>
      <c r="I10" s="6"/>
    </row>
    <row r="11" spans="1:9" x14ac:dyDescent="0.3">
      <c r="A11" s="6"/>
      <c r="B11" s="10" t="s">
        <v>239</v>
      </c>
      <c r="C11" s="11" t="s">
        <v>158</v>
      </c>
      <c r="D11" s="16">
        <f>D10/D6</f>
        <v>0.28088100748579314</v>
      </c>
      <c r="E11" s="16">
        <f>E10/E6</f>
        <v>0.10961892499216713</v>
      </c>
      <c r="F11" s="16">
        <f>F10/F6</f>
        <v>1.1644201069649087E-2</v>
      </c>
      <c r="G11" s="16">
        <f>G10/G6</f>
        <v>7.9076375103982618E-2</v>
      </c>
      <c r="H11" s="16">
        <f>H10/H6</f>
        <v>0.16030714784328104</v>
      </c>
      <c r="I11" s="6"/>
    </row>
    <row r="12" spans="1:9" x14ac:dyDescent="0.3">
      <c r="A12" s="6"/>
      <c r="B12" s="10" t="s">
        <v>240</v>
      </c>
      <c r="C12" s="11" t="s">
        <v>135</v>
      </c>
      <c r="D12" s="34">
        <f>Fin_Proj!D34</f>
        <v>208.06899999999999</v>
      </c>
      <c r="E12" s="34">
        <f>Fin_Proj!E34</f>
        <v>432.45699999999999</v>
      </c>
      <c r="F12" s="34">
        <f>Fin_Proj!F34</f>
        <v>852.19899999999996</v>
      </c>
      <c r="G12" s="34">
        <f>Fin_Proj!G34</f>
        <v>1078.1769999999999</v>
      </c>
      <c r="H12" s="34">
        <f>Fin_Proj!H34</f>
        <v>974.78</v>
      </c>
      <c r="I12" s="6"/>
    </row>
    <row r="13" spans="1:9" x14ac:dyDescent="0.3">
      <c r="A13" s="6"/>
      <c r="B13" s="7" t="s">
        <v>241</v>
      </c>
      <c r="C13" s="7"/>
      <c r="D13" s="7"/>
      <c r="E13" s="7"/>
      <c r="F13" s="7"/>
      <c r="G13" s="7"/>
      <c r="H13" s="7"/>
      <c r="I13" s="7"/>
    </row>
    <row r="14" spans="1:9" x14ac:dyDescent="0.3">
      <c r="A14" s="6"/>
      <c r="B14" s="10" t="s">
        <v>242</v>
      </c>
      <c r="C14" s="11" t="s">
        <v>135</v>
      </c>
      <c r="D14" s="34">
        <v>8882.0930000000008</v>
      </c>
      <c r="E14" s="34">
        <v>8333.7379999999994</v>
      </c>
      <c r="F14" s="34">
        <v>10124.159</v>
      </c>
      <c r="G14" s="34">
        <v>14029.92</v>
      </c>
      <c r="H14" s="6"/>
      <c r="I14" s="11" t="s">
        <v>243</v>
      </c>
    </row>
    <row r="15" spans="1:9" x14ac:dyDescent="0.3">
      <c r="A15" s="6"/>
      <c r="B15" s="10" t="s">
        <v>244</v>
      </c>
      <c r="C15" s="11" t="s">
        <v>135</v>
      </c>
      <c r="D15" s="34">
        <v>0</v>
      </c>
      <c r="E15" s="34">
        <v>0</v>
      </c>
      <c r="F15" s="34">
        <v>2005.5</v>
      </c>
      <c r="G15" s="34">
        <v>1980.6949999999999</v>
      </c>
      <c r="H15" s="6"/>
      <c r="I15" s="11" t="s">
        <v>245</v>
      </c>
    </row>
    <row r="16" spans="1:9" x14ac:dyDescent="0.3">
      <c r="A16" s="6"/>
      <c r="B16" s="10" t="s">
        <v>246</v>
      </c>
      <c r="C16" s="11" t="s">
        <v>135</v>
      </c>
      <c r="D16" s="34">
        <v>5165.5339999999997</v>
      </c>
      <c r="E16" s="34">
        <v>5452.0379999999996</v>
      </c>
      <c r="F16" s="34">
        <v>12056.296</v>
      </c>
      <c r="G16" s="34">
        <v>9058.5249999999996</v>
      </c>
      <c r="H16" s="34">
        <f>Inputs!$C$23</f>
        <v>16432.782800000001</v>
      </c>
      <c r="I16" s="11" t="s">
        <v>247</v>
      </c>
    </row>
    <row r="17" spans="1:9" x14ac:dyDescent="0.3">
      <c r="A17" s="6"/>
      <c r="B17" s="10" t="s">
        <v>248</v>
      </c>
      <c r="C17" s="11" t="s">
        <v>135</v>
      </c>
      <c r="D17" s="34">
        <v>255.01400000000001</v>
      </c>
      <c r="E17" s="34">
        <v>258.01900000000001</v>
      </c>
      <c r="F17" s="34">
        <v>517.40300000000002</v>
      </c>
      <c r="G17" s="34">
        <v>665.74400000000003</v>
      </c>
      <c r="H17" s="34">
        <f>Inputs!$C$24</f>
        <v>674.21799999999996</v>
      </c>
      <c r="I17" s="6"/>
    </row>
    <row r="18" spans="1:9" x14ac:dyDescent="0.3">
      <c r="A18" s="6"/>
      <c r="B18" s="10" t="s">
        <v>249</v>
      </c>
      <c r="C18" s="11" t="s">
        <v>135</v>
      </c>
      <c r="D18" s="34">
        <v>14410.252</v>
      </c>
      <c r="E18" s="34">
        <v>14271.619000000001</v>
      </c>
      <c r="F18" s="34">
        <v>25076.145</v>
      </c>
      <c r="G18" s="34">
        <v>26196.848000000002</v>
      </c>
      <c r="H18" s="6"/>
      <c r="I18" s="6"/>
    </row>
    <row r="19" spans="1:9" x14ac:dyDescent="0.3">
      <c r="A19" s="6"/>
      <c r="B19" s="23" t="s">
        <v>250</v>
      </c>
      <c r="C19" s="11" t="s">
        <v>135</v>
      </c>
      <c r="D19" s="41">
        <f>D16-D17</f>
        <v>4910.5199999999995</v>
      </c>
      <c r="E19" s="41">
        <f>E16-E17</f>
        <v>5194.0189999999993</v>
      </c>
      <c r="F19" s="41">
        <f>F16-F17</f>
        <v>11538.893</v>
      </c>
      <c r="G19" s="41">
        <f>G16-G17</f>
        <v>8392.780999999999</v>
      </c>
      <c r="H19" s="41">
        <f>H16-H17</f>
        <v>15758.5648</v>
      </c>
      <c r="I19" s="6"/>
    </row>
    <row r="20" spans="1:9" x14ac:dyDescent="0.3">
      <c r="A20" s="6"/>
      <c r="B20" s="6"/>
      <c r="C20" s="6"/>
      <c r="D20" s="6"/>
      <c r="E20" s="6"/>
      <c r="F20" s="6"/>
      <c r="G20" s="6"/>
      <c r="H20" s="6"/>
      <c r="I20" s="6"/>
    </row>
    <row r="21" spans="1:9" x14ac:dyDescent="0.3">
      <c r="A21" s="6"/>
      <c r="B21" s="7" t="s">
        <v>251</v>
      </c>
      <c r="C21" s="7"/>
      <c r="D21" s="7"/>
      <c r="E21" s="7"/>
      <c r="F21" s="7"/>
      <c r="G21" s="7"/>
      <c r="H21" s="7"/>
      <c r="I21" s="7"/>
    </row>
    <row r="22" spans="1:9" x14ac:dyDescent="0.3">
      <c r="A22" s="6"/>
      <c r="B22" s="10" t="s">
        <v>252</v>
      </c>
      <c r="C22" s="11" t="s">
        <v>135</v>
      </c>
      <c r="D22" s="34">
        <v>605.91999999999996</v>
      </c>
      <c r="E22" s="34">
        <v>953.11699999999996</v>
      </c>
      <c r="F22" s="34">
        <v>1282.1010000000001</v>
      </c>
      <c r="G22" s="34">
        <v>1847.952</v>
      </c>
      <c r="H22" s="6"/>
      <c r="I22" s="11" t="s">
        <v>253</v>
      </c>
    </row>
    <row r="23" spans="1:9" x14ac:dyDescent="0.3">
      <c r="A23" s="6"/>
      <c r="B23" s="10" t="s">
        <v>254</v>
      </c>
      <c r="C23" s="11" t="s">
        <v>135</v>
      </c>
      <c r="D23" s="34">
        <v>-17.484999999999999</v>
      </c>
      <c r="E23" s="34">
        <v>25.863</v>
      </c>
      <c r="F23" s="34">
        <v>25.611999999999998</v>
      </c>
      <c r="G23" s="34">
        <v>-8.0960000000000001</v>
      </c>
      <c r="H23" s="6"/>
      <c r="I23" s="11" t="s">
        <v>255</v>
      </c>
    </row>
    <row r="24" spans="1:9" x14ac:dyDescent="0.3">
      <c r="A24" s="6"/>
      <c r="B24" s="10" t="s">
        <v>256</v>
      </c>
      <c r="C24" s="11" t="s">
        <v>135</v>
      </c>
      <c r="D24" s="34">
        <v>-4.242</v>
      </c>
      <c r="E24" s="34">
        <v>-5.37</v>
      </c>
      <c r="F24" s="34">
        <v>-18.166</v>
      </c>
      <c r="G24" s="34">
        <v>-1.296</v>
      </c>
      <c r="H24" s="6"/>
      <c r="I24" s="11" t="s">
        <v>257</v>
      </c>
    </row>
    <row r="25" spans="1:9" x14ac:dyDescent="0.3">
      <c r="A25" s="6"/>
      <c r="B25" s="10" t="s">
        <v>258</v>
      </c>
      <c r="C25" s="11" t="s">
        <v>197</v>
      </c>
      <c r="D25" s="15">
        <f>D22/D8</f>
        <v>0.9799600190709723</v>
      </c>
      <c r="E25" s="15">
        <f>E22/E8</f>
        <v>1.168678966310071</v>
      </c>
      <c r="F25" s="15">
        <f>F22/F8</f>
        <v>1.0218441604009345</v>
      </c>
      <c r="G25" s="15">
        <f>G22/G8</f>
        <v>1.0682519951384746</v>
      </c>
      <c r="H25" s="6"/>
      <c r="I25" s="11" t="s">
        <v>259</v>
      </c>
    </row>
    <row r="26" spans="1:9" x14ac:dyDescent="0.3">
      <c r="A26" s="6"/>
      <c r="B26" s="10" t="s">
        <v>260</v>
      </c>
      <c r="C26" s="11" t="s">
        <v>197</v>
      </c>
      <c r="D26" s="15">
        <f>D22/D10</f>
        <v>2.4603496471911992</v>
      </c>
      <c r="E26" s="15">
        <f>E22/E10</f>
        <v>7.263850370198397</v>
      </c>
      <c r="F26" s="15">
        <f>F22/F10</f>
        <v>61.840814246796974</v>
      </c>
      <c r="G26" s="15">
        <f>G22/G10</f>
        <v>9.7959771583905368</v>
      </c>
      <c r="H26" s="6"/>
      <c r="I26" s="11" t="s">
        <v>261</v>
      </c>
    </row>
    <row r="27" spans="1:9" x14ac:dyDescent="0.3">
      <c r="A27" s="6"/>
      <c r="B27" s="10" t="s">
        <v>262</v>
      </c>
      <c r="C27" s="11" t="s">
        <v>158</v>
      </c>
      <c r="D27" s="6"/>
      <c r="E27" s="16">
        <f>(E10-E22)/AVERAGE(D18,E18)</f>
        <v>-5.7311690468400824E-2</v>
      </c>
      <c r="F27" s="16">
        <f>(F10-F22)/AVERAGE(E18,F18)</f>
        <v>-6.4113870421470973E-2</v>
      </c>
      <c r="G27" s="16">
        <f>(G10-G22)/AVERAGE(F18,G18)</f>
        <v>-6.4724445953952409E-2</v>
      </c>
      <c r="H27" s="6"/>
      <c r="I27" s="11" t="s">
        <v>263</v>
      </c>
    </row>
    <row r="28" spans="1:9" x14ac:dyDescent="0.3">
      <c r="A28" s="6"/>
      <c r="B28" s="10" t="s">
        <v>264</v>
      </c>
      <c r="C28" s="11" t="s">
        <v>197</v>
      </c>
      <c r="D28" s="15">
        <f>(D22+D24)/D8</f>
        <v>0.97309939324429717</v>
      </c>
      <c r="E28" s="15">
        <f>(E22+E24)/E8</f>
        <v>1.1620944587951645</v>
      </c>
      <c r="F28" s="15">
        <f>(F22+F24)/F8</f>
        <v>1.007365721480878</v>
      </c>
      <c r="G28" s="15">
        <f>(G22+G24)/G8</f>
        <v>1.0675028119423202</v>
      </c>
      <c r="H28" s="6"/>
      <c r="I28" s="6"/>
    </row>
    <row r="29" spans="1:9" x14ac:dyDescent="0.3">
      <c r="A29" s="6"/>
      <c r="B29" s="10" t="s">
        <v>265</v>
      </c>
      <c r="C29" s="11" t="s">
        <v>158</v>
      </c>
      <c r="D29" s="16">
        <f>IFERROR(ABS(D23)/ABS(Fin_Proj!D36),0)</f>
        <v>0.79167798605451423</v>
      </c>
      <c r="E29" s="16">
        <f>IFERROR(ABS(E23)/ABS(Fin_Proj!E36),0)</f>
        <v>2.8240882288709326</v>
      </c>
      <c r="F29" s="16">
        <f>IFERROR(ABS(F23)/ABS(Fin_Proj!F36),0)</f>
        <v>0.3722079318713577</v>
      </c>
      <c r="G29" s="16">
        <f>IFERROR(ABS(G23)/ABS(Fin_Proj!G36),0)</f>
        <v>9.1734179366608132E-2</v>
      </c>
      <c r="H29" s="6"/>
      <c r="I29" s="11" t="s">
        <v>266</v>
      </c>
    </row>
    <row r="30" spans="1:9" x14ac:dyDescent="0.3">
      <c r="A30" s="6"/>
      <c r="B30" s="6"/>
      <c r="C30" s="6"/>
      <c r="D30" s="6"/>
      <c r="E30" s="6"/>
      <c r="F30" s="6"/>
      <c r="G30" s="6"/>
      <c r="H30" s="6"/>
      <c r="I30" s="6"/>
    </row>
    <row r="31" spans="1:9" x14ac:dyDescent="0.3">
      <c r="A31" s="6"/>
      <c r="B31" s="7" t="s">
        <v>267</v>
      </c>
      <c r="C31" s="7"/>
      <c r="D31" s="7"/>
      <c r="E31" s="7"/>
      <c r="F31" s="7"/>
      <c r="G31" s="7"/>
      <c r="H31" s="7"/>
      <c r="I31" s="7"/>
    </row>
    <row r="32" spans="1:9" x14ac:dyDescent="0.3">
      <c r="A32" s="6"/>
      <c r="B32" s="10" t="s">
        <v>268</v>
      </c>
      <c r="C32" s="11" t="s">
        <v>197</v>
      </c>
      <c r="D32" s="27">
        <f>D19/D8</f>
        <v>7.9418294046217168</v>
      </c>
      <c r="E32" s="27">
        <f>E19/E8</f>
        <v>6.3687257240347908</v>
      </c>
      <c r="F32" s="27">
        <f>F19/F8</f>
        <v>9.1965846914878142</v>
      </c>
      <c r="G32" s="27">
        <f>G19/G8</f>
        <v>4.851643899847117</v>
      </c>
      <c r="H32" s="27">
        <f>H19/H8</f>
        <v>7.3764335388914812</v>
      </c>
      <c r="I32" s="11" t="s">
        <v>269</v>
      </c>
    </row>
    <row r="33" spans="1:9" x14ac:dyDescent="0.3">
      <c r="A33" s="6"/>
      <c r="B33" s="10" t="s">
        <v>270</v>
      </c>
      <c r="C33" s="11" t="s">
        <v>197</v>
      </c>
      <c r="D33" s="15">
        <f>Fin_Proj!D32/Fin_Proj!D34</f>
        <v>1.9697020672684353</v>
      </c>
      <c r="E33" s="15">
        <f>Fin_Proj!E32/Fin_Proj!E34</f>
        <v>1.2494854831733537</v>
      </c>
      <c r="F33" s="15">
        <f>Fin_Proj!F32/Fin_Proj!F34</f>
        <v>0.98992169524335261</v>
      </c>
      <c r="G33" s="15">
        <f>Fin_Proj!G32/Fin_Proj!G34</f>
        <v>1.2057324241168752</v>
      </c>
      <c r="H33" s="15">
        <f>Fin_Proj!H32/Fin_Proj!H34</f>
        <v>1.7100651341462585</v>
      </c>
      <c r="I33" s="6"/>
    </row>
    <row r="34" spans="1:9" x14ac:dyDescent="0.3">
      <c r="A34" s="6"/>
      <c r="B34" s="10" t="s">
        <v>271</v>
      </c>
      <c r="C34" s="11" t="s">
        <v>197</v>
      </c>
      <c r="D34" s="15">
        <f>Fin_Proj!D29/Fin_Proj!D34</f>
        <v>2.9716629552430978</v>
      </c>
      <c r="E34" s="15">
        <f>Fin_Proj!E29/Fin_Proj!E34</f>
        <v>1.8858539544895772</v>
      </c>
      <c r="F34" s="15">
        <f>Fin_Proj!F29/Fin_Proj!F34</f>
        <v>1.4723008109193862</v>
      </c>
      <c r="G34" s="15">
        <f>Fin_Proj!G29/Fin_Proj!G34</f>
        <v>1.6044526713490088</v>
      </c>
      <c r="H34" s="15">
        <f>Fin_Proj!H29/Fin_Proj!H34</f>
        <v>2.191611739534141</v>
      </c>
      <c r="I34" s="6"/>
    </row>
    <row r="35" spans="1:9" x14ac:dyDescent="0.3">
      <c r="A35" s="6"/>
      <c r="B35" s="10" t="s">
        <v>272</v>
      </c>
      <c r="C35" s="11" t="s">
        <v>197</v>
      </c>
      <c r="D35" s="15">
        <f>D16/D14</f>
        <v>0.58156720493694436</v>
      </c>
      <c r="E35" s="15">
        <f>E16/E14</f>
        <v>0.65421279142684829</v>
      </c>
      <c r="F35" s="15">
        <f>F16/F14</f>
        <v>1.1908441975279132</v>
      </c>
      <c r="G35" s="15">
        <f>G16/G14</f>
        <v>0.6456576373920877</v>
      </c>
      <c r="H35" s="6"/>
      <c r="I35" s="6"/>
    </row>
    <row r="36" spans="1:9" x14ac:dyDescent="0.3">
      <c r="A36" s="6"/>
      <c r="B36" s="6"/>
      <c r="C36" s="6"/>
      <c r="D36" s="6"/>
      <c r="E36" s="6"/>
      <c r="F36" s="6"/>
      <c r="G36" s="6"/>
      <c r="H36" s="6"/>
      <c r="I36" s="6"/>
    </row>
    <row r="37" spans="1:9" x14ac:dyDescent="0.3">
      <c r="A37" s="6"/>
      <c r="B37" s="7" t="s">
        <v>273</v>
      </c>
      <c r="C37" s="7"/>
      <c r="D37" s="7"/>
      <c r="E37" s="7"/>
      <c r="F37" s="7"/>
      <c r="G37" s="7"/>
      <c r="H37" s="7"/>
      <c r="I37" s="7"/>
    </row>
    <row r="38" spans="1:9" x14ac:dyDescent="0.3">
      <c r="A38" s="6"/>
      <c r="B38" s="10" t="s">
        <v>274</v>
      </c>
      <c r="C38" s="11" t="s">
        <v>158</v>
      </c>
      <c r="D38" s="16">
        <f>D10/D6</f>
        <v>0.28088100748579314</v>
      </c>
      <c r="E38" s="16">
        <f>E10/E6</f>
        <v>0.10961892499216713</v>
      </c>
      <c r="F38" s="16">
        <f>F10/F6</f>
        <v>1.1644201069649087E-2</v>
      </c>
      <c r="G38" s="16">
        <f>G10/G6</f>
        <v>7.9076375103982618E-2</v>
      </c>
      <c r="H38" s="6"/>
      <c r="I38" s="6"/>
    </row>
    <row r="39" spans="1:9" x14ac:dyDescent="0.3">
      <c r="A39" s="6"/>
      <c r="B39" s="10" t="s">
        <v>275</v>
      </c>
      <c r="C39" s="11" t="s">
        <v>197</v>
      </c>
      <c r="D39" s="33">
        <f>D6/D18</f>
        <v>6.0844945667848142E-2</v>
      </c>
      <c r="E39" s="33">
        <f>E6/E18</f>
        <v>8.3872684661775235E-2</v>
      </c>
      <c r="F39" s="33">
        <f>F6/F18</f>
        <v>7.1002979126177493E-2</v>
      </c>
      <c r="G39" s="33">
        <f>G6/G18</f>
        <v>9.1064085267051967E-2</v>
      </c>
      <c r="H39" s="6"/>
      <c r="I39" s="6"/>
    </row>
    <row r="40" spans="1:9" x14ac:dyDescent="0.3">
      <c r="A40" s="6"/>
      <c r="B40" s="10" t="s">
        <v>276</v>
      </c>
      <c r="C40" s="11" t="s">
        <v>197</v>
      </c>
      <c r="D40" s="15">
        <f>D18/D14</f>
        <v>1.6223937308469973</v>
      </c>
      <c r="E40" s="15">
        <f>E18/E14</f>
        <v>1.7125111204599908</v>
      </c>
      <c r="F40" s="15">
        <f>F18/F14</f>
        <v>2.4768620287373992</v>
      </c>
      <c r="G40" s="15">
        <f>G18/G14</f>
        <v>1.867212927800016</v>
      </c>
      <c r="H40" s="6"/>
      <c r="I40" s="6"/>
    </row>
    <row r="41" spans="1:9" x14ac:dyDescent="0.3">
      <c r="A41" s="6"/>
      <c r="B41" s="23" t="s">
        <v>277</v>
      </c>
      <c r="C41" s="11" t="s">
        <v>158</v>
      </c>
      <c r="D41" s="25">
        <f>D38*D39*D40</f>
        <v>2.7727016530279074E-2</v>
      </c>
      <c r="E41" s="25">
        <f>E38*E39*E40</f>
        <v>1.5744884660004798E-2</v>
      </c>
      <c r="F41" s="25">
        <f>F38*F39*F40</f>
        <v>2.0478025646070825E-3</v>
      </c>
      <c r="G41" s="25">
        <f>G38*G39*G40</f>
        <v>1.3445833464272076E-2</v>
      </c>
      <c r="H41" s="6"/>
      <c r="I41" s="6"/>
    </row>
    <row r="42" spans="1:9" x14ac:dyDescent="0.3">
      <c r="A42" s="6"/>
      <c r="B42" s="10" t="s">
        <v>278</v>
      </c>
      <c r="C42" s="11" t="s">
        <v>158</v>
      </c>
      <c r="D42" s="16">
        <f>Fin_Proj!D32*(1-Inputs!$C$42)/(D14+D15+D19)</f>
        <v>2.2234999044692866E-2</v>
      </c>
      <c r="E42" s="16">
        <f>Fin_Proj!E32*(1-Inputs!$C$42)/(E14+E15+E19)</f>
        <v>2.9889874931476809E-2</v>
      </c>
      <c r="F42" s="16">
        <f>Fin_Proj!F32*(1-Inputs!$C$42)/(F14+F15+F19)</f>
        <v>2.6671406497516936E-2</v>
      </c>
      <c r="G42" s="16">
        <f>Fin_Proj!G32*(1-Inputs!$C$42)/(G14+G15+G19)</f>
        <v>3.9862678859633793E-2</v>
      </c>
      <c r="H42" s="6"/>
      <c r="I42" s="11" t="s">
        <v>279</v>
      </c>
    </row>
    <row r="43" spans="1:9" x14ac:dyDescent="0.3">
      <c r="A43" s="6"/>
      <c r="B43" s="10" t="s">
        <v>280</v>
      </c>
      <c r="C43" s="11" t="s">
        <v>129</v>
      </c>
      <c r="D43" s="6"/>
      <c r="E43" s="6"/>
      <c r="F43" s="6"/>
      <c r="G43" s="15">
        <v>230.84700000000001</v>
      </c>
      <c r="H43" s="6"/>
      <c r="I43" s="11" t="s">
        <v>281</v>
      </c>
    </row>
    <row r="44" spans="1:9" x14ac:dyDescent="0.3">
      <c r="A44" s="6"/>
      <c r="B44" s="10" t="s">
        <v>282</v>
      </c>
      <c r="C44" s="11" t="s">
        <v>129</v>
      </c>
      <c r="D44" s="6"/>
      <c r="E44" s="6"/>
      <c r="F44" s="6"/>
      <c r="G44" s="6"/>
      <c r="H44" s="15">
        <f>Inputs!$C$13</f>
        <v>386.66</v>
      </c>
      <c r="I44" s="6"/>
    </row>
    <row r="45" spans="1:9" x14ac:dyDescent="0.3">
      <c r="A45" s="6"/>
      <c r="B45" s="10" t="s">
        <v>283</v>
      </c>
      <c r="C45" s="11" t="s">
        <v>197</v>
      </c>
      <c r="D45" s="6"/>
      <c r="E45" s="6"/>
      <c r="F45" s="6"/>
      <c r="G45" s="6"/>
      <c r="H45" s="15">
        <f>H44/G43</f>
        <v>1.6749622044037826</v>
      </c>
      <c r="I45" s="11" t="s">
        <v>284</v>
      </c>
    </row>
    <row r="46" spans="1:9" x14ac:dyDescent="0.3">
      <c r="A46" s="6"/>
      <c r="B46" s="6"/>
      <c r="C46" s="6"/>
      <c r="D46" s="6"/>
      <c r="E46" s="6"/>
      <c r="F46" s="6"/>
      <c r="G46" s="6"/>
      <c r="H46" s="6"/>
      <c r="I46" s="6"/>
    </row>
    <row r="47" spans="1:9" x14ac:dyDescent="0.3">
      <c r="A47" s="6"/>
      <c r="B47" s="7" t="s">
        <v>285</v>
      </c>
      <c r="C47" s="7"/>
      <c r="D47" s="7"/>
      <c r="E47" s="7"/>
      <c r="F47" s="7"/>
      <c r="G47" s="7"/>
      <c r="H47" s="7"/>
      <c r="I47" s="7"/>
    </row>
    <row r="48" spans="1:9" x14ac:dyDescent="0.3">
      <c r="A48" s="6"/>
      <c r="B48" s="8"/>
      <c r="C48" s="8"/>
      <c r="D48" s="8" t="s">
        <v>286</v>
      </c>
      <c r="E48" s="8" t="s">
        <v>287</v>
      </c>
      <c r="F48" s="8" t="s">
        <v>288</v>
      </c>
      <c r="G48" s="8" t="s">
        <v>289</v>
      </c>
      <c r="H48" s="8" t="s">
        <v>290</v>
      </c>
      <c r="I48" s="6"/>
    </row>
    <row r="49" spans="1:9" x14ac:dyDescent="0.3">
      <c r="A49" s="6"/>
      <c r="B49" s="10" t="s">
        <v>291</v>
      </c>
      <c r="C49" s="6"/>
      <c r="D49" s="34">
        <v>167.53608489786799</v>
      </c>
      <c r="E49" s="34">
        <v>191.19454056117499</v>
      </c>
      <c r="F49" s="34">
        <v>208.701293651702</v>
      </c>
      <c r="G49" s="34">
        <v>224.912372352343</v>
      </c>
      <c r="H49" s="34">
        <f>SUM(D49:G49)</f>
        <v>792.34429146308798</v>
      </c>
      <c r="I49" s="6"/>
    </row>
    <row r="50" spans="1:9" x14ac:dyDescent="0.3">
      <c r="A50" s="6"/>
      <c r="B50" s="10" t="s">
        <v>292</v>
      </c>
      <c r="C50" s="6"/>
      <c r="D50" s="34">
        <v>20.436</v>
      </c>
      <c r="E50" s="34">
        <v>29.695</v>
      </c>
      <c r="F50" s="34">
        <v>2.0019999999999998</v>
      </c>
      <c r="G50" s="34">
        <v>169.535</v>
      </c>
      <c r="H50" s="34">
        <f>SUM(D50:G50)</f>
        <v>221.66800000000001</v>
      </c>
      <c r="I50" s="6"/>
    </row>
    <row r="51" spans="1:9" x14ac:dyDescent="0.3">
      <c r="A51" s="6"/>
      <c r="B51" s="10" t="s">
        <v>293</v>
      </c>
      <c r="C51" s="6"/>
      <c r="D51" s="16">
        <f>D50/D49</f>
        <v>0.12197969179271458</v>
      </c>
      <c r="E51" s="16">
        <f>E50/E49</f>
        <v>0.15531301214376844</v>
      </c>
      <c r="F51" s="16">
        <f>F50/F49</f>
        <v>9.5926573571752903E-3</v>
      </c>
      <c r="G51" s="16">
        <f>G50/G49</f>
        <v>0.75378245414800937</v>
      </c>
      <c r="H51" s="16">
        <f>H50/H49</f>
        <v>0.27976222254429733</v>
      </c>
      <c r="I51" s="11" t="s">
        <v>294</v>
      </c>
    </row>
    <row r="52" spans="1:9" x14ac:dyDescent="0.3">
      <c r="A52" s="6"/>
      <c r="B52" s="10" t="s">
        <v>295</v>
      </c>
      <c r="C52" s="6"/>
      <c r="D52" s="6"/>
      <c r="E52" s="6"/>
      <c r="F52" s="6"/>
      <c r="G52" s="6"/>
      <c r="H52" s="34">
        <f>H49*Inputs!$C$42</f>
        <v>199.43305816125923</v>
      </c>
      <c r="I52" s="6"/>
    </row>
    <row r="53" spans="1:9" x14ac:dyDescent="0.3">
      <c r="A53" s="6"/>
      <c r="B53" s="23" t="s">
        <v>296</v>
      </c>
      <c r="C53" s="6"/>
      <c r="D53" s="6"/>
      <c r="E53" s="6"/>
      <c r="F53" s="6"/>
      <c r="G53" s="6"/>
      <c r="H53" s="41">
        <f>H50-H52</f>
        <v>22.234941838740781</v>
      </c>
      <c r="I53" s="6"/>
    </row>
    <row r="54" spans="1:9" x14ac:dyDescent="0.3">
      <c r="A54" s="6"/>
      <c r="B54" s="10" t="s">
        <v>297</v>
      </c>
      <c r="C54" s="6"/>
      <c r="D54" s="6"/>
      <c r="E54" s="6"/>
      <c r="F54" s="6"/>
      <c r="G54" s="6"/>
      <c r="H54" s="34">
        <f>Fin_Proj!H37</f>
        <v>570.6762914630898</v>
      </c>
      <c r="I54" s="6"/>
    </row>
    <row r="55" spans="1:9" x14ac:dyDescent="0.3">
      <c r="A55" s="6"/>
      <c r="B55" s="23" t="s">
        <v>298</v>
      </c>
      <c r="C55" s="6"/>
      <c r="D55" s="6"/>
      <c r="E55" s="6"/>
      <c r="F55" s="6"/>
      <c r="G55" s="6"/>
      <c r="H55" s="41">
        <f>H54+H53</f>
        <v>592.91123330183063</v>
      </c>
      <c r="I55" s="6"/>
    </row>
    <row r="56" spans="1:9" x14ac:dyDescent="0.3">
      <c r="A56" s="6"/>
      <c r="B56" s="6"/>
      <c r="C56" s="6"/>
      <c r="D56" s="6"/>
      <c r="E56" s="6"/>
      <c r="F56" s="6"/>
      <c r="G56" s="6"/>
      <c r="H56" s="6"/>
      <c r="I56" s="6"/>
    </row>
    <row r="57" spans="1:9" x14ac:dyDescent="0.3">
      <c r="A57" s="6"/>
      <c r="B57" s="7" t="s">
        <v>299</v>
      </c>
      <c r="C57" s="7"/>
      <c r="D57" s="7"/>
      <c r="E57" s="7"/>
      <c r="F57" s="7"/>
      <c r="G57" s="7"/>
      <c r="H57" s="7"/>
      <c r="I57" s="7"/>
    </row>
    <row r="58" spans="1:9" ht="26.4" x14ac:dyDescent="0.3">
      <c r="A58" s="6"/>
      <c r="B58" s="8" t="s">
        <v>116</v>
      </c>
      <c r="C58" s="8"/>
      <c r="D58" s="8" t="s">
        <v>300</v>
      </c>
      <c r="E58" s="6"/>
      <c r="F58" s="6"/>
      <c r="G58" s="6"/>
      <c r="H58" s="6"/>
      <c r="I58" s="6"/>
    </row>
    <row r="59" spans="1:9" ht="27.75" customHeight="1" x14ac:dyDescent="0.3">
      <c r="A59" s="6"/>
      <c r="B59" s="13" t="s">
        <v>301</v>
      </c>
      <c r="C59" s="6"/>
      <c r="D59" s="11" t="s">
        <v>302</v>
      </c>
      <c r="E59" s="6"/>
      <c r="F59" s="6"/>
      <c r="G59" s="6"/>
      <c r="H59" s="6"/>
      <c r="I59" s="6"/>
    </row>
    <row r="60" spans="1:9" ht="27.75" customHeight="1" x14ac:dyDescent="0.3">
      <c r="A60" s="6"/>
      <c r="B60" s="13" t="s">
        <v>303</v>
      </c>
      <c r="C60" s="6"/>
      <c r="D60" s="11" t="s">
        <v>304</v>
      </c>
      <c r="E60" s="6"/>
      <c r="F60" s="6"/>
      <c r="G60" s="6"/>
      <c r="H60" s="6"/>
      <c r="I60" s="6"/>
    </row>
    <row r="61" spans="1:9" ht="27.75" customHeight="1" x14ac:dyDescent="0.3">
      <c r="A61" s="6"/>
      <c r="B61" s="13" t="s">
        <v>305</v>
      </c>
      <c r="C61" s="6"/>
      <c r="D61" s="11" t="s">
        <v>306</v>
      </c>
      <c r="E61" s="6"/>
      <c r="F61" s="6"/>
      <c r="G61" s="6"/>
      <c r="H61" s="6"/>
      <c r="I61" s="6"/>
    </row>
    <row r="62" spans="1:9" ht="27.75" customHeight="1" x14ac:dyDescent="0.3">
      <c r="A62" s="6"/>
      <c r="B62" s="13" t="s">
        <v>307</v>
      </c>
      <c r="C62" s="6"/>
      <c r="D62" s="11" t="s">
        <v>308</v>
      </c>
      <c r="E62" s="6"/>
      <c r="F62" s="6"/>
      <c r="G62" s="6"/>
      <c r="H62" s="6"/>
      <c r="I62" s="6"/>
    </row>
    <row r="63" spans="1:9" ht="27.75" customHeight="1" x14ac:dyDescent="0.3">
      <c r="A63" s="6"/>
      <c r="B63" s="13" t="s">
        <v>309</v>
      </c>
      <c r="C63" s="6"/>
      <c r="D63" s="11" t="s">
        <v>310</v>
      </c>
      <c r="E63" s="6"/>
      <c r="F63" s="6"/>
      <c r="G63" s="6"/>
      <c r="H63" s="6"/>
      <c r="I63" s="6"/>
    </row>
    <row r="64" spans="1:9" ht="27.75" customHeight="1" x14ac:dyDescent="0.3">
      <c r="A64" s="6"/>
      <c r="B64" s="13" t="s">
        <v>311</v>
      </c>
      <c r="C64" s="6"/>
      <c r="D64" s="11" t="s">
        <v>312</v>
      </c>
      <c r="E64" s="6"/>
      <c r="F64" s="6"/>
      <c r="G64" s="6"/>
      <c r="H64" s="6"/>
      <c r="I64" s="6"/>
    </row>
    <row r="65" spans="1:9" ht="27.75" customHeight="1" x14ac:dyDescent="0.3">
      <c r="A65" s="6"/>
      <c r="B65" s="13" t="s">
        <v>313</v>
      </c>
      <c r="C65" s="6"/>
      <c r="D65" s="11" t="s">
        <v>314</v>
      </c>
      <c r="E65" s="6"/>
      <c r="F65" s="6"/>
      <c r="G65" s="6"/>
      <c r="H65" s="6"/>
      <c r="I65" s="6"/>
    </row>
    <row r="66" spans="1:9" ht="27.75" customHeight="1" x14ac:dyDescent="0.3">
      <c r="A66" s="6"/>
      <c r="B66" s="13" t="s">
        <v>315</v>
      </c>
      <c r="C66" s="6"/>
      <c r="D66" s="11" t="s">
        <v>316</v>
      </c>
      <c r="E66" s="6"/>
      <c r="F66" s="6"/>
      <c r="G66" s="6"/>
      <c r="H66" s="6"/>
      <c r="I66" s="6"/>
    </row>
    <row r="67" spans="1:9" ht="27.75" customHeight="1" x14ac:dyDescent="0.3">
      <c r="A67" s="6"/>
      <c r="B67" s="13" t="s">
        <v>317</v>
      </c>
      <c r="C67" s="6"/>
      <c r="D67" s="11" t="s">
        <v>318</v>
      </c>
      <c r="E67" s="6"/>
      <c r="F67" s="6"/>
      <c r="G67" s="6"/>
      <c r="H67" s="6"/>
      <c r="I67" s="6"/>
    </row>
    <row r="68" spans="1:9" ht="27.75" customHeight="1" x14ac:dyDescent="0.3">
      <c r="A68" s="6"/>
      <c r="B68" s="13" t="s">
        <v>319</v>
      </c>
      <c r="C68" s="6"/>
      <c r="D68" s="11" t="s">
        <v>320</v>
      </c>
      <c r="E68" s="6"/>
      <c r="F68" s="6"/>
      <c r="G68" s="6"/>
      <c r="H68" s="6"/>
      <c r="I68" s="6"/>
    </row>
  </sheetData>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A83"/>
  <sheetViews>
    <sheetView zoomScale="90" zoomScaleNormal="90" workbookViewId="0">
      <pane xSplit="2" ySplit="7" topLeftCell="C8" activePane="bottomRight" state="frozen"/>
      <selection pane="topRight" activeCell="C1" sqref="C1"/>
      <selection pane="bottomLeft" activeCell="A8" sqref="A8"/>
      <selection pane="bottomRight"/>
    </sheetView>
  </sheetViews>
  <sheetFormatPr defaultColWidth="8.6640625" defaultRowHeight="14.4" x14ac:dyDescent="0.3"/>
  <cols>
    <col min="1" max="1" width="2" customWidth="1"/>
    <col min="2" max="2" width="34" customWidth="1"/>
    <col min="3" max="26" width="11.44140625" customWidth="1"/>
    <col min="27" max="27" width="44" customWidth="1"/>
  </cols>
  <sheetData>
    <row r="1" spans="1:27" ht="24" customHeight="1" x14ac:dyDescent="0.3">
      <c r="A1" s="2"/>
      <c r="B1" s="4" t="s">
        <v>321</v>
      </c>
      <c r="C1" s="2"/>
      <c r="D1" s="2"/>
      <c r="E1" s="2"/>
      <c r="F1" s="2"/>
      <c r="G1" s="2"/>
      <c r="H1" s="2"/>
      <c r="I1" s="2"/>
      <c r="J1" s="2"/>
      <c r="K1" s="2"/>
      <c r="L1" s="2"/>
      <c r="M1" s="2"/>
      <c r="N1" s="2"/>
      <c r="O1" s="2"/>
      <c r="P1" s="2"/>
      <c r="Q1" s="2"/>
      <c r="R1" s="2"/>
      <c r="S1" s="2"/>
      <c r="T1" s="2"/>
      <c r="U1" s="2"/>
      <c r="V1" s="2"/>
      <c r="W1" s="2"/>
      <c r="X1" s="2"/>
      <c r="Y1" s="2"/>
      <c r="Z1" s="2"/>
      <c r="AA1" s="2"/>
    </row>
    <row r="2" spans="1:27" x14ac:dyDescent="0.3">
      <c r="A2" s="2"/>
      <c r="B2" s="14" t="s">
        <v>322</v>
      </c>
      <c r="C2" s="2"/>
      <c r="D2" s="2"/>
      <c r="E2" s="2"/>
      <c r="F2" s="2"/>
      <c r="G2" s="2"/>
      <c r="H2" s="2"/>
      <c r="I2" s="2"/>
      <c r="J2" s="2"/>
      <c r="K2" s="2"/>
      <c r="L2" s="2"/>
      <c r="M2" s="2"/>
      <c r="N2" s="2"/>
      <c r="O2" s="2"/>
      <c r="P2" s="2"/>
      <c r="Q2" s="2"/>
      <c r="R2" s="2"/>
      <c r="S2" s="2"/>
      <c r="T2" s="2"/>
      <c r="U2" s="2"/>
      <c r="V2" s="2"/>
      <c r="W2" s="2"/>
      <c r="X2" s="2"/>
      <c r="Y2" s="2"/>
      <c r="Z2" s="2"/>
      <c r="AA2" s="2"/>
    </row>
    <row r="3" spans="1:27" x14ac:dyDescent="0.3">
      <c r="A3" s="6"/>
      <c r="B3" s="6"/>
      <c r="C3" s="6"/>
      <c r="D3" s="6"/>
      <c r="E3" s="6"/>
      <c r="F3" s="6"/>
      <c r="G3" s="6"/>
      <c r="H3" s="6"/>
      <c r="I3" s="6"/>
      <c r="J3" s="6"/>
      <c r="K3" s="6"/>
      <c r="L3" s="6"/>
      <c r="M3" s="6"/>
      <c r="N3" s="6"/>
      <c r="O3" s="6"/>
      <c r="P3" s="6"/>
      <c r="Q3" s="6"/>
      <c r="R3" s="6"/>
      <c r="S3" s="6"/>
      <c r="T3" s="6"/>
      <c r="U3" s="6"/>
      <c r="V3" s="6"/>
      <c r="W3" s="6"/>
      <c r="X3" s="6"/>
      <c r="Y3" s="6"/>
      <c r="Z3" s="6"/>
      <c r="AA3" s="6"/>
    </row>
    <row r="4" spans="1:27" x14ac:dyDescent="0.3">
      <c r="A4" s="6"/>
      <c r="B4" s="6"/>
      <c r="C4" s="6"/>
      <c r="D4" s="6"/>
      <c r="E4" s="6"/>
      <c r="F4" s="6"/>
      <c r="G4" s="6"/>
      <c r="H4" s="6"/>
      <c r="I4" s="6"/>
      <c r="J4" s="6"/>
      <c r="K4" s="6"/>
      <c r="L4" s="6"/>
      <c r="M4" s="6"/>
      <c r="N4" s="6"/>
      <c r="O4" s="6"/>
      <c r="P4" s="6"/>
      <c r="Q4" s="6"/>
      <c r="R4" s="6"/>
      <c r="S4" s="6"/>
      <c r="T4" s="6"/>
      <c r="U4" s="6"/>
      <c r="V4" s="6"/>
      <c r="W4" s="6"/>
      <c r="X4" s="6"/>
      <c r="Y4" s="6"/>
      <c r="Z4" s="6"/>
      <c r="AA4" s="6"/>
    </row>
    <row r="5" spans="1:27" x14ac:dyDescent="0.3">
      <c r="A5" s="6"/>
      <c r="B5" s="7" t="s">
        <v>323</v>
      </c>
      <c r="C5" s="7"/>
      <c r="D5" s="7"/>
      <c r="E5" s="7"/>
      <c r="F5" s="7"/>
      <c r="G5" s="7"/>
      <c r="H5" s="7"/>
      <c r="I5" s="7"/>
      <c r="J5" s="7"/>
      <c r="K5" s="7"/>
      <c r="L5" s="7"/>
      <c r="M5" s="7"/>
      <c r="N5" s="7"/>
      <c r="O5" s="7"/>
      <c r="P5" s="7"/>
      <c r="Q5" s="7"/>
      <c r="R5" s="7"/>
      <c r="S5" s="7"/>
      <c r="T5" s="7"/>
      <c r="U5" s="7"/>
      <c r="V5" s="7"/>
      <c r="W5" s="7"/>
      <c r="X5" s="7"/>
      <c r="Y5" s="7"/>
      <c r="Z5" s="7"/>
      <c r="AA5" s="7"/>
    </row>
    <row r="6" spans="1:27" x14ac:dyDescent="0.3">
      <c r="A6" s="6"/>
      <c r="B6" s="6"/>
      <c r="C6" s="6"/>
      <c r="D6" s="6"/>
      <c r="E6" s="6"/>
      <c r="F6" s="6"/>
      <c r="G6" s="6"/>
      <c r="H6" s="6"/>
      <c r="I6" s="6"/>
      <c r="J6" s="6"/>
      <c r="K6" s="6"/>
      <c r="L6" s="6"/>
      <c r="M6" s="6"/>
      <c r="N6" s="6"/>
      <c r="O6" s="6"/>
      <c r="P6" s="6"/>
      <c r="Q6" s="6"/>
      <c r="R6" s="6"/>
      <c r="S6" s="6"/>
      <c r="T6" s="6"/>
      <c r="U6" s="6"/>
      <c r="V6" s="6"/>
      <c r="W6" s="6"/>
      <c r="X6" s="6"/>
      <c r="Y6" s="6"/>
      <c r="Z6" s="6"/>
      <c r="AA6" s="6"/>
    </row>
    <row r="7" spans="1:27" ht="43.5" customHeight="1" x14ac:dyDescent="0.3">
      <c r="A7" s="6"/>
      <c r="B7" s="8" t="s">
        <v>324</v>
      </c>
      <c r="C7" s="8" t="s">
        <v>325</v>
      </c>
      <c r="D7" s="8" t="s">
        <v>326</v>
      </c>
      <c r="E7" s="8" t="s">
        <v>327</v>
      </c>
      <c r="F7" s="8" t="s">
        <v>328</v>
      </c>
      <c r="G7" s="8" t="s">
        <v>329</v>
      </c>
      <c r="H7" s="8" t="s">
        <v>330</v>
      </c>
      <c r="I7" s="8" t="s">
        <v>331</v>
      </c>
      <c r="J7" s="8" t="s">
        <v>332</v>
      </c>
      <c r="K7" s="8" t="s">
        <v>333</v>
      </c>
      <c r="L7" s="8" t="s">
        <v>334</v>
      </c>
      <c r="M7" s="8" t="s">
        <v>335</v>
      </c>
      <c r="N7" s="8" t="s">
        <v>336</v>
      </c>
      <c r="O7" s="8" t="s">
        <v>337</v>
      </c>
      <c r="P7" s="8" t="s">
        <v>338</v>
      </c>
      <c r="Q7" s="8" t="s">
        <v>339</v>
      </c>
      <c r="R7" s="8" t="s">
        <v>340</v>
      </c>
      <c r="S7" s="8" t="s">
        <v>341</v>
      </c>
      <c r="T7" s="8" t="s">
        <v>342</v>
      </c>
      <c r="U7" s="8" t="s">
        <v>343</v>
      </c>
      <c r="V7" s="6"/>
      <c r="W7" s="6"/>
      <c r="X7" s="6"/>
      <c r="Y7" s="6"/>
      <c r="Z7" s="6"/>
      <c r="AA7" s="6"/>
    </row>
    <row r="8" spans="1:27" x14ac:dyDescent="0.3">
      <c r="A8" s="6"/>
      <c r="B8" s="10" t="s">
        <v>344</v>
      </c>
      <c r="C8" s="16">
        <v>0.87</v>
      </c>
      <c r="D8" s="17">
        <v>7052</v>
      </c>
      <c r="E8" s="17">
        <v>6615</v>
      </c>
      <c r="F8" s="34">
        <v>105</v>
      </c>
      <c r="G8" s="42">
        <v>1.0294000000000001</v>
      </c>
      <c r="H8" s="17">
        <v>760</v>
      </c>
      <c r="I8" s="17">
        <v>309</v>
      </c>
      <c r="J8" s="17">
        <v>660</v>
      </c>
      <c r="K8" s="43">
        <v>106</v>
      </c>
      <c r="L8" s="43">
        <v>110</v>
      </c>
      <c r="M8" s="36">
        <v>0.94</v>
      </c>
      <c r="N8" s="36">
        <v>0.94499999999999995</v>
      </c>
      <c r="O8" s="36">
        <v>0.95250000000000001</v>
      </c>
      <c r="P8" s="44">
        <v>1.06</v>
      </c>
      <c r="Q8" s="44">
        <v>1.06</v>
      </c>
      <c r="R8" s="38">
        <v>50</v>
      </c>
      <c r="S8" s="38">
        <v>50</v>
      </c>
      <c r="T8" s="36">
        <v>0.24697738958328899</v>
      </c>
      <c r="U8" s="11" t="s">
        <v>345</v>
      </c>
      <c r="V8" s="6"/>
      <c r="W8" s="6"/>
      <c r="X8" s="6"/>
      <c r="Y8" s="6"/>
      <c r="Z8" s="6"/>
      <c r="AA8" s="6"/>
    </row>
    <row r="9" spans="1:27" x14ac:dyDescent="0.3">
      <c r="A9" s="6"/>
      <c r="B9" s="10" t="s">
        <v>346</v>
      </c>
      <c r="C9" s="16">
        <v>0.5</v>
      </c>
      <c r="D9" s="17">
        <v>4461</v>
      </c>
      <c r="E9" s="17">
        <v>4232</v>
      </c>
      <c r="F9" s="34">
        <v>168</v>
      </c>
      <c r="G9" s="42">
        <v>1.0182</v>
      </c>
      <c r="H9" s="17">
        <v>327</v>
      </c>
      <c r="I9" s="17">
        <v>613</v>
      </c>
      <c r="J9" s="17">
        <v>415</v>
      </c>
      <c r="K9" s="43">
        <v>174</v>
      </c>
      <c r="L9" s="43">
        <v>182</v>
      </c>
      <c r="M9" s="36">
        <v>0.93500000000000005</v>
      </c>
      <c r="N9" s="36">
        <v>0.95250000000000001</v>
      </c>
      <c r="O9" s="36">
        <v>0.95750000000000002</v>
      </c>
      <c r="P9" s="44">
        <v>1.04</v>
      </c>
      <c r="Q9" s="44">
        <v>1.06</v>
      </c>
      <c r="R9" s="38">
        <v>0</v>
      </c>
      <c r="S9" s="38">
        <v>0</v>
      </c>
      <c r="T9" s="36">
        <v>0.11356952610708</v>
      </c>
      <c r="U9" s="11" t="s">
        <v>347</v>
      </c>
      <c r="V9" s="6"/>
      <c r="W9" s="6"/>
      <c r="X9" s="6"/>
      <c r="Y9" s="6"/>
      <c r="Z9" s="6"/>
      <c r="AA9" s="6"/>
    </row>
    <row r="10" spans="1:27" x14ac:dyDescent="0.3">
      <c r="A10" s="6"/>
      <c r="B10" s="10" t="s">
        <v>348</v>
      </c>
      <c r="C10" s="16">
        <v>0.5</v>
      </c>
      <c r="D10" s="17">
        <v>3778</v>
      </c>
      <c r="E10" s="17">
        <v>3238</v>
      </c>
      <c r="F10" s="34">
        <v>85</v>
      </c>
      <c r="G10" s="42">
        <v>1.01623779889856</v>
      </c>
      <c r="H10" s="17">
        <v>131</v>
      </c>
      <c r="I10" s="17">
        <v>226</v>
      </c>
      <c r="J10" s="17">
        <v>0</v>
      </c>
      <c r="K10" s="43">
        <v>86</v>
      </c>
      <c r="L10" s="43">
        <v>91</v>
      </c>
      <c r="M10" s="36">
        <v>0.88249999999999995</v>
      </c>
      <c r="N10" s="36">
        <v>0.91</v>
      </c>
      <c r="O10" s="36">
        <v>0.92500000000000004</v>
      </c>
      <c r="P10" s="44">
        <v>1.03</v>
      </c>
      <c r="Q10" s="44">
        <v>1.06</v>
      </c>
      <c r="R10" s="38">
        <v>25</v>
      </c>
      <c r="S10" s="38">
        <v>25</v>
      </c>
      <c r="T10" s="36">
        <v>0.40788801457671597</v>
      </c>
      <c r="U10" s="11" t="s">
        <v>349</v>
      </c>
      <c r="V10" s="6"/>
      <c r="W10" s="6"/>
      <c r="X10" s="6"/>
      <c r="Y10" s="6"/>
      <c r="Z10" s="6"/>
      <c r="AA10" s="6"/>
    </row>
    <row r="11" spans="1:27" x14ac:dyDescent="0.3">
      <c r="A11" s="6"/>
      <c r="B11" s="10" t="s">
        <v>350</v>
      </c>
      <c r="C11" s="16">
        <v>1</v>
      </c>
      <c r="D11" s="17">
        <v>4060</v>
      </c>
      <c r="E11" s="17">
        <v>3367</v>
      </c>
      <c r="F11" s="34">
        <v>92</v>
      </c>
      <c r="G11" s="42">
        <v>1.02</v>
      </c>
      <c r="H11" s="17">
        <v>151</v>
      </c>
      <c r="I11" s="17">
        <v>0</v>
      </c>
      <c r="J11" s="17">
        <v>13</v>
      </c>
      <c r="K11" s="43">
        <v>88</v>
      </c>
      <c r="L11" s="43">
        <v>88</v>
      </c>
      <c r="M11" s="36">
        <v>0.82750000000000001</v>
      </c>
      <c r="N11" s="36">
        <v>0.82</v>
      </c>
      <c r="O11" s="36">
        <v>0.84</v>
      </c>
      <c r="P11" s="44">
        <v>1.03</v>
      </c>
      <c r="Q11" s="44">
        <v>1.06</v>
      </c>
      <c r="R11" s="38">
        <v>25</v>
      </c>
      <c r="S11" s="38">
        <v>25</v>
      </c>
      <c r="T11" s="36">
        <v>0.55506209550177898</v>
      </c>
      <c r="U11" s="11" t="s">
        <v>351</v>
      </c>
      <c r="V11" s="6"/>
      <c r="W11" s="6"/>
      <c r="X11" s="6"/>
      <c r="Y11" s="6"/>
      <c r="Z11" s="6"/>
      <c r="AA11" s="6"/>
    </row>
    <row r="12" spans="1:27" x14ac:dyDescent="0.3">
      <c r="A12" s="6"/>
      <c r="B12" s="10" t="s">
        <v>352</v>
      </c>
      <c r="C12" s="16">
        <v>1</v>
      </c>
      <c r="D12" s="17">
        <v>2017</v>
      </c>
      <c r="E12" s="17">
        <v>1944</v>
      </c>
      <c r="F12" s="34">
        <v>66</v>
      </c>
      <c r="G12" s="42">
        <v>1.02645692054288</v>
      </c>
      <c r="H12" s="17">
        <v>98</v>
      </c>
      <c r="I12" s="17">
        <v>0</v>
      </c>
      <c r="J12" s="17">
        <v>102</v>
      </c>
      <c r="K12" s="43">
        <v>69</v>
      </c>
      <c r="L12" s="43">
        <v>69</v>
      </c>
      <c r="M12" s="36">
        <v>0.98</v>
      </c>
      <c r="N12" s="36">
        <v>0.98</v>
      </c>
      <c r="O12" s="36">
        <v>0.98</v>
      </c>
      <c r="P12" s="44">
        <v>1.03</v>
      </c>
      <c r="Q12" s="44">
        <v>1.06</v>
      </c>
      <c r="R12" s="38">
        <v>100</v>
      </c>
      <c r="S12" s="38">
        <v>150</v>
      </c>
      <c r="T12" s="36">
        <v>0.75332786284525299</v>
      </c>
      <c r="U12" s="11" t="s">
        <v>353</v>
      </c>
      <c r="V12" s="6"/>
      <c r="W12" s="6"/>
      <c r="X12" s="6"/>
      <c r="Y12" s="6"/>
      <c r="Z12" s="6"/>
      <c r="AA12" s="6"/>
    </row>
    <row r="13" spans="1:27" x14ac:dyDescent="0.3">
      <c r="A13" s="6"/>
      <c r="B13" s="10" t="s">
        <v>354</v>
      </c>
      <c r="C13" s="16">
        <v>1</v>
      </c>
      <c r="D13" s="17">
        <v>3905</v>
      </c>
      <c r="E13" s="17">
        <v>3573</v>
      </c>
      <c r="F13" s="34">
        <v>66</v>
      </c>
      <c r="G13" s="42">
        <v>1.0154000000000001</v>
      </c>
      <c r="H13" s="17">
        <v>818</v>
      </c>
      <c r="I13" s="17">
        <v>44</v>
      </c>
      <c r="J13" s="17">
        <v>130</v>
      </c>
      <c r="K13" s="43">
        <v>66</v>
      </c>
      <c r="L13" s="43">
        <v>71</v>
      </c>
      <c r="M13" s="36">
        <v>0.9425</v>
      </c>
      <c r="N13" s="36">
        <v>0.94750000000000001</v>
      </c>
      <c r="O13" s="36">
        <v>0.95499999999999996</v>
      </c>
      <c r="P13" s="44">
        <v>1.03</v>
      </c>
      <c r="Q13" s="44">
        <v>1.06</v>
      </c>
      <c r="R13" s="38">
        <v>100</v>
      </c>
      <c r="S13" s="38">
        <v>150</v>
      </c>
      <c r="T13" s="36">
        <v>0.54869541715315995</v>
      </c>
      <c r="U13" s="11" t="s">
        <v>355</v>
      </c>
      <c r="V13" s="6"/>
      <c r="W13" s="6"/>
      <c r="X13" s="6"/>
      <c r="Y13" s="6"/>
      <c r="Z13" s="6"/>
      <c r="AA13" s="6"/>
    </row>
    <row r="14" spans="1:27" x14ac:dyDescent="0.3">
      <c r="A14" s="6"/>
      <c r="B14" s="10" t="s">
        <v>356</v>
      </c>
      <c r="C14" s="16">
        <v>1</v>
      </c>
      <c r="D14" s="17">
        <v>3167</v>
      </c>
      <c r="E14" s="17">
        <v>3130</v>
      </c>
      <c r="F14" s="34">
        <v>49</v>
      </c>
      <c r="G14" s="42">
        <v>1.0091212942161101</v>
      </c>
      <c r="H14" s="17">
        <v>306</v>
      </c>
      <c r="I14" s="17">
        <v>438</v>
      </c>
      <c r="J14" s="17">
        <v>5</v>
      </c>
      <c r="K14" s="43">
        <v>54</v>
      </c>
      <c r="L14" s="43">
        <v>62</v>
      </c>
      <c r="M14" s="36">
        <v>0.98</v>
      </c>
      <c r="N14" s="36">
        <v>0.98</v>
      </c>
      <c r="O14" s="36">
        <v>0.98750000000000004</v>
      </c>
      <c r="P14" s="44">
        <v>1.04</v>
      </c>
      <c r="Q14" s="44">
        <v>1.06</v>
      </c>
      <c r="R14" s="38">
        <v>150</v>
      </c>
      <c r="S14" s="38">
        <v>250</v>
      </c>
      <c r="T14" s="36">
        <v>0.58543760393057098</v>
      </c>
      <c r="U14" s="11" t="s">
        <v>357</v>
      </c>
      <c r="V14" s="6"/>
      <c r="W14" s="6"/>
      <c r="X14" s="6"/>
      <c r="Y14" s="6"/>
      <c r="Z14" s="6"/>
      <c r="AA14" s="6"/>
    </row>
    <row r="15" spans="1:27" x14ac:dyDescent="0.3">
      <c r="A15" s="6"/>
      <c r="B15" s="10" t="s">
        <v>358</v>
      </c>
      <c r="C15" s="16">
        <v>0.5</v>
      </c>
      <c r="D15" s="17">
        <v>1455</v>
      </c>
      <c r="E15" s="17">
        <v>1384</v>
      </c>
      <c r="F15" s="34">
        <v>230</v>
      </c>
      <c r="G15" s="42">
        <v>1.03</v>
      </c>
      <c r="H15" s="17">
        <v>136</v>
      </c>
      <c r="I15" s="17">
        <v>151</v>
      </c>
      <c r="J15" s="17">
        <v>36</v>
      </c>
      <c r="K15" s="43">
        <v>237</v>
      </c>
      <c r="L15" s="43">
        <v>236</v>
      </c>
      <c r="M15" s="36">
        <v>0.96</v>
      </c>
      <c r="N15" s="36">
        <v>0.96</v>
      </c>
      <c r="O15" s="36">
        <v>0.96</v>
      </c>
      <c r="P15" s="44">
        <v>1.1000000000000001</v>
      </c>
      <c r="Q15" s="44">
        <v>1.06</v>
      </c>
      <c r="R15" s="38">
        <v>0</v>
      </c>
      <c r="S15" s="38">
        <v>0</v>
      </c>
      <c r="T15" s="36">
        <v>0</v>
      </c>
      <c r="U15" s="11" t="s">
        <v>359</v>
      </c>
      <c r="V15" s="6"/>
      <c r="W15" s="6"/>
      <c r="X15" s="6"/>
      <c r="Y15" s="6"/>
      <c r="Z15" s="6"/>
      <c r="AA15" s="6"/>
    </row>
    <row r="16" spans="1:27" x14ac:dyDescent="0.3">
      <c r="A16" s="6"/>
      <c r="B16" s="10" t="s">
        <v>360</v>
      </c>
      <c r="C16" s="16">
        <v>0.5</v>
      </c>
      <c r="D16" s="17">
        <v>751</v>
      </c>
      <c r="E16" s="17">
        <v>695</v>
      </c>
      <c r="F16" s="34">
        <v>94</v>
      </c>
      <c r="G16" s="42">
        <v>1.03</v>
      </c>
      <c r="H16" s="17">
        <v>27</v>
      </c>
      <c r="I16" s="17">
        <v>20</v>
      </c>
      <c r="J16" s="17">
        <v>37</v>
      </c>
      <c r="K16" s="43">
        <v>93</v>
      </c>
      <c r="L16" s="43">
        <v>95</v>
      </c>
      <c r="M16" s="36">
        <v>0.92</v>
      </c>
      <c r="N16" s="36">
        <v>0.92</v>
      </c>
      <c r="O16" s="36">
        <v>0.92</v>
      </c>
      <c r="P16" s="44">
        <v>1.05</v>
      </c>
      <c r="Q16" s="44">
        <v>1.06</v>
      </c>
      <c r="R16" s="38">
        <v>0</v>
      </c>
      <c r="S16" s="38">
        <v>0</v>
      </c>
      <c r="T16" s="36">
        <v>0</v>
      </c>
      <c r="U16" s="11" t="s">
        <v>361</v>
      </c>
      <c r="V16" s="6"/>
      <c r="W16" s="6"/>
      <c r="X16" s="6"/>
      <c r="Y16" s="6"/>
      <c r="Z16" s="6"/>
      <c r="AA16" s="6"/>
    </row>
    <row r="17" spans="1:27" x14ac:dyDescent="0.3">
      <c r="A17" s="6"/>
      <c r="B17" s="10" t="s">
        <v>362</v>
      </c>
      <c r="C17" s="16">
        <v>0.5</v>
      </c>
      <c r="D17" s="6"/>
      <c r="E17" s="6"/>
      <c r="F17" s="38">
        <v>1404</v>
      </c>
      <c r="G17" s="44">
        <v>1.05</v>
      </c>
      <c r="H17" s="6"/>
      <c r="I17" s="6"/>
      <c r="J17" s="6"/>
      <c r="K17" s="6"/>
      <c r="L17" s="6"/>
      <c r="M17" s="6"/>
      <c r="N17" s="6"/>
      <c r="O17" s="6"/>
      <c r="P17" s="6"/>
      <c r="Q17" s="6"/>
      <c r="R17" s="6"/>
      <c r="S17" s="6"/>
      <c r="T17" s="6"/>
      <c r="U17" s="11" t="s">
        <v>363</v>
      </c>
      <c r="V17" s="6"/>
      <c r="W17" s="6"/>
      <c r="X17" s="6"/>
      <c r="Y17" s="6"/>
      <c r="Z17" s="6"/>
      <c r="AA17" s="6"/>
    </row>
    <row r="18" spans="1:27" x14ac:dyDescent="0.3">
      <c r="A18" s="6"/>
      <c r="B18" s="11" t="s">
        <v>364</v>
      </c>
      <c r="C18" s="6"/>
      <c r="D18" s="6"/>
      <c r="E18" s="6"/>
      <c r="F18" s="6"/>
      <c r="G18" s="6"/>
      <c r="H18" s="6"/>
      <c r="I18" s="6"/>
      <c r="J18" s="6"/>
      <c r="K18" s="6"/>
      <c r="L18" s="6"/>
      <c r="M18" s="6"/>
      <c r="N18" s="6"/>
      <c r="O18" s="6"/>
      <c r="P18" s="6"/>
      <c r="Q18" s="6"/>
      <c r="R18" s="6"/>
      <c r="S18" s="6"/>
      <c r="T18" s="6"/>
      <c r="U18" s="6"/>
      <c r="V18" s="6"/>
      <c r="W18" s="6"/>
      <c r="X18" s="6"/>
      <c r="Y18" s="6"/>
      <c r="Z18" s="6"/>
      <c r="AA18" s="6"/>
    </row>
    <row r="19" spans="1:27"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row>
    <row r="20" spans="1:27" x14ac:dyDescent="0.3">
      <c r="A20" s="6"/>
      <c r="B20" s="6"/>
      <c r="C20" s="6"/>
      <c r="D20" s="6"/>
      <c r="E20" s="6"/>
      <c r="F20" s="6"/>
      <c r="G20" s="6"/>
      <c r="H20" s="6"/>
      <c r="I20" s="6"/>
      <c r="J20" s="6"/>
      <c r="K20" s="6"/>
      <c r="L20" s="6"/>
      <c r="M20" s="6"/>
      <c r="N20" s="6"/>
      <c r="O20" s="6"/>
      <c r="P20" s="6"/>
      <c r="Q20" s="6"/>
      <c r="R20" s="6"/>
      <c r="S20" s="6"/>
      <c r="T20" s="6"/>
      <c r="U20" s="6"/>
      <c r="V20" s="6"/>
      <c r="W20" s="6"/>
      <c r="X20" s="6"/>
      <c r="Y20" s="6"/>
      <c r="Z20" s="6"/>
      <c r="AA20" s="6"/>
    </row>
    <row r="21" spans="1:27" x14ac:dyDescent="0.3">
      <c r="A21" s="6"/>
      <c r="B21" s="7" t="s">
        <v>365</v>
      </c>
      <c r="C21" s="7"/>
      <c r="D21" s="7"/>
      <c r="E21" s="7"/>
      <c r="F21" s="7"/>
      <c r="G21" s="7"/>
      <c r="H21" s="7"/>
      <c r="I21" s="7"/>
      <c r="J21" s="7"/>
      <c r="K21" s="7"/>
      <c r="L21" s="7"/>
      <c r="M21" s="7"/>
      <c r="N21" s="7"/>
      <c r="O21" s="7"/>
      <c r="P21" s="7"/>
      <c r="Q21" s="7"/>
      <c r="R21" s="7"/>
      <c r="S21" s="7"/>
      <c r="T21" s="7"/>
      <c r="U21" s="7"/>
      <c r="V21" s="7"/>
      <c r="W21" s="7"/>
      <c r="X21" s="7"/>
      <c r="Y21" s="7"/>
      <c r="Z21" s="7"/>
      <c r="AA21" s="7"/>
    </row>
    <row r="22" spans="1:27" ht="43.5" customHeight="1" x14ac:dyDescent="0.3">
      <c r="A22" s="6"/>
      <c r="B22" s="8" t="s">
        <v>324</v>
      </c>
      <c r="C22" s="8" t="s">
        <v>366</v>
      </c>
      <c r="D22" s="8" t="s">
        <v>367</v>
      </c>
      <c r="E22" s="8" t="s">
        <v>368</v>
      </c>
      <c r="F22" s="8" t="s">
        <v>369</v>
      </c>
      <c r="G22" s="8" t="s">
        <v>370</v>
      </c>
      <c r="H22" s="8" t="s">
        <v>371</v>
      </c>
      <c r="I22" s="8" t="s">
        <v>328</v>
      </c>
      <c r="J22" s="8" t="s">
        <v>372</v>
      </c>
      <c r="K22" s="8" t="s">
        <v>373</v>
      </c>
      <c r="L22" s="8" t="s">
        <v>374</v>
      </c>
      <c r="M22" s="8" t="s">
        <v>375</v>
      </c>
      <c r="N22" s="8" t="s">
        <v>376</v>
      </c>
      <c r="O22" s="8" t="s">
        <v>377</v>
      </c>
      <c r="P22" s="8" t="s">
        <v>378</v>
      </c>
      <c r="Q22" s="8" t="s">
        <v>379</v>
      </c>
      <c r="R22" s="8" t="s">
        <v>380</v>
      </c>
      <c r="S22" s="8" t="s">
        <v>381</v>
      </c>
      <c r="T22" s="8" t="s">
        <v>382</v>
      </c>
      <c r="U22" s="8" t="s">
        <v>383</v>
      </c>
      <c r="V22" s="8" t="s">
        <v>384</v>
      </c>
      <c r="W22" s="8" t="s">
        <v>385</v>
      </c>
      <c r="X22" s="8" t="s">
        <v>386</v>
      </c>
      <c r="Y22" s="8" t="s">
        <v>387</v>
      </c>
      <c r="Z22" s="8" t="s">
        <v>388</v>
      </c>
      <c r="AA22" s="6"/>
    </row>
    <row r="23" spans="1:27" x14ac:dyDescent="0.3">
      <c r="A23" s="6"/>
      <c r="B23" s="10" t="s">
        <v>344</v>
      </c>
      <c r="C23" s="16">
        <f t="shared" ref="C23:E31" si="0">C8</f>
        <v>0.87</v>
      </c>
      <c r="D23" s="28">
        <f t="shared" si="0"/>
        <v>7052</v>
      </c>
      <c r="E23" s="28">
        <f t="shared" si="0"/>
        <v>6615</v>
      </c>
      <c r="F23" s="28">
        <f t="shared" ref="F23:F31" si="1">D23-E23</f>
        <v>437</v>
      </c>
      <c r="G23" s="28">
        <f t="shared" ref="G23:G31" si="2">H8</f>
        <v>760</v>
      </c>
      <c r="H23" s="28">
        <f t="shared" ref="H23:H31" si="3">E23-G23</f>
        <v>5855</v>
      </c>
      <c r="I23" s="45">
        <f t="shared" ref="I23:I31" si="4">F8</f>
        <v>105</v>
      </c>
      <c r="J23" s="46">
        <f t="shared" ref="J23:J31" si="5">G8</f>
        <v>1.0294000000000001</v>
      </c>
      <c r="K23" s="45">
        <f t="shared" ref="K23:K31" si="6">I23*J23</f>
        <v>108.087</v>
      </c>
      <c r="L23" s="45">
        <f t="shared" ref="L23:M31" si="7">K8</f>
        <v>106</v>
      </c>
      <c r="M23" s="45">
        <f t="shared" si="7"/>
        <v>110</v>
      </c>
      <c r="N23" s="28">
        <f t="shared" ref="N23:N31" si="8">H23*K23*12/1000</f>
        <v>7594.1926199999998</v>
      </c>
      <c r="O23" s="28">
        <f t="shared" ref="O23:O31" si="9">G23*M23*12/1000*0.5</f>
        <v>501.6</v>
      </c>
      <c r="P23" s="28">
        <f t="shared" ref="P23:P31" si="10">F23*L23*12/1000*0.5</f>
        <v>277.93200000000002</v>
      </c>
      <c r="Q23" s="47">
        <f t="shared" ref="Q23:Q31" si="11">M8</f>
        <v>0.94</v>
      </c>
      <c r="R23" s="28">
        <f t="shared" ref="R23:R31" si="12">Q23*D23</f>
        <v>6628.8799999999992</v>
      </c>
      <c r="S23" s="28">
        <f t="shared" ref="S23:S31" si="13">MAX(0,R23-H23)</f>
        <v>773.8799999999992</v>
      </c>
      <c r="T23" s="48">
        <f t="shared" ref="T23:T31" si="14">IFERROR(S23/(G23+F23),0)</f>
        <v>0.64651629072681638</v>
      </c>
      <c r="U23" s="28">
        <f t="shared" ref="U23:U31" si="15">(O23+P23)*T23</f>
        <v>503.98013714285668</v>
      </c>
      <c r="V23" s="28">
        <f t="shared" ref="V23:V31" si="16">N23+U23</f>
        <v>8098.1727571428564</v>
      </c>
      <c r="W23" s="47">
        <f t="shared" ref="W23:W31" si="17">T8</f>
        <v>0.24697738958328899</v>
      </c>
      <c r="X23" s="28">
        <f t="shared" ref="X23:X31" si="18">V23*W23</f>
        <v>2000.0655679536487</v>
      </c>
      <c r="Y23" s="28">
        <f t="shared" ref="Y23:Y31" si="19">V23+X23</f>
        <v>10098.238325096505</v>
      </c>
      <c r="Z23" s="45">
        <f t="shared" ref="Z23:Z32" si="20">Y23/10</f>
        <v>1009.8238325096505</v>
      </c>
      <c r="AA23" s="6"/>
    </row>
    <row r="24" spans="1:27" x14ac:dyDescent="0.3">
      <c r="A24" s="6"/>
      <c r="B24" s="10" t="s">
        <v>346</v>
      </c>
      <c r="C24" s="16">
        <f t="shared" si="0"/>
        <v>0.5</v>
      </c>
      <c r="D24" s="28">
        <f t="shared" si="0"/>
        <v>4461</v>
      </c>
      <c r="E24" s="28">
        <f t="shared" si="0"/>
        <v>4232</v>
      </c>
      <c r="F24" s="28">
        <f t="shared" si="1"/>
        <v>229</v>
      </c>
      <c r="G24" s="28">
        <f t="shared" si="2"/>
        <v>327</v>
      </c>
      <c r="H24" s="28">
        <f t="shared" si="3"/>
        <v>3905</v>
      </c>
      <c r="I24" s="45">
        <f t="shared" si="4"/>
        <v>168</v>
      </c>
      <c r="J24" s="46">
        <f t="shared" si="5"/>
        <v>1.0182</v>
      </c>
      <c r="K24" s="45">
        <f t="shared" si="6"/>
        <v>171.05760000000001</v>
      </c>
      <c r="L24" s="45">
        <f t="shared" si="7"/>
        <v>174</v>
      </c>
      <c r="M24" s="45">
        <f t="shared" si="7"/>
        <v>182</v>
      </c>
      <c r="N24" s="28">
        <f t="shared" si="8"/>
        <v>8015.7591360000006</v>
      </c>
      <c r="O24" s="28">
        <f t="shared" si="9"/>
        <v>357.084</v>
      </c>
      <c r="P24" s="28">
        <f t="shared" si="10"/>
        <v>239.07599999999999</v>
      </c>
      <c r="Q24" s="47">
        <f t="shared" si="11"/>
        <v>0.93500000000000005</v>
      </c>
      <c r="R24" s="28">
        <f t="shared" si="12"/>
        <v>4171.0349999999999</v>
      </c>
      <c r="S24" s="28">
        <f t="shared" si="13"/>
        <v>266.03499999999985</v>
      </c>
      <c r="T24" s="48">
        <f t="shared" si="14"/>
        <v>0.47848021582733785</v>
      </c>
      <c r="U24" s="28">
        <f t="shared" si="15"/>
        <v>285.25076546762574</v>
      </c>
      <c r="V24" s="28">
        <f t="shared" si="16"/>
        <v>8301.0099014676271</v>
      </c>
      <c r="W24" s="47">
        <f t="shared" si="17"/>
        <v>0.11356952610708</v>
      </c>
      <c r="X24" s="28">
        <f t="shared" si="18"/>
        <v>942.74176071985721</v>
      </c>
      <c r="Y24" s="28">
        <f t="shared" si="19"/>
        <v>9243.7516621874838</v>
      </c>
      <c r="Z24" s="45">
        <f t="shared" si="20"/>
        <v>924.3751662187484</v>
      </c>
      <c r="AA24" s="6"/>
    </row>
    <row r="25" spans="1:27" x14ac:dyDescent="0.3">
      <c r="A25" s="6"/>
      <c r="B25" s="10" t="s">
        <v>348</v>
      </c>
      <c r="C25" s="16">
        <f t="shared" si="0"/>
        <v>0.5</v>
      </c>
      <c r="D25" s="28">
        <f t="shared" si="0"/>
        <v>3778</v>
      </c>
      <c r="E25" s="28">
        <f t="shared" si="0"/>
        <v>3238</v>
      </c>
      <c r="F25" s="28">
        <f t="shared" si="1"/>
        <v>540</v>
      </c>
      <c r="G25" s="28">
        <f t="shared" si="2"/>
        <v>131</v>
      </c>
      <c r="H25" s="28">
        <f t="shared" si="3"/>
        <v>3107</v>
      </c>
      <c r="I25" s="45">
        <f t="shared" si="4"/>
        <v>85</v>
      </c>
      <c r="J25" s="46">
        <f t="shared" si="5"/>
        <v>1.01623779889856</v>
      </c>
      <c r="K25" s="45">
        <f t="shared" si="6"/>
        <v>86.380212906377608</v>
      </c>
      <c r="L25" s="45">
        <f t="shared" si="7"/>
        <v>86</v>
      </c>
      <c r="M25" s="45">
        <f t="shared" si="7"/>
        <v>91</v>
      </c>
      <c r="N25" s="28">
        <f t="shared" si="8"/>
        <v>3220.5998580013825</v>
      </c>
      <c r="O25" s="28">
        <f t="shared" si="9"/>
        <v>71.525999999999996</v>
      </c>
      <c r="P25" s="28">
        <f t="shared" si="10"/>
        <v>278.64</v>
      </c>
      <c r="Q25" s="47">
        <f t="shared" si="11"/>
        <v>0.88249999999999995</v>
      </c>
      <c r="R25" s="28">
        <f t="shared" si="12"/>
        <v>3334.085</v>
      </c>
      <c r="S25" s="28">
        <f t="shared" si="13"/>
        <v>227.08500000000004</v>
      </c>
      <c r="T25" s="48">
        <f t="shared" si="14"/>
        <v>0.33842771982116249</v>
      </c>
      <c r="U25" s="28">
        <f t="shared" si="15"/>
        <v>118.50588093889718</v>
      </c>
      <c r="V25" s="28">
        <f t="shared" si="16"/>
        <v>3339.1057389402795</v>
      </c>
      <c r="W25" s="47">
        <f t="shared" si="17"/>
        <v>0.40788801457671597</v>
      </c>
      <c r="X25" s="28">
        <f t="shared" si="18"/>
        <v>1361.9812103180686</v>
      </c>
      <c r="Y25" s="28">
        <f t="shared" si="19"/>
        <v>4701.0869492583479</v>
      </c>
      <c r="Z25" s="45">
        <f t="shared" si="20"/>
        <v>470.10869492583481</v>
      </c>
      <c r="AA25" s="6"/>
    </row>
    <row r="26" spans="1:27" x14ac:dyDescent="0.3">
      <c r="A26" s="6"/>
      <c r="B26" s="10" t="s">
        <v>350</v>
      </c>
      <c r="C26" s="16">
        <f t="shared" si="0"/>
        <v>1</v>
      </c>
      <c r="D26" s="28">
        <f t="shared" si="0"/>
        <v>4060</v>
      </c>
      <c r="E26" s="28">
        <f t="shared" si="0"/>
        <v>3367</v>
      </c>
      <c r="F26" s="28">
        <f t="shared" si="1"/>
        <v>693</v>
      </c>
      <c r="G26" s="28">
        <f t="shared" si="2"/>
        <v>151</v>
      </c>
      <c r="H26" s="28">
        <f t="shared" si="3"/>
        <v>3216</v>
      </c>
      <c r="I26" s="45">
        <f t="shared" si="4"/>
        <v>92</v>
      </c>
      <c r="J26" s="46">
        <f t="shared" si="5"/>
        <v>1.02</v>
      </c>
      <c r="K26" s="45">
        <f t="shared" si="6"/>
        <v>93.84</v>
      </c>
      <c r="L26" s="45">
        <f t="shared" si="7"/>
        <v>88</v>
      </c>
      <c r="M26" s="45">
        <f t="shared" si="7"/>
        <v>88</v>
      </c>
      <c r="N26" s="28">
        <f t="shared" si="8"/>
        <v>3621.4732800000002</v>
      </c>
      <c r="O26" s="28">
        <f t="shared" si="9"/>
        <v>79.727999999999994</v>
      </c>
      <c r="P26" s="28">
        <f t="shared" si="10"/>
        <v>365.904</v>
      </c>
      <c r="Q26" s="47">
        <f t="shared" si="11"/>
        <v>0.82750000000000001</v>
      </c>
      <c r="R26" s="28">
        <f t="shared" si="12"/>
        <v>3359.65</v>
      </c>
      <c r="S26" s="28">
        <f t="shared" si="13"/>
        <v>143.65000000000009</v>
      </c>
      <c r="T26" s="48">
        <f t="shared" si="14"/>
        <v>0.17020142180094797</v>
      </c>
      <c r="U26" s="28">
        <f t="shared" si="15"/>
        <v>75.847200000000043</v>
      </c>
      <c r="V26" s="28">
        <f t="shared" si="16"/>
        <v>3697.3204800000003</v>
      </c>
      <c r="W26" s="47">
        <f t="shared" si="17"/>
        <v>0.55506209550177898</v>
      </c>
      <c r="X26" s="28">
        <f t="shared" si="18"/>
        <v>2052.2424533704434</v>
      </c>
      <c r="Y26" s="28">
        <f t="shared" si="19"/>
        <v>5749.5629333704437</v>
      </c>
      <c r="Z26" s="45">
        <f t="shared" si="20"/>
        <v>574.95629333704437</v>
      </c>
      <c r="AA26" s="6"/>
    </row>
    <row r="27" spans="1:27" x14ac:dyDescent="0.3">
      <c r="A27" s="6"/>
      <c r="B27" s="10" t="s">
        <v>352</v>
      </c>
      <c r="C27" s="16">
        <f t="shared" si="0"/>
        <v>1</v>
      </c>
      <c r="D27" s="28">
        <f t="shared" si="0"/>
        <v>2017</v>
      </c>
      <c r="E27" s="28">
        <f t="shared" si="0"/>
        <v>1944</v>
      </c>
      <c r="F27" s="28">
        <f t="shared" si="1"/>
        <v>73</v>
      </c>
      <c r="G27" s="28">
        <f t="shared" si="2"/>
        <v>98</v>
      </c>
      <c r="H27" s="28">
        <f t="shared" si="3"/>
        <v>1846</v>
      </c>
      <c r="I27" s="45">
        <f t="shared" si="4"/>
        <v>66</v>
      </c>
      <c r="J27" s="46">
        <f t="shared" si="5"/>
        <v>1.02645692054288</v>
      </c>
      <c r="K27" s="45">
        <f t="shared" si="6"/>
        <v>67.746156755830071</v>
      </c>
      <c r="L27" s="45">
        <f t="shared" si="7"/>
        <v>69</v>
      </c>
      <c r="M27" s="45">
        <f t="shared" si="7"/>
        <v>69</v>
      </c>
      <c r="N27" s="28">
        <f t="shared" si="8"/>
        <v>1500.7128644551476</v>
      </c>
      <c r="O27" s="28">
        <f t="shared" si="9"/>
        <v>40.572000000000003</v>
      </c>
      <c r="P27" s="28">
        <f t="shared" si="10"/>
        <v>30.222000000000001</v>
      </c>
      <c r="Q27" s="47">
        <f t="shared" si="11"/>
        <v>0.98</v>
      </c>
      <c r="R27" s="28">
        <f t="shared" si="12"/>
        <v>1976.6599999999999</v>
      </c>
      <c r="S27" s="28">
        <f t="shared" si="13"/>
        <v>130.65999999999985</v>
      </c>
      <c r="T27" s="48">
        <f t="shared" si="14"/>
        <v>0.76409356725146116</v>
      </c>
      <c r="U27" s="28">
        <f t="shared" si="15"/>
        <v>54.093239999999952</v>
      </c>
      <c r="V27" s="28">
        <f t="shared" si="16"/>
        <v>1554.8061044551475</v>
      </c>
      <c r="W27" s="47">
        <f t="shared" si="17"/>
        <v>0.75332786284525299</v>
      </c>
      <c r="X27" s="28">
        <f t="shared" si="18"/>
        <v>1171.2787598079494</v>
      </c>
      <c r="Y27" s="28">
        <f t="shared" si="19"/>
        <v>2726.0848642630972</v>
      </c>
      <c r="Z27" s="45">
        <f t="shared" si="20"/>
        <v>272.6084864263097</v>
      </c>
      <c r="AA27" s="6"/>
    </row>
    <row r="28" spans="1:27" x14ac:dyDescent="0.3">
      <c r="A28" s="6"/>
      <c r="B28" s="10" t="s">
        <v>354</v>
      </c>
      <c r="C28" s="16">
        <f t="shared" si="0"/>
        <v>1</v>
      </c>
      <c r="D28" s="28">
        <f t="shared" si="0"/>
        <v>3905</v>
      </c>
      <c r="E28" s="28">
        <f t="shared" si="0"/>
        <v>3573</v>
      </c>
      <c r="F28" s="28">
        <f t="shared" si="1"/>
        <v>332</v>
      </c>
      <c r="G28" s="28">
        <f t="shared" si="2"/>
        <v>818</v>
      </c>
      <c r="H28" s="28">
        <f t="shared" si="3"/>
        <v>2755</v>
      </c>
      <c r="I28" s="45">
        <f t="shared" si="4"/>
        <v>66</v>
      </c>
      <c r="J28" s="46">
        <f t="shared" si="5"/>
        <v>1.0154000000000001</v>
      </c>
      <c r="K28" s="45">
        <f t="shared" si="6"/>
        <v>67.016400000000004</v>
      </c>
      <c r="L28" s="45">
        <f t="shared" si="7"/>
        <v>66</v>
      </c>
      <c r="M28" s="45">
        <f t="shared" si="7"/>
        <v>71</v>
      </c>
      <c r="N28" s="28">
        <f t="shared" si="8"/>
        <v>2215.5621839999999</v>
      </c>
      <c r="O28" s="28">
        <f t="shared" si="9"/>
        <v>348.46800000000002</v>
      </c>
      <c r="P28" s="28">
        <f t="shared" si="10"/>
        <v>131.47200000000001</v>
      </c>
      <c r="Q28" s="47">
        <f t="shared" si="11"/>
        <v>0.9425</v>
      </c>
      <c r="R28" s="28">
        <f t="shared" si="12"/>
        <v>3680.4625000000001</v>
      </c>
      <c r="S28" s="28">
        <f t="shared" si="13"/>
        <v>925.46250000000009</v>
      </c>
      <c r="T28" s="48">
        <f t="shared" si="14"/>
        <v>0.80475000000000008</v>
      </c>
      <c r="U28" s="28">
        <f t="shared" si="15"/>
        <v>386.23171500000007</v>
      </c>
      <c r="V28" s="28">
        <f t="shared" si="16"/>
        <v>2601.7938989999998</v>
      </c>
      <c r="W28" s="47">
        <f t="shared" si="17"/>
        <v>0.54869541715315995</v>
      </c>
      <c r="X28" s="28">
        <f t="shared" si="18"/>
        <v>1427.5923887583515</v>
      </c>
      <c r="Y28" s="28">
        <f t="shared" si="19"/>
        <v>4029.3862877583515</v>
      </c>
      <c r="Z28" s="45">
        <f t="shared" si="20"/>
        <v>402.93862877583513</v>
      </c>
      <c r="AA28" s="6"/>
    </row>
    <row r="29" spans="1:27" x14ac:dyDescent="0.3">
      <c r="A29" s="6"/>
      <c r="B29" s="10" t="s">
        <v>356</v>
      </c>
      <c r="C29" s="16">
        <f t="shared" si="0"/>
        <v>1</v>
      </c>
      <c r="D29" s="28">
        <f t="shared" si="0"/>
        <v>3167</v>
      </c>
      <c r="E29" s="28">
        <f t="shared" si="0"/>
        <v>3130</v>
      </c>
      <c r="F29" s="28">
        <f t="shared" si="1"/>
        <v>37</v>
      </c>
      <c r="G29" s="28">
        <f t="shared" si="2"/>
        <v>306</v>
      </c>
      <c r="H29" s="28">
        <f t="shared" si="3"/>
        <v>2824</v>
      </c>
      <c r="I29" s="45">
        <f t="shared" si="4"/>
        <v>49</v>
      </c>
      <c r="J29" s="46">
        <f t="shared" si="5"/>
        <v>1.0091212942161101</v>
      </c>
      <c r="K29" s="45">
        <f t="shared" si="6"/>
        <v>49.446943416589392</v>
      </c>
      <c r="L29" s="45">
        <f t="shared" si="7"/>
        <v>54</v>
      </c>
      <c r="M29" s="45">
        <f t="shared" si="7"/>
        <v>62</v>
      </c>
      <c r="N29" s="28">
        <f t="shared" si="8"/>
        <v>1675.6580185013813</v>
      </c>
      <c r="O29" s="28">
        <f t="shared" si="9"/>
        <v>113.83199999999999</v>
      </c>
      <c r="P29" s="28">
        <f t="shared" si="10"/>
        <v>11.988</v>
      </c>
      <c r="Q29" s="47">
        <f t="shared" si="11"/>
        <v>0.98</v>
      </c>
      <c r="R29" s="28">
        <f t="shared" si="12"/>
        <v>3103.66</v>
      </c>
      <c r="S29" s="28">
        <f t="shared" si="13"/>
        <v>279.65999999999985</v>
      </c>
      <c r="T29" s="48">
        <f t="shared" si="14"/>
        <v>0.81533527696792962</v>
      </c>
      <c r="U29" s="28">
        <f t="shared" si="15"/>
        <v>102.5854845481049</v>
      </c>
      <c r="V29" s="28">
        <f t="shared" si="16"/>
        <v>1778.2435030494862</v>
      </c>
      <c r="W29" s="47">
        <f t="shared" si="17"/>
        <v>0.58543760393057098</v>
      </c>
      <c r="X29" s="28">
        <f t="shared" si="18"/>
        <v>1041.0506156303961</v>
      </c>
      <c r="Y29" s="28">
        <f t="shared" si="19"/>
        <v>2819.2941186798826</v>
      </c>
      <c r="Z29" s="45">
        <f t="shared" si="20"/>
        <v>281.92941186798828</v>
      </c>
      <c r="AA29" s="6"/>
    </row>
    <row r="30" spans="1:27" x14ac:dyDescent="0.3">
      <c r="A30" s="6"/>
      <c r="B30" s="10" t="s">
        <v>358</v>
      </c>
      <c r="C30" s="16">
        <f t="shared" si="0"/>
        <v>0.5</v>
      </c>
      <c r="D30" s="28">
        <f t="shared" si="0"/>
        <v>1455</v>
      </c>
      <c r="E30" s="28">
        <f t="shared" si="0"/>
        <v>1384</v>
      </c>
      <c r="F30" s="28">
        <f t="shared" si="1"/>
        <v>71</v>
      </c>
      <c r="G30" s="28">
        <f t="shared" si="2"/>
        <v>136</v>
      </c>
      <c r="H30" s="28">
        <f t="shared" si="3"/>
        <v>1248</v>
      </c>
      <c r="I30" s="45">
        <f t="shared" si="4"/>
        <v>230</v>
      </c>
      <c r="J30" s="46">
        <f t="shared" si="5"/>
        <v>1.03</v>
      </c>
      <c r="K30" s="45">
        <f t="shared" si="6"/>
        <v>236.9</v>
      </c>
      <c r="L30" s="45">
        <f t="shared" si="7"/>
        <v>237</v>
      </c>
      <c r="M30" s="45">
        <f t="shared" si="7"/>
        <v>236</v>
      </c>
      <c r="N30" s="28">
        <f t="shared" si="8"/>
        <v>3547.8144000000002</v>
      </c>
      <c r="O30" s="28">
        <f t="shared" si="9"/>
        <v>192.57599999999999</v>
      </c>
      <c r="P30" s="28">
        <f t="shared" si="10"/>
        <v>100.962</v>
      </c>
      <c r="Q30" s="47">
        <f t="shared" si="11"/>
        <v>0.96</v>
      </c>
      <c r="R30" s="28">
        <f t="shared" si="12"/>
        <v>1396.8</v>
      </c>
      <c r="S30" s="28">
        <f t="shared" si="13"/>
        <v>148.79999999999995</v>
      </c>
      <c r="T30" s="48">
        <f t="shared" si="14"/>
        <v>0.7188405797101447</v>
      </c>
      <c r="U30" s="28">
        <f t="shared" si="15"/>
        <v>211.00702608695647</v>
      </c>
      <c r="V30" s="28">
        <f t="shared" si="16"/>
        <v>3758.8214260869568</v>
      </c>
      <c r="W30" s="47">
        <f t="shared" si="17"/>
        <v>0</v>
      </c>
      <c r="X30" s="28">
        <f t="shared" si="18"/>
        <v>0</v>
      </c>
      <c r="Y30" s="28">
        <f t="shared" si="19"/>
        <v>3758.8214260869568</v>
      </c>
      <c r="Z30" s="45">
        <f t="shared" si="20"/>
        <v>375.88214260869569</v>
      </c>
      <c r="AA30" s="6"/>
    </row>
    <row r="31" spans="1:27" x14ac:dyDescent="0.3">
      <c r="A31" s="6"/>
      <c r="B31" s="10" t="s">
        <v>360</v>
      </c>
      <c r="C31" s="16">
        <f t="shared" si="0"/>
        <v>0.5</v>
      </c>
      <c r="D31" s="28">
        <f t="shared" si="0"/>
        <v>751</v>
      </c>
      <c r="E31" s="28">
        <f t="shared" si="0"/>
        <v>695</v>
      </c>
      <c r="F31" s="28">
        <f t="shared" si="1"/>
        <v>56</v>
      </c>
      <c r="G31" s="28">
        <f t="shared" si="2"/>
        <v>27</v>
      </c>
      <c r="H31" s="28">
        <f t="shared" si="3"/>
        <v>668</v>
      </c>
      <c r="I31" s="45">
        <f t="shared" si="4"/>
        <v>94</v>
      </c>
      <c r="J31" s="46">
        <f t="shared" si="5"/>
        <v>1.03</v>
      </c>
      <c r="K31" s="45">
        <f t="shared" si="6"/>
        <v>96.820000000000007</v>
      </c>
      <c r="L31" s="45">
        <f t="shared" si="7"/>
        <v>93</v>
      </c>
      <c r="M31" s="45">
        <f t="shared" si="7"/>
        <v>95</v>
      </c>
      <c r="N31" s="28">
        <f t="shared" si="8"/>
        <v>776.10911999999996</v>
      </c>
      <c r="O31" s="28">
        <f t="shared" si="9"/>
        <v>15.39</v>
      </c>
      <c r="P31" s="28">
        <f t="shared" si="10"/>
        <v>31.248000000000001</v>
      </c>
      <c r="Q31" s="47">
        <f t="shared" si="11"/>
        <v>0.92</v>
      </c>
      <c r="R31" s="28">
        <f t="shared" si="12"/>
        <v>690.92000000000007</v>
      </c>
      <c r="S31" s="28">
        <f t="shared" si="13"/>
        <v>22.920000000000073</v>
      </c>
      <c r="T31" s="48">
        <f t="shared" si="14"/>
        <v>0.2761445783132539</v>
      </c>
      <c r="U31" s="28">
        <f t="shared" si="15"/>
        <v>12.878830843373537</v>
      </c>
      <c r="V31" s="28">
        <f t="shared" si="16"/>
        <v>788.98795084337348</v>
      </c>
      <c r="W31" s="47">
        <f t="shared" si="17"/>
        <v>0</v>
      </c>
      <c r="X31" s="28">
        <f t="shared" si="18"/>
        <v>0</v>
      </c>
      <c r="Y31" s="28">
        <f t="shared" si="19"/>
        <v>788.98795084337348</v>
      </c>
      <c r="Z31" s="45">
        <f t="shared" si="20"/>
        <v>78.898795084337351</v>
      </c>
      <c r="AA31" s="6"/>
    </row>
    <row r="32" spans="1:27" x14ac:dyDescent="0.3">
      <c r="A32" s="6"/>
      <c r="B32" s="10" t="s">
        <v>362</v>
      </c>
      <c r="C32" s="16">
        <f>C17</f>
        <v>0.5</v>
      </c>
      <c r="D32" s="6"/>
      <c r="E32" s="6"/>
      <c r="F32" s="6"/>
      <c r="G32" s="6"/>
      <c r="H32" s="6"/>
      <c r="I32" s="6"/>
      <c r="J32" s="6"/>
      <c r="K32" s="6"/>
      <c r="L32" s="6"/>
      <c r="M32" s="6"/>
      <c r="N32" s="6"/>
      <c r="O32" s="6"/>
      <c r="P32" s="6"/>
      <c r="Q32" s="6"/>
      <c r="R32" s="6"/>
      <c r="S32" s="6"/>
      <c r="T32" s="6"/>
      <c r="U32" s="6"/>
      <c r="V32" s="28">
        <f>$F$17*$G$17^1</f>
        <v>1474.2</v>
      </c>
      <c r="W32" s="6"/>
      <c r="X32" s="6"/>
      <c r="Y32" s="28">
        <f>V32</f>
        <v>1474.2</v>
      </c>
      <c r="Z32" s="45">
        <f t="shared" si="20"/>
        <v>147.42000000000002</v>
      </c>
      <c r="AA32" s="6"/>
    </row>
    <row r="33" spans="1:27" x14ac:dyDescent="0.3">
      <c r="A33" s="6"/>
      <c r="B33" s="19" t="s">
        <v>389</v>
      </c>
      <c r="C33" s="20"/>
      <c r="D33" s="49">
        <f>SUM(D23:D29)</f>
        <v>28440</v>
      </c>
      <c r="E33" s="49">
        <f>SUM(E23:E29)</f>
        <v>26099</v>
      </c>
      <c r="F33" s="49">
        <f>SUM(F23:F29)</f>
        <v>2341</v>
      </c>
      <c r="G33" s="49">
        <f>SUM(G23:G29)</f>
        <v>2591</v>
      </c>
      <c r="H33" s="49">
        <f>SUM(H23:H29)</f>
        <v>23508</v>
      </c>
      <c r="I33" s="20"/>
      <c r="J33" s="20"/>
      <c r="K33" s="20"/>
      <c r="L33" s="20"/>
      <c r="M33" s="20"/>
      <c r="N33" s="49">
        <f>SUM(N23:N29)</f>
        <v>27843.957960957912</v>
      </c>
      <c r="O33" s="49">
        <f>SUM(O23:O29)</f>
        <v>1512.81</v>
      </c>
      <c r="P33" s="49">
        <f>SUM(P23:P29)</f>
        <v>1335.2340000000002</v>
      </c>
      <c r="Q33" s="50">
        <f>R33/D33</f>
        <v>0.92315163502109709</v>
      </c>
      <c r="R33" s="49">
        <f>SUM(R23:R29)</f>
        <v>26254.432500000003</v>
      </c>
      <c r="S33" s="49">
        <f>SUM(S23:S29)</f>
        <v>2746.432499999999</v>
      </c>
      <c r="T33" s="20"/>
      <c r="U33" s="49">
        <f>SUM(U23:U29)</f>
        <v>1526.4944230974847</v>
      </c>
      <c r="V33" s="49">
        <f>SUM(V23:V29)</f>
        <v>29370.452384055399</v>
      </c>
      <c r="W33" s="20"/>
      <c r="X33" s="49">
        <f>SUM(X23:X29)</f>
        <v>9996.9527565587159</v>
      </c>
      <c r="Y33" s="49">
        <f>SUM(Y23:Y29)</f>
        <v>39367.405140614115</v>
      </c>
      <c r="Z33" s="49">
        <f>SUM(Z23:Z29)</f>
        <v>3936.7405140614114</v>
      </c>
      <c r="AA33" s="6"/>
    </row>
    <row r="34" spans="1:27" x14ac:dyDescent="0.3">
      <c r="A34" s="6"/>
      <c r="B34" s="23" t="s">
        <v>390</v>
      </c>
      <c r="C34" s="6"/>
      <c r="D34" s="6"/>
      <c r="E34" s="6"/>
      <c r="F34" s="6"/>
      <c r="G34" s="6"/>
      <c r="H34" s="6"/>
      <c r="I34" s="6"/>
      <c r="J34" s="6"/>
      <c r="K34" s="6"/>
      <c r="L34" s="6"/>
      <c r="M34" s="6"/>
      <c r="N34" s="6"/>
      <c r="O34" s="6"/>
      <c r="P34" s="6"/>
      <c r="Q34" s="6"/>
      <c r="R34" s="6"/>
      <c r="S34" s="6"/>
      <c r="T34" s="6"/>
      <c r="U34" s="6"/>
      <c r="V34" s="51">
        <f>SUM(V30:V32)</f>
        <v>6022.0093769303303</v>
      </c>
      <c r="W34" s="6"/>
      <c r="X34" s="6"/>
      <c r="Y34" s="6"/>
      <c r="Z34" s="52">
        <f>V34/10</f>
        <v>602.20093769303298</v>
      </c>
      <c r="AA34" s="6"/>
    </row>
    <row r="35" spans="1:27" x14ac:dyDescent="0.3">
      <c r="A35" s="6"/>
      <c r="B35" s="23" t="s">
        <v>391</v>
      </c>
      <c r="C35" s="6"/>
      <c r="D35" s="6"/>
      <c r="E35" s="6"/>
      <c r="F35" s="6"/>
      <c r="G35" s="6"/>
      <c r="H35" s="6"/>
      <c r="I35" s="6"/>
      <c r="J35" s="6"/>
      <c r="K35" s="6"/>
      <c r="L35" s="6"/>
      <c r="M35" s="6"/>
      <c r="N35" s="6"/>
      <c r="O35" s="6"/>
      <c r="P35" s="6"/>
      <c r="Q35" s="6"/>
      <c r="R35" s="6"/>
      <c r="S35" s="6"/>
      <c r="T35" s="6"/>
      <c r="U35" s="6"/>
      <c r="V35" s="6"/>
      <c r="W35" s="6"/>
      <c r="X35" s="6"/>
      <c r="Y35" s="6"/>
      <c r="Z35" s="52">
        <f>Y33/10</f>
        <v>3936.7405140614114</v>
      </c>
      <c r="AA35" s="6"/>
    </row>
    <row r="36" spans="1:27"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spans="1:27"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row>
    <row r="38" spans="1:27" x14ac:dyDescent="0.3">
      <c r="A38" s="6"/>
      <c r="B38" s="7" t="s">
        <v>392</v>
      </c>
      <c r="C38" s="7"/>
      <c r="D38" s="7"/>
      <c r="E38" s="7"/>
      <c r="F38" s="7"/>
      <c r="G38" s="7"/>
      <c r="H38" s="7"/>
      <c r="I38" s="7"/>
      <c r="J38" s="7"/>
      <c r="K38" s="7"/>
      <c r="L38" s="7"/>
      <c r="M38" s="7"/>
      <c r="N38" s="7"/>
      <c r="O38" s="7"/>
      <c r="P38" s="7"/>
      <c r="Q38" s="7"/>
      <c r="R38" s="7"/>
      <c r="S38" s="7"/>
      <c r="T38" s="7"/>
      <c r="U38" s="7"/>
      <c r="V38" s="7"/>
      <c r="W38" s="7"/>
      <c r="X38" s="7"/>
      <c r="Y38" s="7"/>
      <c r="Z38" s="7"/>
      <c r="AA38" s="7"/>
    </row>
    <row r="39" spans="1:27" ht="43.5" customHeight="1" x14ac:dyDescent="0.3">
      <c r="A39" s="6"/>
      <c r="B39" s="8" t="s">
        <v>324</v>
      </c>
      <c r="C39" s="8" t="s">
        <v>366</v>
      </c>
      <c r="D39" s="8" t="s">
        <v>367</v>
      </c>
      <c r="E39" s="8" t="s">
        <v>368</v>
      </c>
      <c r="F39" s="8" t="s">
        <v>369</v>
      </c>
      <c r="G39" s="8" t="s">
        <v>370</v>
      </c>
      <c r="H39" s="8" t="s">
        <v>371</v>
      </c>
      <c r="I39" s="8" t="s">
        <v>328</v>
      </c>
      <c r="J39" s="8" t="s">
        <v>372</v>
      </c>
      <c r="K39" s="8" t="s">
        <v>373</v>
      </c>
      <c r="L39" s="8" t="s">
        <v>374</v>
      </c>
      <c r="M39" s="8" t="s">
        <v>375</v>
      </c>
      <c r="N39" s="8" t="s">
        <v>376</v>
      </c>
      <c r="O39" s="8" t="s">
        <v>377</v>
      </c>
      <c r="P39" s="8" t="s">
        <v>378</v>
      </c>
      <c r="Q39" s="8" t="s">
        <v>379</v>
      </c>
      <c r="R39" s="8" t="s">
        <v>380</v>
      </c>
      <c r="S39" s="8" t="s">
        <v>381</v>
      </c>
      <c r="T39" s="8" t="s">
        <v>382</v>
      </c>
      <c r="U39" s="8" t="s">
        <v>383</v>
      </c>
      <c r="V39" s="8" t="s">
        <v>384</v>
      </c>
      <c r="W39" s="8" t="s">
        <v>385</v>
      </c>
      <c r="X39" s="8" t="s">
        <v>386</v>
      </c>
      <c r="Y39" s="8" t="s">
        <v>387</v>
      </c>
      <c r="Z39" s="8" t="s">
        <v>388</v>
      </c>
      <c r="AA39" s="6"/>
    </row>
    <row r="40" spans="1:27" x14ac:dyDescent="0.3">
      <c r="A40" s="6"/>
      <c r="B40" s="10" t="s">
        <v>344</v>
      </c>
      <c r="C40" s="16">
        <f t="shared" ref="C40:C49" si="21">C8</f>
        <v>0.87</v>
      </c>
      <c r="D40" s="28">
        <f t="shared" ref="D40:D48" si="22">D23+R8</f>
        <v>7102</v>
      </c>
      <c r="E40" s="28">
        <f t="shared" ref="E40:E48" si="23">R23</f>
        <v>6628.8799999999992</v>
      </c>
      <c r="F40" s="28">
        <f t="shared" ref="F40:F48" si="24">D40-E40</f>
        <v>473.1200000000008</v>
      </c>
      <c r="G40" s="28">
        <f t="shared" ref="G40:G48" si="25">I8</f>
        <v>309</v>
      </c>
      <c r="H40" s="28">
        <f t="shared" ref="H40:H48" si="26">E40-G40</f>
        <v>6319.8799999999992</v>
      </c>
      <c r="I40" s="45">
        <f t="shared" ref="I40:I48" si="27">K23</f>
        <v>108.087</v>
      </c>
      <c r="J40" s="46">
        <f t="shared" ref="J40:J48" si="28">G8</f>
        <v>1.0294000000000001</v>
      </c>
      <c r="K40" s="45">
        <f t="shared" ref="K40:K48" si="29">I40*J40</f>
        <v>111.26475780000001</v>
      </c>
      <c r="L40" s="45">
        <f t="shared" ref="L40:L48" si="30">L23*P8</f>
        <v>112.36</v>
      </c>
      <c r="M40" s="45">
        <f t="shared" ref="M40:M48" si="31">M23*Q8</f>
        <v>116.60000000000001</v>
      </c>
      <c r="N40" s="28">
        <f t="shared" ref="N40:N48" si="32">H40*K40*12/1000</f>
        <v>8438.1590103007675</v>
      </c>
      <c r="O40" s="28">
        <f t="shared" ref="O40:O48" si="33">G40*M40*12/1000*0.5</f>
        <v>216.17640000000003</v>
      </c>
      <c r="P40" s="28">
        <f t="shared" ref="P40:P48" si="34">F40*L40*12/1000*0.5</f>
        <v>318.95857920000049</v>
      </c>
      <c r="Q40" s="47">
        <f t="shared" ref="Q40:Q48" si="35">N8</f>
        <v>0.94499999999999995</v>
      </c>
      <c r="R40" s="28">
        <f t="shared" ref="R40:R48" si="36">Q40*D40</f>
        <v>6711.3899999999994</v>
      </c>
      <c r="S40" s="28">
        <f t="shared" ref="S40:S48" si="37">MAX(0,R40-H40)</f>
        <v>391.51000000000022</v>
      </c>
      <c r="T40" s="48">
        <f t="shared" ref="T40:T48" si="38">IFERROR(S40/(G40+F40),0)</f>
        <v>0.50057535927990571</v>
      </c>
      <c r="U40" s="28">
        <f t="shared" ref="U40:U48" si="39">(O40+P40)*T40</f>
        <v>267.87538447628515</v>
      </c>
      <c r="V40" s="28">
        <f t="shared" ref="V40:V48" si="40">N40+U40</f>
        <v>8706.0343947770525</v>
      </c>
      <c r="W40" s="47">
        <f t="shared" ref="W40:W48" si="41">T8</f>
        <v>0.24697738958328899</v>
      </c>
      <c r="X40" s="28">
        <f t="shared" ref="X40:X48" si="42">V40*W40</f>
        <v>2150.1936484443659</v>
      </c>
      <c r="Y40" s="28">
        <f t="shared" ref="Y40:Y48" si="43">V40+X40</f>
        <v>10856.228043221417</v>
      </c>
      <c r="Z40" s="45">
        <f t="shared" ref="Z40:Z49" si="44">Y40/10</f>
        <v>1085.6228043221417</v>
      </c>
      <c r="AA40" s="6"/>
    </row>
    <row r="41" spans="1:27" x14ac:dyDescent="0.3">
      <c r="A41" s="6"/>
      <c r="B41" s="10" t="s">
        <v>346</v>
      </c>
      <c r="C41" s="16">
        <f t="shared" si="21"/>
        <v>0.5</v>
      </c>
      <c r="D41" s="28">
        <f t="shared" si="22"/>
        <v>4461</v>
      </c>
      <c r="E41" s="28">
        <f t="shared" si="23"/>
        <v>4171.0349999999999</v>
      </c>
      <c r="F41" s="28">
        <f t="shared" si="24"/>
        <v>289.96500000000015</v>
      </c>
      <c r="G41" s="28">
        <f t="shared" si="25"/>
        <v>613</v>
      </c>
      <c r="H41" s="28">
        <f t="shared" si="26"/>
        <v>3558.0349999999999</v>
      </c>
      <c r="I41" s="45">
        <f t="shared" si="27"/>
        <v>171.05760000000001</v>
      </c>
      <c r="J41" s="46">
        <f t="shared" si="28"/>
        <v>1.0182</v>
      </c>
      <c r="K41" s="45">
        <f t="shared" si="29"/>
        <v>174.17084832</v>
      </c>
      <c r="L41" s="45">
        <f t="shared" si="30"/>
        <v>180.96</v>
      </c>
      <c r="M41" s="45">
        <f t="shared" si="31"/>
        <v>192.92000000000002</v>
      </c>
      <c r="N41" s="28">
        <f t="shared" si="32"/>
        <v>7436.4716916270145</v>
      </c>
      <c r="O41" s="28">
        <f t="shared" si="33"/>
        <v>709.55975999999998</v>
      </c>
      <c r="P41" s="28">
        <f t="shared" si="34"/>
        <v>314.83239840000016</v>
      </c>
      <c r="Q41" s="47">
        <f t="shared" si="35"/>
        <v>0.95250000000000001</v>
      </c>
      <c r="R41" s="28">
        <f t="shared" si="36"/>
        <v>4249.1025</v>
      </c>
      <c r="S41" s="28">
        <f t="shared" si="37"/>
        <v>691.06750000000011</v>
      </c>
      <c r="T41" s="48">
        <f t="shared" si="38"/>
        <v>0.76533143588068198</v>
      </c>
      <c r="U41" s="28">
        <f t="shared" si="39"/>
        <v>783.99952149318312</v>
      </c>
      <c r="V41" s="28">
        <f t="shared" si="40"/>
        <v>8220.4712131201977</v>
      </c>
      <c r="W41" s="47">
        <f t="shared" si="41"/>
        <v>0.11356952610708</v>
      </c>
      <c r="X41" s="28">
        <f t="shared" si="42"/>
        <v>933.59502005095396</v>
      </c>
      <c r="Y41" s="28">
        <f t="shared" si="43"/>
        <v>9154.0662331711519</v>
      </c>
      <c r="Z41" s="45">
        <f t="shared" si="44"/>
        <v>915.40662331711519</v>
      </c>
      <c r="AA41" s="6"/>
    </row>
    <row r="42" spans="1:27" x14ac:dyDescent="0.3">
      <c r="A42" s="6"/>
      <c r="B42" s="10" t="s">
        <v>348</v>
      </c>
      <c r="C42" s="16">
        <f t="shared" si="21"/>
        <v>0.5</v>
      </c>
      <c r="D42" s="28">
        <f t="shared" si="22"/>
        <v>3803</v>
      </c>
      <c r="E42" s="28">
        <f t="shared" si="23"/>
        <v>3334.085</v>
      </c>
      <c r="F42" s="28">
        <f t="shared" si="24"/>
        <v>468.91499999999996</v>
      </c>
      <c r="G42" s="28">
        <f t="shared" si="25"/>
        <v>226</v>
      </c>
      <c r="H42" s="28">
        <f t="shared" si="26"/>
        <v>3108.085</v>
      </c>
      <c r="I42" s="45">
        <f t="shared" si="27"/>
        <v>86.380212906377608</v>
      </c>
      <c r="J42" s="46">
        <f t="shared" si="28"/>
        <v>1.01623779889856</v>
      </c>
      <c r="K42" s="45">
        <f t="shared" si="29"/>
        <v>87.782837432366165</v>
      </c>
      <c r="L42" s="45">
        <f t="shared" si="30"/>
        <v>88.58</v>
      </c>
      <c r="M42" s="45">
        <f t="shared" si="31"/>
        <v>96.460000000000008</v>
      </c>
      <c r="N42" s="28">
        <f t="shared" si="32"/>
        <v>3274.0382433717091</v>
      </c>
      <c r="O42" s="28">
        <f t="shared" si="33"/>
        <v>130.79976000000002</v>
      </c>
      <c r="P42" s="28">
        <f t="shared" si="34"/>
        <v>249.21894419999998</v>
      </c>
      <c r="Q42" s="47">
        <f t="shared" si="35"/>
        <v>0.91</v>
      </c>
      <c r="R42" s="28">
        <f t="shared" si="36"/>
        <v>3460.73</v>
      </c>
      <c r="S42" s="28">
        <f t="shared" si="37"/>
        <v>352.64499999999998</v>
      </c>
      <c r="T42" s="48">
        <f t="shared" si="38"/>
        <v>0.50746494175546653</v>
      </c>
      <c r="U42" s="28">
        <f t="shared" si="39"/>
        <v>192.84616959284085</v>
      </c>
      <c r="V42" s="28">
        <f t="shared" si="40"/>
        <v>3466.8844129645499</v>
      </c>
      <c r="W42" s="47">
        <f t="shared" si="41"/>
        <v>0.40788801457671597</v>
      </c>
      <c r="X42" s="28">
        <f t="shared" si="42"/>
        <v>1414.1005999710737</v>
      </c>
      <c r="Y42" s="28">
        <f t="shared" si="43"/>
        <v>4880.9850129356237</v>
      </c>
      <c r="Z42" s="45">
        <f t="shared" si="44"/>
        <v>488.09850129356238</v>
      </c>
      <c r="AA42" s="6"/>
    </row>
    <row r="43" spans="1:27" x14ac:dyDescent="0.3">
      <c r="A43" s="6"/>
      <c r="B43" s="10" t="s">
        <v>350</v>
      </c>
      <c r="C43" s="16">
        <f t="shared" si="21"/>
        <v>1</v>
      </c>
      <c r="D43" s="28">
        <f t="shared" si="22"/>
        <v>4085</v>
      </c>
      <c r="E43" s="28">
        <f t="shared" si="23"/>
        <v>3359.65</v>
      </c>
      <c r="F43" s="28">
        <f t="shared" si="24"/>
        <v>725.34999999999991</v>
      </c>
      <c r="G43" s="28">
        <f t="shared" si="25"/>
        <v>0</v>
      </c>
      <c r="H43" s="28">
        <f t="shared" si="26"/>
        <v>3359.65</v>
      </c>
      <c r="I43" s="45">
        <f t="shared" si="27"/>
        <v>93.84</v>
      </c>
      <c r="J43" s="46">
        <f t="shared" si="28"/>
        <v>1.02</v>
      </c>
      <c r="K43" s="45">
        <f t="shared" si="29"/>
        <v>95.716800000000006</v>
      </c>
      <c r="L43" s="45">
        <f t="shared" si="30"/>
        <v>90.64</v>
      </c>
      <c r="M43" s="45">
        <f t="shared" si="31"/>
        <v>93.28</v>
      </c>
      <c r="N43" s="28">
        <f t="shared" si="32"/>
        <v>3858.8993654400001</v>
      </c>
      <c r="O43" s="28">
        <f t="shared" si="33"/>
        <v>0</v>
      </c>
      <c r="P43" s="28">
        <f t="shared" si="34"/>
        <v>394.47434399999992</v>
      </c>
      <c r="Q43" s="47">
        <f t="shared" si="35"/>
        <v>0.82</v>
      </c>
      <c r="R43" s="28">
        <f t="shared" si="36"/>
        <v>3349.7</v>
      </c>
      <c r="S43" s="28">
        <f t="shared" si="37"/>
        <v>0</v>
      </c>
      <c r="T43" s="48">
        <f t="shared" si="38"/>
        <v>0</v>
      </c>
      <c r="U43" s="28">
        <f t="shared" si="39"/>
        <v>0</v>
      </c>
      <c r="V43" s="28">
        <f t="shared" si="40"/>
        <v>3858.8993654400001</v>
      </c>
      <c r="W43" s="47">
        <f t="shared" si="41"/>
        <v>0.55506209550177898</v>
      </c>
      <c r="X43" s="28">
        <f t="shared" si="42"/>
        <v>2141.9287681116116</v>
      </c>
      <c r="Y43" s="28">
        <f t="shared" si="43"/>
        <v>6000.8281335516112</v>
      </c>
      <c r="Z43" s="45">
        <f t="shared" si="44"/>
        <v>600.08281335516108</v>
      </c>
      <c r="AA43" s="6"/>
    </row>
    <row r="44" spans="1:27" x14ac:dyDescent="0.3">
      <c r="A44" s="6"/>
      <c r="B44" s="10" t="s">
        <v>352</v>
      </c>
      <c r="C44" s="16">
        <f t="shared" si="21"/>
        <v>1</v>
      </c>
      <c r="D44" s="28">
        <f t="shared" si="22"/>
        <v>2117</v>
      </c>
      <c r="E44" s="28">
        <f t="shared" si="23"/>
        <v>1976.6599999999999</v>
      </c>
      <c r="F44" s="28">
        <f t="shared" si="24"/>
        <v>140.34000000000015</v>
      </c>
      <c r="G44" s="28">
        <f t="shared" si="25"/>
        <v>0</v>
      </c>
      <c r="H44" s="28">
        <f t="shared" si="26"/>
        <v>1976.6599999999999</v>
      </c>
      <c r="I44" s="45">
        <f t="shared" si="27"/>
        <v>67.746156755830071</v>
      </c>
      <c r="J44" s="46">
        <f t="shared" si="28"/>
        <v>1.02645692054288</v>
      </c>
      <c r="K44" s="45">
        <f t="shared" si="29"/>
        <v>69.538511442204552</v>
      </c>
      <c r="L44" s="45">
        <f t="shared" si="30"/>
        <v>71.070000000000007</v>
      </c>
      <c r="M44" s="45">
        <f t="shared" si="31"/>
        <v>73.14</v>
      </c>
      <c r="N44" s="28">
        <f t="shared" si="32"/>
        <v>1649.4479283281764</v>
      </c>
      <c r="O44" s="28">
        <f t="shared" si="33"/>
        <v>0</v>
      </c>
      <c r="P44" s="28">
        <f t="shared" si="34"/>
        <v>59.843782800000071</v>
      </c>
      <c r="Q44" s="47">
        <f t="shared" si="35"/>
        <v>0.98</v>
      </c>
      <c r="R44" s="28">
        <f t="shared" si="36"/>
        <v>2074.66</v>
      </c>
      <c r="S44" s="28">
        <f t="shared" si="37"/>
        <v>98</v>
      </c>
      <c r="T44" s="48">
        <f t="shared" si="38"/>
        <v>0.69830411856918839</v>
      </c>
      <c r="U44" s="28">
        <f t="shared" si="39"/>
        <v>41.78916000000001</v>
      </c>
      <c r="V44" s="28">
        <f t="shared" si="40"/>
        <v>1691.2370883281765</v>
      </c>
      <c r="W44" s="47">
        <f t="shared" si="41"/>
        <v>0.75332786284525299</v>
      </c>
      <c r="X44" s="28">
        <f t="shared" si="42"/>
        <v>1274.0560213148935</v>
      </c>
      <c r="Y44" s="28">
        <f t="shared" si="43"/>
        <v>2965.2931096430702</v>
      </c>
      <c r="Z44" s="45">
        <f t="shared" si="44"/>
        <v>296.529310964307</v>
      </c>
      <c r="AA44" s="6"/>
    </row>
    <row r="45" spans="1:27" x14ac:dyDescent="0.3">
      <c r="A45" s="6"/>
      <c r="B45" s="10" t="s">
        <v>354</v>
      </c>
      <c r="C45" s="16">
        <f t="shared" si="21"/>
        <v>1</v>
      </c>
      <c r="D45" s="28">
        <f t="shared" si="22"/>
        <v>4005</v>
      </c>
      <c r="E45" s="28">
        <f t="shared" si="23"/>
        <v>3680.4625000000001</v>
      </c>
      <c r="F45" s="28">
        <f t="shared" si="24"/>
        <v>324.53749999999991</v>
      </c>
      <c r="G45" s="28">
        <f t="shared" si="25"/>
        <v>44</v>
      </c>
      <c r="H45" s="28">
        <f t="shared" si="26"/>
        <v>3636.4625000000001</v>
      </c>
      <c r="I45" s="45">
        <f t="shared" si="27"/>
        <v>67.016400000000004</v>
      </c>
      <c r="J45" s="46">
        <f t="shared" si="28"/>
        <v>1.0154000000000001</v>
      </c>
      <c r="K45" s="45">
        <f t="shared" si="29"/>
        <v>68.048452560000015</v>
      </c>
      <c r="L45" s="45">
        <f t="shared" si="30"/>
        <v>67.98</v>
      </c>
      <c r="M45" s="45">
        <f t="shared" si="31"/>
        <v>75.260000000000005</v>
      </c>
      <c r="N45" s="28">
        <f t="shared" si="32"/>
        <v>2969.4677510096285</v>
      </c>
      <c r="O45" s="28">
        <f t="shared" si="33"/>
        <v>19.868639999999999</v>
      </c>
      <c r="P45" s="28">
        <f t="shared" si="34"/>
        <v>132.37235549999997</v>
      </c>
      <c r="Q45" s="47">
        <f t="shared" si="35"/>
        <v>0.94750000000000001</v>
      </c>
      <c r="R45" s="28">
        <f t="shared" si="36"/>
        <v>3794.7375000000002</v>
      </c>
      <c r="S45" s="28">
        <f t="shared" si="37"/>
        <v>158.27500000000009</v>
      </c>
      <c r="T45" s="48">
        <f t="shared" si="38"/>
        <v>0.42946782891836011</v>
      </c>
      <c r="U45" s="28">
        <f t="shared" si="39"/>
        <v>65.382609809754811</v>
      </c>
      <c r="V45" s="28">
        <f t="shared" si="40"/>
        <v>3034.8503608193832</v>
      </c>
      <c r="W45" s="47">
        <f t="shared" si="41"/>
        <v>0.54869541715315995</v>
      </c>
      <c r="X45" s="28">
        <f t="shared" si="42"/>
        <v>1665.2084847272095</v>
      </c>
      <c r="Y45" s="28">
        <f t="shared" si="43"/>
        <v>4700.0588455465931</v>
      </c>
      <c r="Z45" s="45">
        <f t="shared" si="44"/>
        <v>470.0058845546593</v>
      </c>
      <c r="AA45" s="6"/>
    </row>
    <row r="46" spans="1:27" x14ac:dyDescent="0.3">
      <c r="A46" s="6"/>
      <c r="B46" s="10" t="s">
        <v>356</v>
      </c>
      <c r="C46" s="16">
        <f t="shared" si="21"/>
        <v>1</v>
      </c>
      <c r="D46" s="28">
        <f t="shared" si="22"/>
        <v>3317</v>
      </c>
      <c r="E46" s="28">
        <f t="shared" si="23"/>
        <v>3103.66</v>
      </c>
      <c r="F46" s="28">
        <f t="shared" si="24"/>
        <v>213.34000000000015</v>
      </c>
      <c r="G46" s="28">
        <f t="shared" si="25"/>
        <v>438</v>
      </c>
      <c r="H46" s="28">
        <f t="shared" si="26"/>
        <v>2665.66</v>
      </c>
      <c r="I46" s="45">
        <f t="shared" si="27"/>
        <v>49.446943416589392</v>
      </c>
      <c r="J46" s="46">
        <f t="shared" si="28"/>
        <v>1.0091212942161101</v>
      </c>
      <c r="K46" s="45">
        <f t="shared" si="29"/>
        <v>49.89796353557945</v>
      </c>
      <c r="L46" s="45">
        <f t="shared" si="30"/>
        <v>56.160000000000004</v>
      </c>
      <c r="M46" s="45">
        <f t="shared" si="31"/>
        <v>65.72</v>
      </c>
      <c r="N46" s="28">
        <f t="shared" si="32"/>
        <v>1596.1320657390327</v>
      </c>
      <c r="O46" s="28">
        <f t="shared" si="33"/>
        <v>172.71216000000001</v>
      </c>
      <c r="P46" s="28">
        <f t="shared" si="34"/>
        <v>71.887046400000045</v>
      </c>
      <c r="Q46" s="47">
        <f t="shared" si="35"/>
        <v>0.98</v>
      </c>
      <c r="R46" s="28">
        <f t="shared" si="36"/>
        <v>3250.66</v>
      </c>
      <c r="S46" s="28">
        <f t="shared" si="37"/>
        <v>585</v>
      </c>
      <c r="T46" s="48">
        <f t="shared" si="38"/>
        <v>0.89814843246230824</v>
      </c>
      <c r="U46" s="28">
        <f t="shared" si="39"/>
        <v>219.68639380968466</v>
      </c>
      <c r="V46" s="28">
        <f t="shared" si="40"/>
        <v>1815.8184595487173</v>
      </c>
      <c r="W46" s="47">
        <f t="shared" si="41"/>
        <v>0.58543760393057098</v>
      </c>
      <c r="X46" s="28">
        <f t="shared" si="42"/>
        <v>1063.0484081311015</v>
      </c>
      <c r="Y46" s="28">
        <f t="shared" si="43"/>
        <v>2878.8668676798188</v>
      </c>
      <c r="Z46" s="45">
        <f t="shared" si="44"/>
        <v>287.88668676798187</v>
      </c>
      <c r="AA46" s="6"/>
    </row>
    <row r="47" spans="1:27" x14ac:dyDescent="0.3">
      <c r="A47" s="6"/>
      <c r="B47" s="10" t="s">
        <v>358</v>
      </c>
      <c r="C47" s="16">
        <f t="shared" si="21"/>
        <v>0.5</v>
      </c>
      <c r="D47" s="28">
        <f t="shared" si="22"/>
        <v>1455</v>
      </c>
      <c r="E47" s="28">
        <f t="shared" si="23"/>
        <v>1396.8</v>
      </c>
      <c r="F47" s="28">
        <f t="shared" si="24"/>
        <v>58.200000000000045</v>
      </c>
      <c r="G47" s="28">
        <f t="shared" si="25"/>
        <v>151</v>
      </c>
      <c r="H47" s="28">
        <f t="shared" si="26"/>
        <v>1245.8</v>
      </c>
      <c r="I47" s="45">
        <f t="shared" si="27"/>
        <v>236.9</v>
      </c>
      <c r="J47" s="46">
        <f t="shared" si="28"/>
        <v>1.03</v>
      </c>
      <c r="K47" s="45">
        <f t="shared" si="29"/>
        <v>244.00700000000001</v>
      </c>
      <c r="L47" s="45">
        <f t="shared" si="30"/>
        <v>260.70000000000005</v>
      </c>
      <c r="M47" s="45">
        <f t="shared" si="31"/>
        <v>250.16000000000003</v>
      </c>
      <c r="N47" s="28">
        <f t="shared" si="32"/>
        <v>3647.8070471999999</v>
      </c>
      <c r="O47" s="28">
        <f t="shared" si="33"/>
        <v>226.64496000000003</v>
      </c>
      <c r="P47" s="28">
        <f t="shared" si="34"/>
        <v>91.036440000000084</v>
      </c>
      <c r="Q47" s="47">
        <f t="shared" si="35"/>
        <v>0.96</v>
      </c>
      <c r="R47" s="28">
        <f t="shared" si="36"/>
        <v>1396.8</v>
      </c>
      <c r="S47" s="28">
        <f t="shared" si="37"/>
        <v>151</v>
      </c>
      <c r="T47" s="48">
        <f t="shared" si="38"/>
        <v>0.72179732313575506</v>
      </c>
      <c r="U47" s="28">
        <f t="shared" si="39"/>
        <v>229.30158413001914</v>
      </c>
      <c r="V47" s="28">
        <f t="shared" si="40"/>
        <v>3877.1086313300193</v>
      </c>
      <c r="W47" s="47">
        <f t="shared" si="41"/>
        <v>0</v>
      </c>
      <c r="X47" s="28">
        <f t="shared" si="42"/>
        <v>0</v>
      </c>
      <c r="Y47" s="28">
        <f t="shared" si="43"/>
        <v>3877.1086313300193</v>
      </c>
      <c r="Z47" s="45">
        <f t="shared" si="44"/>
        <v>387.71086313300191</v>
      </c>
      <c r="AA47" s="6"/>
    </row>
    <row r="48" spans="1:27" x14ac:dyDescent="0.3">
      <c r="A48" s="6"/>
      <c r="B48" s="10" t="s">
        <v>360</v>
      </c>
      <c r="C48" s="16">
        <f t="shared" si="21"/>
        <v>0.5</v>
      </c>
      <c r="D48" s="28">
        <f t="shared" si="22"/>
        <v>751</v>
      </c>
      <c r="E48" s="28">
        <f t="shared" si="23"/>
        <v>690.92000000000007</v>
      </c>
      <c r="F48" s="28">
        <f t="shared" si="24"/>
        <v>60.079999999999927</v>
      </c>
      <c r="G48" s="28">
        <f t="shared" si="25"/>
        <v>20</v>
      </c>
      <c r="H48" s="28">
        <f t="shared" si="26"/>
        <v>670.92000000000007</v>
      </c>
      <c r="I48" s="45">
        <f t="shared" si="27"/>
        <v>96.820000000000007</v>
      </c>
      <c r="J48" s="46">
        <f t="shared" si="28"/>
        <v>1.03</v>
      </c>
      <c r="K48" s="45">
        <f t="shared" si="29"/>
        <v>99.724600000000009</v>
      </c>
      <c r="L48" s="45">
        <f t="shared" si="30"/>
        <v>97.65</v>
      </c>
      <c r="M48" s="45">
        <f t="shared" si="31"/>
        <v>100.7</v>
      </c>
      <c r="N48" s="28">
        <f t="shared" si="32"/>
        <v>802.8867435840001</v>
      </c>
      <c r="O48" s="28">
        <f t="shared" si="33"/>
        <v>12.084</v>
      </c>
      <c r="P48" s="28">
        <f t="shared" si="34"/>
        <v>35.200871999999961</v>
      </c>
      <c r="Q48" s="47">
        <f t="shared" si="35"/>
        <v>0.92</v>
      </c>
      <c r="R48" s="28">
        <f t="shared" si="36"/>
        <v>690.92000000000007</v>
      </c>
      <c r="S48" s="28">
        <f t="shared" si="37"/>
        <v>20</v>
      </c>
      <c r="T48" s="48">
        <f t="shared" si="38"/>
        <v>0.24975024975024998</v>
      </c>
      <c r="U48" s="28">
        <f t="shared" si="39"/>
        <v>11.809408591408593</v>
      </c>
      <c r="V48" s="28">
        <f t="shared" si="40"/>
        <v>814.69615217540866</v>
      </c>
      <c r="W48" s="47">
        <f t="shared" si="41"/>
        <v>0</v>
      </c>
      <c r="X48" s="28">
        <f t="shared" si="42"/>
        <v>0</v>
      </c>
      <c r="Y48" s="28">
        <f t="shared" si="43"/>
        <v>814.69615217540866</v>
      </c>
      <c r="Z48" s="45">
        <f t="shared" si="44"/>
        <v>81.469615217540863</v>
      </c>
      <c r="AA48" s="6"/>
    </row>
    <row r="49" spans="1:27" x14ac:dyDescent="0.3">
      <c r="A49" s="6"/>
      <c r="B49" s="10" t="s">
        <v>362</v>
      </c>
      <c r="C49" s="16">
        <f t="shared" si="21"/>
        <v>0.5</v>
      </c>
      <c r="D49" s="6"/>
      <c r="E49" s="6"/>
      <c r="F49" s="6"/>
      <c r="G49" s="6"/>
      <c r="H49" s="6"/>
      <c r="I49" s="6"/>
      <c r="J49" s="6"/>
      <c r="K49" s="6"/>
      <c r="L49" s="6"/>
      <c r="M49" s="6"/>
      <c r="N49" s="6"/>
      <c r="O49" s="6"/>
      <c r="P49" s="6"/>
      <c r="Q49" s="6"/>
      <c r="R49" s="6"/>
      <c r="S49" s="6"/>
      <c r="T49" s="6"/>
      <c r="U49" s="6"/>
      <c r="V49" s="28">
        <f>$F$17*$G$17^2</f>
        <v>1547.91</v>
      </c>
      <c r="W49" s="6"/>
      <c r="X49" s="6"/>
      <c r="Y49" s="28">
        <f>V49</f>
        <v>1547.91</v>
      </c>
      <c r="Z49" s="45">
        <f t="shared" si="44"/>
        <v>154.791</v>
      </c>
      <c r="AA49" s="6"/>
    </row>
    <row r="50" spans="1:27" x14ac:dyDescent="0.3">
      <c r="A50" s="6"/>
      <c r="B50" s="19" t="s">
        <v>389</v>
      </c>
      <c r="C50" s="20"/>
      <c r="D50" s="49">
        <f>SUM(D40:D46)</f>
        <v>28890</v>
      </c>
      <c r="E50" s="49">
        <f>SUM(E40:E46)</f>
        <v>26254.432500000003</v>
      </c>
      <c r="F50" s="49">
        <f>SUM(F40:F46)</f>
        <v>2635.567500000001</v>
      </c>
      <c r="G50" s="49">
        <f>SUM(G40:G46)</f>
        <v>1630</v>
      </c>
      <c r="H50" s="49">
        <f>SUM(H40:H46)</f>
        <v>24624.432499999999</v>
      </c>
      <c r="I50" s="20"/>
      <c r="J50" s="20"/>
      <c r="K50" s="20"/>
      <c r="L50" s="20"/>
      <c r="M50" s="20"/>
      <c r="N50" s="49">
        <f>SUM(N40:N46)</f>
        <v>29222.616055816328</v>
      </c>
      <c r="O50" s="49">
        <f>SUM(O40:O46)</f>
        <v>1249.11672</v>
      </c>
      <c r="P50" s="49">
        <f>SUM(P40:P46)</f>
        <v>1541.5874505000006</v>
      </c>
      <c r="Q50" s="50">
        <f>R50/D50</f>
        <v>0.93080581516095529</v>
      </c>
      <c r="R50" s="49">
        <f>SUM(R40:R46)</f>
        <v>26890.98</v>
      </c>
      <c r="S50" s="49">
        <f>SUM(S40:S46)</f>
        <v>2276.4975000000004</v>
      </c>
      <c r="T50" s="20"/>
      <c r="U50" s="49">
        <f>SUM(U40:U46)</f>
        <v>1571.5792391817486</v>
      </c>
      <c r="V50" s="49">
        <f>SUM(V40:V46)</f>
        <v>30794.195294998077</v>
      </c>
      <c r="W50" s="20"/>
      <c r="X50" s="49">
        <f>SUM(X40:X46)</f>
        <v>10642.130950751209</v>
      </c>
      <c r="Y50" s="49">
        <f>SUM(Y40:Y46)</f>
        <v>41436.326245749282</v>
      </c>
      <c r="Z50" s="49">
        <f>SUM(Z40:Z46)</f>
        <v>4143.6326245749287</v>
      </c>
      <c r="AA50" s="6"/>
    </row>
    <row r="51" spans="1:27" x14ac:dyDescent="0.3">
      <c r="A51" s="6"/>
      <c r="B51" s="23" t="s">
        <v>390</v>
      </c>
      <c r="C51" s="6"/>
      <c r="D51" s="6"/>
      <c r="E51" s="6"/>
      <c r="F51" s="6"/>
      <c r="G51" s="6"/>
      <c r="H51" s="6"/>
      <c r="I51" s="6"/>
      <c r="J51" s="6"/>
      <c r="K51" s="6"/>
      <c r="L51" s="6"/>
      <c r="M51" s="6"/>
      <c r="N51" s="6"/>
      <c r="O51" s="6"/>
      <c r="P51" s="6"/>
      <c r="Q51" s="6"/>
      <c r="R51" s="6"/>
      <c r="S51" s="6"/>
      <c r="T51" s="6"/>
      <c r="U51" s="6"/>
      <c r="V51" s="51">
        <f>SUM(V47:V49)</f>
        <v>6239.7147835054275</v>
      </c>
      <c r="W51" s="6"/>
      <c r="X51" s="6"/>
      <c r="Y51" s="6"/>
      <c r="Z51" s="52">
        <f>V51/10</f>
        <v>623.97147835054272</v>
      </c>
      <c r="AA51" s="6"/>
    </row>
    <row r="52" spans="1:27" x14ac:dyDescent="0.3">
      <c r="A52" s="6"/>
      <c r="B52" s="23" t="s">
        <v>391</v>
      </c>
      <c r="C52" s="6"/>
      <c r="D52" s="6"/>
      <c r="E52" s="6"/>
      <c r="F52" s="6"/>
      <c r="G52" s="6"/>
      <c r="H52" s="6"/>
      <c r="I52" s="6"/>
      <c r="J52" s="6"/>
      <c r="K52" s="6"/>
      <c r="L52" s="6"/>
      <c r="M52" s="6"/>
      <c r="N52" s="6"/>
      <c r="O52" s="6"/>
      <c r="P52" s="6"/>
      <c r="Q52" s="6"/>
      <c r="R52" s="6"/>
      <c r="S52" s="6"/>
      <c r="T52" s="6"/>
      <c r="U52" s="6"/>
      <c r="V52" s="6"/>
      <c r="W52" s="6"/>
      <c r="X52" s="6"/>
      <c r="Y52" s="6"/>
      <c r="Z52" s="52">
        <f>Y50/10</f>
        <v>4143.6326245749278</v>
      </c>
      <c r="AA52" s="6"/>
    </row>
    <row r="53" spans="1:27"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spans="1:27"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spans="1:27" x14ac:dyDescent="0.3">
      <c r="A55" s="6"/>
      <c r="B55" s="7" t="s">
        <v>393</v>
      </c>
      <c r="C55" s="7"/>
      <c r="D55" s="7"/>
      <c r="E55" s="7"/>
      <c r="F55" s="7"/>
      <c r="G55" s="7"/>
      <c r="H55" s="7"/>
      <c r="I55" s="7"/>
      <c r="J55" s="7"/>
      <c r="K55" s="7"/>
      <c r="L55" s="7"/>
      <c r="M55" s="7"/>
      <c r="N55" s="7"/>
      <c r="O55" s="7"/>
      <c r="P55" s="7"/>
      <c r="Q55" s="7"/>
      <c r="R55" s="7"/>
      <c r="S55" s="7"/>
      <c r="T55" s="7"/>
      <c r="U55" s="7"/>
      <c r="V55" s="7"/>
      <c r="W55" s="7"/>
      <c r="X55" s="7"/>
      <c r="Y55" s="7"/>
      <c r="Z55" s="7"/>
      <c r="AA55" s="7"/>
    </row>
    <row r="56" spans="1:27" ht="43.5" customHeight="1" x14ac:dyDescent="0.3">
      <c r="A56" s="6"/>
      <c r="B56" s="8" t="s">
        <v>324</v>
      </c>
      <c r="C56" s="8" t="s">
        <v>366</v>
      </c>
      <c r="D56" s="8" t="s">
        <v>367</v>
      </c>
      <c r="E56" s="8" t="s">
        <v>368</v>
      </c>
      <c r="F56" s="8" t="s">
        <v>369</v>
      </c>
      <c r="G56" s="8" t="s">
        <v>370</v>
      </c>
      <c r="H56" s="8" t="s">
        <v>371</v>
      </c>
      <c r="I56" s="8" t="s">
        <v>328</v>
      </c>
      <c r="J56" s="8" t="s">
        <v>372</v>
      </c>
      <c r="K56" s="8" t="s">
        <v>373</v>
      </c>
      <c r="L56" s="8" t="s">
        <v>374</v>
      </c>
      <c r="M56" s="8" t="s">
        <v>375</v>
      </c>
      <c r="N56" s="8" t="s">
        <v>376</v>
      </c>
      <c r="O56" s="8" t="s">
        <v>377</v>
      </c>
      <c r="P56" s="8" t="s">
        <v>378</v>
      </c>
      <c r="Q56" s="8" t="s">
        <v>379</v>
      </c>
      <c r="R56" s="8" t="s">
        <v>380</v>
      </c>
      <c r="S56" s="8" t="s">
        <v>381</v>
      </c>
      <c r="T56" s="8" t="s">
        <v>382</v>
      </c>
      <c r="U56" s="8" t="s">
        <v>383</v>
      </c>
      <c r="V56" s="8" t="s">
        <v>384</v>
      </c>
      <c r="W56" s="8" t="s">
        <v>385</v>
      </c>
      <c r="X56" s="8" t="s">
        <v>386</v>
      </c>
      <c r="Y56" s="8" t="s">
        <v>387</v>
      </c>
      <c r="Z56" s="8" t="s">
        <v>388</v>
      </c>
      <c r="AA56" s="6"/>
    </row>
    <row r="57" spans="1:27" x14ac:dyDescent="0.3">
      <c r="A57" s="6"/>
      <c r="B57" s="10" t="s">
        <v>344</v>
      </c>
      <c r="C57" s="16">
        <f t="shared" ref="C57:C66" si="45">C8</f>
        <v>0.87</v>
      </c>
      <c r="D57" s="28">
        <f t="shared" ref="D57:D65" si="46">D40+S8</f>
        <v>7152</v>
      </c>
      <c r="E57" s="28">
        <f t="shared" ref="E57:E65" si="47">R40</f>
        <v>6711.3899999999994</v>
      </c>
      <c r="F57" s="28">
        <f t="shared" ref="F57:F65" si="48">D57-E57</f>
        <v>440.61000000000058</v>
      </c>
      <c r="G57" s="28">
        <f t="shared" ref="G57:G65" si="49">J8</f>
        <v>660</v>
      </c>
      <c r="H57" s="28">
        <f t="shared" ref="H57:H65" si="50">E57-G57</f>
        <v>6051.3899999999994</v>
      </c>
      <c r="I57" s="45">
        <f t="shared" ref="I57:I65" si="51">K40</f>
        <v>111.26475780000001</v>
      </c>
      <c r="J57" s="46">
        <f t="shared" ref="J57:J65" si="52">G8</f>
        <v>1.0294000000000001</v>
      </c>
      <c r="K57" s="45">
        <f t="shared" ref="K57:K65" si="53">I57*J57</f>
        <v>114.53594167932002</v>
      </c>
      <c r="L57" s="45">
        <f t="shared" ref="L57:L65" si="54">L40*P8</f>
        <v>119.1016</v>
      </c>
      <c r="M57" s="45">
        <f t="shared" ref="M57:M65" si="55">M40*Q8</f>
        <v>123.59600000000002</v>
      </c>
      <c r="N57" s="28">
        <f t="shared" ref="N57:N65" si="56">H57*K57*12/1000</f>
        <v>8317.2198254258437</v>
      </c>
      <c r="O57" s="28">
        <f t="shared" ref="O57:O65" si="57">G57*M57*12/1000*0.5</f>
        <v>489.44016000000011</v>
      </c>
      <c r="P57" s="28">
        <f t="shared" ref="P57:P65" si="58">F57*L57*12/1000*0.5</f>
        <v>314.86413585600042</v>
      </c>
      <c r="Q57" s="47">
        <f t="shared" ref="Q57:Q65" si="59">O8</f>
        <v>0.95250000000000001</v>
      </c>
      <c r="R57" s="28">
        <f t="shared" ref="R57:R65" si="60">Q57*D57</f>
        <v>6812.28</v>
      </c>
      <c r="S57" s="28">
        <f t="shared" ref="S57:S65" si="61">MAX(0,R57-H57)</f>
        <v>760.89000000000033</v>
      </c>
      <c r="T57" s="48">
        <f t="shared" ref="T57:T65" si="62">IFERROR(S57/(G57+F57),0)</f>
        <v>0.69133480524436441</v>
      </c>
      <c r="U57" s="28">
        <f t="shared" ref="U57:U65" si="63">(O57+P57)*T57</f>
        <v>556.04355373281373</v>
      </c>
      <c r="V57" s="28">
        <f t="shared" ref="V57:V65" si="64">N57+U57</f>
        <v>8873.2633791586577</v>
      </c>
      <c r="W57" s="47">
        <f t="shared" ref="W57:W65" si="65">T8</f>
        <v>0.24697738958328899</v>
      </c>
      <c r="X57" s="28">
        <f t="shared" ref="X57:X65" si="66">V57*W57</f>
        <v>2191.4954264695994</v>
      </c>
      <c r="Y57" s="28">
        <f t="shared" ref="Y57:Y65" si="67">V57+X57</f>
        <v>11064.758805628257</v>
      </c>
      <c r="Z57" s="45">
        <f t="shared" ref="Z57:Z66" si="68">Y57/10</f>
        <v>1106.4758805628258</v>
      </c>
      <c r="AA57" s="6"/>
    </row>
    <row r="58" spans="1:27" x14ac:dyDescent="0.3">
      <c r="A58" s="6"/>
      <c r="B58" s="10" t="s">
        <v>346</v>
      </c>
      <c r="C58" s="16">
        <f t="shared" si="45"/>
        <v>0.5</v>
      </c>
      <c r="D58" s="28">
        <f t="shared" si="46"/>
        <v>4461</v>
      </c>
      <c r="E58" s="28">
        <f t="shared" si="47"/>
        <v>4249.1025</v>
      </c>
      <c r="F58" s="28">
        <f t="shared" si="48"/>
        <v>211.89750000000004</v>
      </c>
      <c r="G58" s="28">
        <f t="shared" si="49"/>
        <v>415</v>
      </c>
      <c r="H58" s="28">
        <f t="shared" si="50"/>
        <v>3834.1025</v>
      </c>
      <c r="I58" s="45">
        <f t="shared" si="51"/>
        <v>174.17084832</v>
      </c>
      <c r="J58" s="46">
        <f t="shared" si="52"/>
        <v>1.0182</v>
      </c>
      <c r="K58" s="45">
        <f t="shared" si="53"/>
        <v>177.34075775942401</v>
      </c>
      <c r="L58" s="45">
        <f t="shared" si="54"/>
        <v>188.19840000000002</v>
      </c>
      <c r="M58" s="45">
        <f t="shared" si="55"/>
        <v>204.49520000000004</v>
      </c>
      <c r="N58" s="28">
        <f t="shared" si="56"/>
        <v>8159.3117121276237</v>
      </c>
      <c r="O58" s="28">
        <f t="shared" si="57"/>
        <v>509.19304800000009</v>
      </c>
      <c r="P58" s="28">
        <f t="shared" si="58"/>
        <v>239.27262278400008</v>
      </c>
      <c r="Q58" s="47">
        <f t="shared" si="59"/>
        <v>0.95750000000000002</v>
      </c>
      <c r="R58" s="28">
        <f t="shared" si="60"/>
        <v>4271.4075000000003</v>
      </c>
      <c r="S58" s="28">
        <f t="shared" si="61"/>
        <v>437.30500000000029</v>
      </c>
      <c r="T58" s="48">
        <f t="shared" si="62"/>
        <v>0.6975701769428021</v>
      </c>
      <c r="U58" s="28">
        <f t="shared" si="63"/>
        <v>522.10733040440812</v>
      </c>
      <c r="V58" s="28">
        <f t="shared" si="64"/>
        <v>8681.4190425320321</v>
      </c>
      <c r="W58" s="47">
        <f t="shared" si="65"/>
        <v>0.11356952610708</v>
      </c>
      <c r="X58" s="28">
        <f t="shared" si="66"/>
        <v>985.94464659734308</v>
      </c>
      <c r="Y58" s="28">
        <f t="shared" si="67"/>
        <v>9667.3636891293754</v>
      </c>
      <c r="Z58" s="45">
        <f t="shared" si="68"/>
        <v>966.73636891293756</v>
      </c>
      <c r="AA58" s="6"/>
    </row>
    <row r="59" spans="1:27" x14ac:dyDescent="0.3">
      <c r="A59" s="6"/>
      <c r="B59" s="10" t="s">
        <v>348</v>
      </c>
      <c r="C59" s="16">
        <f t="shared" si="45"/>
        <v>0.5</v>
      </c>
      <c r="D59" s="28">
        <f t="shared" si="46"/>
        <v>3828</v>
      </c>
      <c r="E59" s="28">
        <f t="shared" si="47"/>
        <v>3460.73</v>
      </c>
      <c r="F59" s="28">
        <f t="shared" si="48"/>
        <v>367.27</v>
      </c>
      <c r="G59" s="28">
        <f t="shared" si="49"/>
        <v>0</v>
      </c>
      <c r="H59" s="28">
        <f t="shared" si="50"/>
        <v>3460.73</v>
      </c>
      <c r="I59" s="45">
        <f t="shared" si="51"/>
        <v>87.782837432366165</v>
      </c>
      <c r="J59" s="46">
        <f t="shared" si="52"/>
        <v>1.01623779889856</v>
      </c>
      <c r="K59" s="45">
        <f t="shared" si="53"/>
        <v>89.208237493337919</v>
      </c>
      <c r="L59" s="45">
        <f t="shared" si="54"/>
        <v>91.237399999999994</v>
      </c>
      <c r="M59" s="45">
        <f t="shared" si="55"/>
        <v>102.24760000000002</v>
      </c>
      <c r="N59" s="28">
        <f t="shared" si="56"/>
        <v>3704.707484883832</v>
      </c>
      <c r="O59" s="28">
        <f t="shared" si="57"/>
        <v>0</v>
      </c>
      <c r="P59" s="28">
        <f t="shared" si="58"/>
        <v>201.05255938799999</v>
      </c>
      <c r="Q59" s="47">
        <f t="shared" si="59"/>
        <v>0.92500000000000004</v>
      </c>
      <c r="R59" s="28">
        <f t="shared" si="60"/>
        <v>3540.9</v>
      </c>
      <c r="S59" s="28">
        <f t="shared" si="61"/>
        <v>80.170000000000073</v>
      </c>
      <c r="T59" s="48">
        <f t="shared" si="62"/>
        <v>0.21828627440302795</v>
      </c>
      <c r="U59" s="28">
        <f t="shared" si="63"/>
        <v>43.887014148000041</v>
      </c>
      <c r="V59" s="28">
        <f t="shared" si="64"/>
        <v>3748.5944990318321</v>
      </c>
      <c r="W59" s="47">
        <f t="shared" si="65"/>
        <v>0.40788801457671597</v>
      </c>
      <c r="X59" s="28">
        <f t="shared" si="66"/>
        <v>1529.0067676632932</v>
      </c>
      <c r="Y59" s="28">
        <f t="shared" si="67"/>
        <v>5277.6012666951256</v>
      </c>
      <c r="Z59" s="45">
        <f t="shared" si="68"/>
        <v>527.7601266695126</v>
      </c>
      <c r="AA59" s="6"/>
    </row>
    <row r="60" spans="1:27" x14ac:dyDescent="0.3">
      <c r="A60" s="6"/>
      <c r="B60" s="10" t="s">
        <v>350</v>
      </c>
      <c r="C60" s="16">
        <f t="shared" si="45"/>
        <v>1</v>
      </c>
      <c r="D60" s="28">
        <f t="shared" si="46"/>
        <v>4110</v>
      </c>
      <c r="E60" s="28">
        <f t="shared" si="47"/>
        <v>3349.7</v>
      </c>
      <c r="F60" s="28">
        <f t="shared" si="48"/>
        <v>760.30000000000018</v>
      </c>
      <c r="G60" s="28">
        <f t="shared" si="49"/>
        <v>13</v>
      </c>
      <c r="H60" s="28">
        <f t="shared" si="50"/>
        <v>3336.7</v>
      </c>
      <c r="I60" s="45">
        <f t="shared" si="51"/>
        <v>95.716800000000006</v>
      </c>
      <c r="J60" s="46">
        <f t="shared" si="52"/>
        <v>1.02</v>
      </c>
      <c r="K60" s="45">
        <f t="shared" si="53"/>
        <v>97.631136000000012</v>
      </c>
      <c r="L60" s="45">
        <f t="shared" si="54"/>
        <v>93.359200000000001</v>
      </c>
      <c r="M60" s="45">
        <f t="shared" si="55"/>
        <v>98.876800000000003</v>
      </c>
      <c r="N60" s="28">
        <f t="shared" si="56"/>
        <v>3909.1897378944</v>
      </c>
      <c r="O60" s="28">
        <f t="shared" si="57"/>
        <v>7.7123904000000003</v>
      </c>
      <c r="P60" s="28">
        <f t="shared" si="58"/>
        <v>425.88599856000008</v>
      </c>
      <c r="Q60" s="47">
        <f t="shared" si="59"/>
        <v>0.84</v>
      </c>
      <c r="R60" s="28">
        <f t="shared" si="60"/>
        <v>3452.4</v>
      </c>
      <c r="S60" s="28">
        <f t="shared" si="61"/>
        <v>115.70000000000027</v>
      </c>
      <c r="T60" s="48">
        <f t="shared" si="62"/>
        <v>0.14961851803957099</v>
      </c>
      <c r="U60" s="28">
        <f t="shared" si="63"/>
        <v>64.874348380540695</v>
      </c>
      <c r="V60" s="28">
        <f t="shared" si="64"/>
        <v>3974.0640862749406</v>
      </c>
      <c r="W60" s="47">
        <f t="shared" si="65"/>
        <v>0.55506209550177898</v>
      </c>
      <c r="X60" s="28">
        <f t="shared" si="66"/>
        <v>2205.852339386131</v>
      </c>
      <c r="Y60" s="28">
        <f t="shared" si="67"/>
        <v>6179.9164256610711</v>
      </c>
      <c r="Z60" s="45">
        <f t="shared" si="68"/>
        <v>617.99164256610709</v>
      </c>
      <c r="AA60" s="6"/>
    </row>
    <row r="61" spans="1:27" x14ac:dyDescent="0.3">
      <c r="A61" s="6"/>
      <c r="B61" s="10" t="s">
        <v>352</v>
      </c>
      <c r="C61" s="16">
        <f t="shared" si="45"/>
        <v>1</v>
      </c>
      <c r="D61" s="28">
        <f t="shared" si="46"/>
        <v>2267</v>
      </c>
      <c r="E61" s="28">
        <f t="shared" si="47"/>
        <v>2074.66</v>
      </c>
      <c r="F61" s="28">
        <f t="shared" si="48"/>
        <v>192.34000000000015</v>
      </c>
      <c r="G61" s="28">
        <f t="shared" si="49"/>
        <v>102</v>
      </c>
      <c r="H61" s="28">
        <f t="shared" si="50"/>
        <v>1972.6599999999999</v>
      </c>
      <c r="I61" s="45">
        <f t="shared" si="51"/>
        <v>69.538511442204552</v>
      </c>
      <c r="J61" s="46">
        <f t="shared" si="52"/>
        <v>1.02645692054288</v>
      </c>
      <c r="K61" s="45">
        <f t="shared" si="53"/>
        <v>71.378286314101103</v>
      </c>
      <c r="L61" s="45">
        <f t="shared" si="54"/>
        <v>73.202100000000016</v>
      </c>
      <c r="M61" s="45">
        <f t="shared" si="55"/>
        <v>77.528400000000005</v>
      </c>
      <c r="N61" s="28">
        <f t="shared" si="56"/>
        <v>1689.6610833644963</v>
      </c>
      <c r="O61" s="28">
        <f t="shared" si="57"/>
        <v>47.447380799999998</v>
      </c>
      <c r="P61" s="28">
        <f t="shared" si="58"/>
        <v>84.478151484000094</v>
      </c>
      <c r="Q61" s="47">
        <f t="shared" si="59"/>
        <v>0.98</v>
      </c>
      <c r="R61" s="28">
        <f t="shared" si="60"/>
        <v>2221.66</v>
      </c>
      <c r="S61" s="28">
        <f t="shared" si="61"/>
        <v>249</v>
      </c>
      <c r="T61" s="48">
        <f t="shared" si="62"/>
        <v>0.84596045389685359</v>
      </c>
      <c r="U61" s="28">
        <f t="shared" si="63"/>
        <v>111.60378317155674</v>
      </c>
      <c r="V61" s="28">
        <f t="shared" si="64"/>
        <v>1801.264866536053</v>
      </c>
      <c r="W61" s="47">
        <f t="shared" si="65"/>
        <v>0.75332786284525299</v>
      </c>
      <c r="X61" s="28">
        <f t="shared" si="66"/>
        <v>1356.9430123258446</v>
      </c>
      <c r="Y61" s="28">
        <f t="shared" si="67"/>
        <v>3158.2078788618974</v>
      </c>
      <c r="Z61" s="45">
        <f t="shared" si="68"/>
        <v>315.82078788618975</v>
      </c>
      <c r="AA61" s="6"/>
    </row>
    <row r="62" spans="1:27" x14ac:dyDescent="0.3">
      <c r="A62" s="6"/>
      <c r="B62" s="10" t="s">
        <v>354</v>
      </c>
      <c r="C62" s="16">
        <f t="shared" si="45"/>
        <v>1</v>
      </c>
      <c r="D62" s="28">
        <f t="shared" si="46"/>
        <v>4155</v>
      </c>
      <c r="E62" s="28">
        <f t="shared" si="47"/>
        <v>3794.7375000000002</v>
      </c>
      <c r="F62" s="28">
        <f t="shared" si="48"/>
        <v>360.26249999999982</v>
      </c>
      <c r="G62" s="28">
        <f t="shared" si="49"/>
        <v>130</v>
      </c>
      <c r="H62" s="28">
        <f t="shared" si="50"/>
        <v>3664.7375000000002</v>
      </c>
      <c r="I62" s="45">
        <f t="shared" si="51"/>
        <v>68.048452560000015</v>
      </c>
      <c r="J62" s="46">
        <f t="shared" si="52"/>
        <v>1.0154000000000001</v>
      </c>
      <c r="K62" s="45">
        <f t="shared" si="53"/>
        <v>69.096398729424024</v>
      </c>
      <c r="L62" s="45">
        <f t="shared" si="54"/>
        <v>70.019400000000005</v>
      </c>
      <c r="M62" s="45">
        <f t="shared" si="55"/>
        <v>79.775600000000011</v>
      </c>
      <c r="N62" s="28">
        <f t="shared" si="56"/>
        <v>3038.6419624640707</v>
      </c>
      <c r="O62" s="28">
        <f t="shared" si="57"/>
        <v>62.224968000000011</v>
      </c>
      <c r="P62" s="28">
        <f t="shared" si="58"/>
        <v>151.35218455499992</v>
      </c>
      <c r="Q62" s="47">
        <f t="shared" si="59"/>
        <v>0.95499999999999996</v>
      </c>
      <c r="R62" s="28">
        <f t="shared" si="60"/>
        <v>3968.0249999999996</v>
      </c>
      <c r="S62" s="28">
        <f t="shared" si="61"/>
        <v>303.28749999999945</v>
      </c>
      <c r="T62" s="48">
        <f t="shared" si="62"/>
        <v>0.61862267662731607</v>
      </c>
      <c r="U62" s="28">
        <f t="shared" si="63"/>
        <v>132.12366978001469</v>
      </c>
      <c r="V62" s="28">
        <f t="shared" si="64"/>
        <v>3170.7656322440853</v>
      </c>
      <c r="W62" s="47">
        <f t="shared" si="65"/>
        <v>0.54869541715315995</v>
      </c>
      <c r="X62" s="28">
        <f t="shared" si="66"/>
        <v>1739.7845712790713</v>
      </c>
      <c r="Y62" s="28">
        <f t="shared" si="67"/>
        <v>4910.5502035231566</v>
      </c>
      <c r="Z62" s="45">
        <f t="shared" si="68"/>
        <v>491.05502035231564</v>
      </c>
      <c r="AA62" s="6"/>
    </row>
    <row r="63" spans="1:27" x14ac:dyDescent="0.3">
      <c r="A63" s="6"/>
      <c r="B63" s="10" t="s">
        <v>356</v>
      </c>
      <c r="C63" s="16">
        <f t="shared" si="45"/>
        <v>1</v>
      </c>
      <c r="D63" s="28">
        <f t="shared" si="46"/>
        <v>3567</v>
      </c>
      <c r="E63" s="28">
        <f t="shared" si="47"/>
        <v>3250.66</v>
      </c>
      <c r="F63" s="28">
        <f t="shared" si="48"/>
        <v>316.34000000000015</v>
      </c>
      <c r="G63" s="28">
        <f t="shared" si="49"/>
        <v>5</v>
      </c>
      <c r="H63" s="28">
        <f t="shared" si="50"/>
        <v>3245.66</v>
      </c>
      <c r="I63" s="45">
        <f t="shared" si="51"/>
        <v>49.89796353557945</v>
      </c>
      <c r="J63" s="46">
        <f t="shared" si="52"/>
        <v>1.0091212942161101</v>
      </c>
      <c r="K63" s="45">
        <f t="shared" si="53"/>
        <v>50.3530975417722</v>
      </c>
      <c r="L63" s="45">
        <f t="shared" si="54"/>
        <v>58.406400000000005</v>
      </c>
      <c r="M63" s="45">
        <f t="shared" si="55"/>
        <v>69.663200000000003</v>
      </c>
      <c r="N63" s="28">
        <f t="shared" si="56"/>
        <v>1961.1484148091401</v>
      </c>
      <c r="O63" s="28">
        <f t="shared" si="57"/>
        <v>2.089896</v>
      </c>
      <c r="P63" s="28">
        <f t="shared" si="58"/>
        <v>110.85768345600006</v>
      </c>
      <c r="Q63" s="47">
        <f t="shared" si="59"/>
        <v>0.98750000000000004</v>
      </c>
      <c r="R63" s="28">
        <f t="shared" si="60"/>
        <v>3522.4125000000004</v>
      </c>
      <c r="S63" s="28">
        <f t="shared" si="61"/>
        <v>276.75250000000051</v>
      </c>
      <c r="T63" s="48">
        <f t="shared" si="62"/>
        <v>0.86124509864940679</v>
      </c>
      <c r="U63" s="28">
        <f t="shared" si="63"/>
        <v>97.27554921079448</v>
      </c>
      <c r="V63" s="28">
        <f t="shared" si="64"/>
        <v>2058.4239640199348</v>
      </c>
      <c r="W63" s="47">
        <f t="shared" si="65"/>
        <v>0.58543760393057098</v>
      </c>
      <c r="X63" s="28">
        <f t="shared" si="66"/>
        <v>1205.0787933690985</v>
      </c>
      <c r="Y63" s="28">
        <f t="shared" si="67"/>
        <v>3263.5027573890334</v>
      </c>
      <c r="Z63" s="45">
        <f t="shared" si="68"/>
        <v>326.35027573890335</v>
      </c>
      <c r="AA63" s="6"/>
    </row>
    <row r="64" spans="1:27" x14ac:dyDescent="0.3">
      <c r="A64" s="6"/>
      <c r="B64" s="10" t="s">
        <v>358</v>
      </c>
      <c r="C64" s="16">
        <f t="shared" si="45"/>
        <v>0.5</v>
      </c>
      <c r="D64" s="28">
        <f t="shared" si="46"/>
        <v>1455</v>
      </c>
      <c r="E64" s="28">
        <f t="shared" si="47"/>
        <v>1396.8</v>
      </c>
      <c r="F64" s="28">
        <f t="shared" si="48"/>
        <v>58.200000000000045</v>
      </c>
      <c r="G64" s="28">
        <f t="shared" si="49"/>
        <v>36</v>
      </c>
      <c r="H64" s="28">
        <f t="shared" si="50"/>
        <v>1360.8</v>
      </c>
      <c r="I64" s="45">
        <f t="shared" si="51"/>
        <v>244.00700000000001</v>
      </c>
      <c r="J64" s="46">
        <f t="shared" si="52"/>
        <v>1.03</v>
      </c>
      <c r="K64" s="45">
        <f t="shared" si="53"/>
        <v>251.32721000000001</v>
      </c>
      <c r="L64" s="45">
        <f t="shared" si="54"/>
        <v>286.7700000000001</v>
      </c>
      <c r="M64" s="45">
        <f t="shared" si="55"/>
        <v>265.16960000000006</v>
      </c>
      <c r="N64" s="28">
        <f t="shared" si="56"/>
        <v>4104.072808416</v>
      </c>
      <c r="O64" s="28">
        <f t="shared" si="57"/>
        <v>57.276633600000018</v>
      </c>
      <c r="P64" s="28">
        <f t="shared" si="58"/>
        <v>100.1400840000001</v>
      </c>
      <c r="Q64" s="47">
        <f t="shared" si="59"/>
        <v>0.96</v>
      </c>
      <c r="R64" s="28">
        <f t="shared" si="60"/>
        <v>1396.8</v>
      </c>
      <c r="S64" s="28">
        <f t="shared" si="61"/>
        <v>36</v>
      </c>
      <c r="T64" s="48">
        <f t="shared" si="62"/>
        <v>0.38216560509554121</v>
      </c>
      <c r="U64" s="28">
        <f t="shared" si="63"/>
        <v>60.159255133757974</v>
      </c>
      <c r="V64" s="28">
        <f t="shared" si="64"/>
        <v>4164.2320635497581</v>
      </c>
      <c r="W64" s="47">
        <f t="shared" si="65"/>
        <v>0</v>
      </c>
      <c r="X64" s="28">
        <f t="shared" si="66"/>
        <v>0</v>
      </c>
      <c r="Y64" s="28">
        <f t="shared" si="67"/>
        <v>4164.2320635497581</v>
      </c>
      <c r="Z64" s="45">
        <f t="shared" si="68"/>
        <v>416.42320635497583</v>
      </c>
      <c r="AA64" s="6"/>
    </row>
    <row r="65" spans="1:27" x14ac:dyDescent="0.3">
      <c r="A65" s="6"/>
      <c r="B65" s="10" t="s">
        <v>360</v>
      </c>
      <c r="C65" s="16">
        <f t="shared" si="45"/>
        <v>0.5</v>
      </c>
      <c r="D65" s="28">
        <f t="shared" si="46"/>
        <v>751</v>
      </c>
      <c r="E65" s="28">
        <f t="shared" si="47"/>
        <v>690.92000000000007</v>
      </c>
      <c r="F65" s="28">
        <f t="shared" si="48"/>
        <v>60.079999999999927</v>
      </c>
      <c r="G65" s="28">
        <f t="shared" si="49"/>
        <v>37</v>
      </c>
      <c r="H65" s="28">
        <f t="shared" si="50"/>
        <v>653.92000000000007</v>
      </c>
      <c r="I65" s="45">
        <f t="shared" si="51"/>
        <v>99.724600000000009</v>
      </c>
      <c r="J65" s="46">
        <f t="shared" si="52"/>
        <v>1.03</v>
      </c>
      <c r="K65" s="45">
        <f t="shared" si="53"/>
        <v>102.71633800000001</v>
      </c>
      <c r="L65" s="45">
        <f t="shared" si="54"/>
        <v>102.53250000000001</v>
      </c>
      <c r="M65" s="45">
        <f t="shared" si="55"/>
        <v>106.742</v>
      </c>
      <c r="N65" s="28">
        <f t="shared" si="56"/>
        <v>806.01921293952012</v>
      </c>
      <c r="O65" s="28">
        <f t="shared" si="57"/>
        <v>23.696724000000003</v>
      </c>
      <c r="P65" s="28">
        <f t="shared" si="58"/>
        <v>36.960915599999957</v>
      </c>
      <c r="Q65" s="47">
        <f t="shared" si="59"/>
        <v>0.92</v>
      </c>
      <c r="R65" s="28">
        <f t="shared" si="60"/>
        <v>690.92000000000007</v>
      </c>
      <c r="S65" s="28">
        <f t="shared" si="61"/>
        <v>37</v>
      </c>
      <c r="T65" s="48">
        <f t="shared" si="62"/>
        <v>0.38112896580140121</v>
      </c>
      <c r="U65" s="28">
        <f t="shared" si="63"/>
        <v>23.118383448702104</v>
      </c>
      <c r="V65" s="28">
        <f t="shared" si="64"/>
        <v>829.13759638822216</v>
      </c>
      <c r="W65" s="47">
        <f t="shared" si="65"/>
        <v>0</v>
      </c>
      <c r="X65" s="28">
        <f t="shared" si="66"/>
        <v>0</v>
      </c>
      <c r="Y65" s="28">
        <f t="shared" si="67"/>
        <v>829.13759638822216</v>
      </c>
      <c r="Z65" s="45">
        <f t="shared" si="68"/>
        <v>82.913759638822214</v>
      </c>
      <c r="AA65" s="6"/>
    </row>
    <row r="66" spans="1:27" x14ac:dyDescent="0.3">
      <c r="A66" s="6"/>
      <c r="B66" s="10" t="s">
        <v>362</v>
      </c>
      <c r="C66" s="16">
        <f t="shared" si="45"/>
        <v>0.5</v>
      </c>
      <c r="D66" s="6"/>
      <c r="E66" s="6"/>
      <c r="F66" s="6"/>
      <c r="G66" s="6"/>
      <c r="H66" s="6"/>
      <c r="I66" s="6"/>
      <c r="J66" s="6"/>
      <c r="K66" s="6"/>
      <c r="L66" s="6"/>
      <c r="M66" s="6"/>
      <c r="N66" s="6"/>
      <c r="O66" s="6"/>
      <c r="P66" s="6"/>
      <c r="Q66" s="6"/>
      <c r="R66" s="6"/>
      <c r="S66" s="6"/>
      <c r="T66" s="6"/>
      <c r="U66" s="6"/>
      <c r="V66" s="28">
        <f>$F$17*$G$17^3</f>
        <v>1625.3055000000002</v>
      </c>
      <c r="W66" s="6"/>
      <c r="X66" s="6"/>
      <c r="Y66" s="28">
        <f>V66</f>
        <v>1625.3055000000002</v>
      </c>
      <c r="Z66" s="45">
        <f t="shared" si="68"/>
        <v>162.53055000000001</v>
      </c>
      <c r="AA66" s="6"/>
    </row>
    <row r="67" spans="1:27" x14ac:dyDescent="0.3">
      <c r="A67" s="6"/>
      <c r="B67" s="19" t="s">
        <v>389</v>
      </c>
      <c r="C67" s="20"/>
      <c r="D67" s="49">
        <f>SUM(D57:D63)</f>
        <v>29540</v>
      </c>
      <c r="E67" s="49">
        <f>SUM(E57:E63)</f>
        <v>26890.98</v>
      </c>
      <c r="F67" s="49">
        <f>SUM(F57:F63)</f>
        <v>2649.0200000000009</v>
      </c>
      <c r="G67" s="49">
        <f>SUM(G57:G63)</f>
        <v>1325</v>
      </c>
      <c r="H67" s="49">
        <f>SUM(H57:H63)</f>
        <v>25565.98</v>
      </c>
      <c r="I67" s="20"/>
      <c r="J67" s="20"/>
      <c r="K67" s="20"/>
      <c r="L67" s="20"/>
      <c r="M67" s="20"/>
      <c r="N67" s="49">
        <f>SUM(N57:N63)</f>
        <v>30779.880220969404</v>
      </c>
      <c r="O67" s="49">
        <f>SUM(O57:O63)</f>
        <v>1118.1078432000002</v>
      </c>
      <c r="P67" s="49">
        <f>SUM(P57:P63)</f>
        <v>1527.7633360830007</v>
      </c>
      <c r="Q67" s="50">
        <f>R67/D67</f>
        <v>0.94072731888964112</v>
      </c>
      <c r="R67" s="49">
        <f>SUM(R57:R63)</f>
        <v>27789.084999999999</v>
      </c>
      <c r="S67" s="49">
        <f>SUM(S57:S63)</f>
        <v>2223.1050000000009</v>
      </c>
      <c r="T67" s="20"/>
      <c r="U67" s="49">
        <f>SUM(U57:U63)</f>
        <v>1527.9152488281284</v>
      </c>
      <c r="V67" s="49">
        <f>SUM(V57:V63)</f>
        <v>32307.795469797536</v>
      </c>
      <c r="W67" s="20"/>
      <c r="X67" s="49">
        <f>SUM(X57:X63)</f>
        <v>11214.105557090381</v>
      </c>
      <c r="Y67" s="49">
        <f>SUM(Y57:Y63)</f>
        <v>43521.901026887914</v>
      </c>
      <c r="Z67" s="49">
        <f>SUM(Z57:Z63)</f>
        <v>4352.1901026887926</v>
      </c>
      <c r="AA67" s="6"/>
    </row>
    <row r="68" spans="1:27" x14ac:dyDescent="0.3">
      <c r="A68" s="6"/>
      <c r="B68" s="23" t="s">
        <v>390</v>
      </c>
      <c r="C68" s="6"/>
      <c r="D68" s="6"/>
      <c r="E68" s="6"/>
      <c r="F68" s="6"/>
      <c r="G68" s="6"/>
      <c r="H68" s="6"/>
      <c r="I68" s="6"/>
      <c r="J68" s="6"/>
      <c r="K68" s="6"/>
      <c r="L68" s="6"/>
      <c r="M68" s="6"/>
      <c r="N68" s="6"/>
      <c r="O68" s="6"/>
      <c r="P68" s="6"/>
      <c r="Q68" s="6"/>
      <c r="R68" s="6"/>
      <c r="S68" s="6"/>
      <c r="T68" s="6"/>
      <c r="U68" s="6"/>
      <c r="V68" s="51">
        <f>SUM(V64:V66)</f>
        <v>6618.6751599379804</v>
      </c>
      <c r="W68" s="6"/>
      <c r="X68" s="6"/>
      <c r="Y68" s="6"/>
      <c r="Z68" s="52">
        <f>V68/10</f>
        <v>661.86751599379807</v>
      </c>
      <c r="AA68" s="6"/>
    </row>
    <row r="69" spans="1:27" x14ac:dyDescent="0.3">
      <c r="A69" s="6"/>
      <c r="B69" s="23" t="s">
        <v>391</v>
      </c>
      <c r="C69" s="6"/>
      <c r="D69" s="6"/>
      <c r="E69" s="6"/>
      <c r="F69" s="6"/>
      <c r="G69" s="6"/>
      <c r="H69" s="6"/>
      <c r="I69" s="6"/>
      <c r="J69" s="6"/>
      <c r="K69" s="6"/>
      <c r="L69" s="6"/>
      <c r="M69" s="6"/>
      <c r="N69" s="6"/>
      <c r="O69" s="6"/>
      <c r="P69" s="6"/>
      <c r="Q69" s="6"/>
      <c r="R69" s="6"/>
      <c r="S69" s="6"/>
      <c r="T69" s="6"/>
      <c r="U69" s="6"/>
      <c r="V69" s="6"/>
      <c r="W69" s="6"/>
      <c r="X69" s="6"/>
      <c r="Y69" s="6"/>
      <c r="Z69" s="52">
        <f>Y67/10</f>
        <v>4352.1901026887917</v>
      </c>
      <c r="AA69" s="6"/>
    </row>
    <row r="70" spans="1:27"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spans="1:27"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spans="1:27"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spans="1:27"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spans="1:27" x14ac:dyDescent="0.3">
      <c r="A74" s="6"/>
      <c r="B74" s="7" t="s">
        <v>394</v>
      </c>
      <c r="C74" s="7"/>
      <c r="D74" s="7"/>
      <c r="E74" s="7"/>
      <c r="F74" s="7"/>
      <c r="G74" s="7"/>
      <c r="H74" s="7"/>
      <c r="I74" s="7"/>
      <c r="J74" s="7"/>
      <c r="K74" s="7"/>
      <c r="L74" s="7"/>
      <c r="M74" s="7"/>
      <c r="N74" s="7"/>
      <c r="O74" s="7"/>
      <c r="P74" s="7"/>
      <c r="Q74" s="7"/>
      <c r="R74" s="7"/>
      <c r="S74" s="7"/>
      <c r="T74" s="7"/>
      <c r="U74" s="7"/>
      <c r="V74" s="7"/>
      <c r="W74" s="7"/>
      <c r="X74" s="7"/>
      <c r="Y74" s="7"/>
      <c r="Z74" s="7"/>
      <c r="AA74" s="7"/>
    </row>
    <row r="75" spans="1:27" x14ac:dyDescent="0.3">
      <c r="A75" s="6"/>
      <c r="B75" s="10" t="s">
        <v>395</v>
      </c>
      <c r="C75" s="6"/>
      <c r="D75" s="25">
        <f>SUMPRODUCT(Z40:Z46,1-C40:C46)/SUM(Z40:Z46)</f>
        <v>0.20341656783670192</v>
      </c>
      <c r="E75" s="11" t="s">
        <v>396</v>
      </c>
      <c r="F75" s="6"/>
      <c r="G75" s="6"/>
      <c r="H75" s="6"/>
      <c r="I75" s="6"/>
      <c r="J75" s="6"/>
      <c r="K75" s="6"/>
      <c r="L75" s="6"/>
      <c r="M75" s="6"/>
      <c r="N75" s="6"/>
      <c r="O75" s="6"/>
      <c r="P75" s="6"/>
      <c r="Q75" s="6"/>
      <c r="R75" s="6"/>
      <c r="S75" s="6"/>
      <c r="T75" s="6"/>
      <c r="U75" s="6"/>
      <c r="V75" s="6"/>
      <c r="W75" s="6"/>
      <c r="X75" s="6"/>
      <c r="Y75" s="6"/>
      <c r="Z75" s="6"/>
      <c r="AA75" s="6"/>
    </row>
    <row r="76" spans="1:27"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spans="1:27" x14ac:dyDescent="0.3">
      <c r="A77" s="6"/>
      <c r="B77" s="7" t="s">
        <v>397</v>
      </c>
      <c r="C77" s="7"/>
      <c r="D77" s="7"/>
      <c r="E77" s="7"/>
      <c r="F77" s="7"/>
      <c r="G77" s="7"/>
      <c r="H77" s="7"/>
      <c r="I77" s="7"/>
      <c r="J77" s="7"/>
      <c r="K77" s="7"/>
      <c r="L77" s="7"/>
      <c r="M77" s="7"/>
      <c r="N77" s="7"/>
      <c r="O77" s="7"/>
      <c r="P77" s="7"/>
      <c r="Q77" s="7"/>
      <c r="R77" s="7"/>
      <c r="S77" s="7"/>
      <c r="T77" s="7"/>
      <c r="U77" s="7"/>
      <c r="V77" s="7"/>
      <c r="W77" s="7"/>
      <c r="X77" s="7"/>
      <c r="Y77" s="7"/>
      <c r="Z77" s="7"/>
      <c r="AA77" s="7"/>
    </row>
    <row r="78" spans="1:27" ht="26.4" x14ac:dyDescent="0.3">
      <c r="A78" s="6"/>
      <c r="B78" s="8" t="s">
        <v>398</v>
      </c>
      <c r="C78" s="8" t="s">
        <v>399</v>
      </c>
      <c r="D78" s="8" t="s">
        <v>400</v>
      </c>
      <c r="E78" s="8" t="s">
        <v>401</v>
      </c>
      <c r="F78" s="8" t="s">
        <v>402</v>
      </c>
      <c r="G78" s="8" t="s">
        <v>403</v>
      </c>
      <c r="H78" s="8" t="s">
        <v>404</v>
      </c>
      <c r="I78" s="6"/>
      <c r="J78" s="6"/>
      <c r="K78" s="6"/>
      <c r="L78" s="6"/>
      <c r="M78" s="6"/>
      <c r="N78" s="6"/>
      <c r="O78" s="6"/>
      <c r="P78" s="6"/>
      <c r="Q78" s="6"/>
      <c r="R78" s="6"/>
      <c r="S78" s="6"/>
      <c r="T78" s="6"/>
      <c r="U78" s="6"/>
      <c r="V78" s="6"/>
      <c r="W78" s="6"/>
      <c r="X78" s="6"/>
      <c r="Y78" s="6"/>
      <c r="Z78" s="6"/>
      <c r="AA78" s="6"/>
    </row>
    <row r="79" spans="1:27" x14ac:dyDescent="0.3">
      <c r="A79" s="6"/>
      <c r="B79" s="10" t="s">
        <v>405</v>
      </c>
      <c r="C79" s="36">
        <v>0.24</v>
      </c>
      <c r="D79" s="36">
        <v>0.245</v>
      </c>
      <c r="E79" s="36">
        <v>0.24</v>
      </c>
      <c r="F79" s="45">
        <f>C79*Rev_Build!$Z$35</f>
        <v>944.81772337473876</v>
      </c>
      <c r="G79" s="45">
        <f>D79*Rev_Build!$Z$52</f>
        <v>1015.1899930208573</v>
      </c>
      <c r="H79" s="45">
        <f>E79*Rev_Build!$Z$69</f>
        <v>1044.52562464531</v>
      </c>
      <c r="I79" s="6"/>
      <c r="J79" s="6"/>
      <c r="K79" s="6"/>
      <c r="L79" s="6"/>
      <c r="M79" s="6"/>
      <c r="N79" s="6"/>
      <c r="O79" s="6"/>
      <c r="P79" s="6"/>
      <c r="Q79" s="6"/>
      <c r="R79" s="6"/>
      <c r="S79" s="6"/>
      <c r="T79" s="6"/>
      <c r="U79" s="6"/>
      <c r="V79" s="6"/>
      <c r="W79" s="6"/>
      <c r="X79" s="6"/>
      <c r="Y79" s="6"/>
      <c r="Z79" s="6"/>
      <c r="AA79" s="6"/>
    </row>
    <row r="80" spans="1:27" x14ac:dyDescent="0.3">
      <c r="A80" s="6"/>
      <c r="B80" s="10" t="s">
        <v>406</v>
      </c>
      <c r="C80" s="36">
        <v>0.245</v>
      </c>
      <c r="D80" s="36">
        <v>0.25</v>
      </c>
      <c r="E80" s="36">
        <v>0.2475</v>
      </c>
      <c r="F80" s="45">
        <f>C80*Rev_Build!$Z$35</f>
        <v>964.50142594504575</v>
      </c>
      <c r="G80" s="45">
        <f>D80*Rev_Build!$Z$52</f>
        <v>1035.908156143732</v>
      </c>
      <c r="H80" s="45">
        <f>E80*Rev_Build!$Z$69</f>
        <v>1077.1670504154758</v>
      </c>
      <c r="I80" s="6"/>
      <c r="J80" s="6"/>
      <c r="K80" s="6"/>
      <c r="L80" s="6"/>
      <c r="M80" s="6"/>
      <c r="N80" s="6"/>
      <c r="O80" s="6"/>
      <c r="P80" s="6"/>
      <c r="Q80" s="6"/>
      <c r="R80" s="6"/>
      <c r="S80" s="6"/>
      <c r="T80" s="6"/>
      <c r="U80" s="6"/>
      <c r="V80" s="6"/>
      <c r="W80" s="6"/>
      <c r="X80" s="6"/>
      <c r="Y80" s="6"/>
      <c r="Z80" s="6"/>
      <c r="AA80" s="6"/>
    </row>
    <row r="81" spans="1:27" x14ac:dyDescent="0.3">
      <c r="A81" s="6"/>
      <c r="B81" s="10" t="s">
        <v>407</v>
      </c>
      <c r="C81" s="36">
        <v>0.26</v>
      </c>
      <c r="D81" s="36">
        <v>0.25750000000000001</v>
      </c>
      <c r="E81" s="36">
        <v>0.25750000000000001</v>
      </c>
      <c r="F81" s="45">
        <f>C81*Rev_Build!$Z$35</f>
        <v>1023.552533655967</v>
      </c>
      <c r="G81" s="45">
        <f>D81*Rev_Build!$Z$52</f>
        <v>1066.985400828044</v>
      </c>
      <c r="H81" s="45">
        <f>E81*Rev_Build!$Z$69</f>
        <v>1120.688951442364</v>
      </c>
      <c r="I81" s="6"/>
      <c r="J81" s="6"/>
      <c r="K81" s="6"/>
      <c r="L81" s="6"/>
      <c r="M81" s="6"/>
      <c r="N81" s="6"/>
      <c r="O81" s="6"/>
      <c r="P81" s="6"/>
      <c r="Q81" s="6"/>
      <c r="R81" s="6"/>
      <c r="S81" s="6"/>
      <c r="T81" s="6"/>
      <c r="U81" s="6"/>
      <c r="V81" s="6"/>
      <c r="W81" s="6"/>
      <c r="X81" s="6"/>
      <c r="Y81" s="6"/>
      <c r="Z81" s="6"/>
      <c r="AA81" s="6"/>
    </row>
    <row r="82" spans="1:27" x14ac:dyDescent="0.3">
      <c r="A82" s="6"/>
      <c r="B82" s="10" t="s">
        <v>408</v>
      </c>
      <c r="C82" s="36">
        <v>0.255</v>
      </c>
      <c r="D82" s="36">
        <v>0.2475</v>
      </c>
      <c r="E82" s="36">
        <v>0.255</v>
      </c>
      <c r="F82" s="45">
        <f>C82*Rev_Build!$Z$35</f>
        <v>1003.86883108566</v>
      </c>
      <c r="G82" s="45">
        <f>D82*Rev_Build!$Z$52</f>
        <v>1025.5490745822947</v>
      </c>
      <c r="H82" s="45">
        <f>E82*Rev_Build!$Z$69</f>
        <v>1109.8084761856419</v>
      </c>
      <c r="I82" s="6"/>
      <c r="J82" s="6"/>
      <c r="K82" s="6"/>
      <c r="L82" s="6"/>
      <c r="M82" s="6"/>
      <c r="N82" s="6"/>
      <c r="O82" s="6"/>
      <c r="P82" s="6"/>
      <c r="Q82" s="6"/>
      <c r="R82" s="6"/>
      <c r="S82" s="6"/>
      <c r="T82" s="6"/>
      <c r="U82" s="6"/>
      <c r="V82" s="6"/>
      <c r="W82" s="6"/>
      <c r="X82" s="6"/>
      <c r="Y82" s="6"/>
      <c r="Z82" s="6"/>
      <c r="AA82" s="6"/>
    </row>
    <row r="83" spans="1:27" x14ac:dyDescent="0.3">
      <c r="A83" s="6"/>
      <c r="B83" s="23" t="s">
        <v>409</v>
      </c>
      <c r="C83" s="53">
        <f t="shared" ref="C83:H83" si="69">SUM(C79:C82)</f>
        <v>1</v>
      </c>
      <c r="D83" s="53">
        <f t="shared" si="69"/>
        <v>1</v>
      </c>
      <c r="E83" s="53">
        <f t="shared" si="69"/>
        <v>1</v>
      </c>
      <c r="F83" s="41">
        <f t="shared" si="69"/>
        <v>3936.7405140614114</v>
      </c>
      <c r="G83" s="41">
        <f t="shared" si="69"/>
        <v>4143.6326245749278</v>
      </c>
      <c r="H83" s="41">
        <f t="shared" si="69"/>
        <v>4352.1901026887917</v>
      </c>
      <c r="I83" s="6"/>
      <c r="J83" s="6"/>
      <c r="K83" s="6"/>
      <c r="L83" s="6"/>
      <c r="M83" s="6"/>
      <c r="N83" s="6"/>
      <c r="O83" s="6"/>
      <c r="P83" s="6"/>
      <c r="Q83" s="6"/>
      <c r="R83" s="6"/>
      <c r="S83" s="6"/>
      <c r="T83" s="6"/>
      <c r="U83" s="6"/>
      <c r="V83" s="6"/>
      <c r="W83" s="6"/>
      <c r="X83" s="6"/>
      <c r="Y83" s="6"/>
      <c r="Z83" s="6"/>
      <c r="AA83" s="6"/>
    </row>
  </sheetData>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T87"/>
  <sheetViews>
    <sheetView zoomScale="90" zoomScaleNormal="90" workbookViewId="0">
      <pane xSplit="3" ySplit="5" topLeftCell="D6" activePane="bottomRight" state="frozen"/>
      <selection pane="topRight" activeCell="D1" sqref="D1"/>
      <selection pane="bottomLeft" activeCell="A6" sqref="A6"/>
      <selection pane="bottomRight"/>
    </sheetView>
  </sheetViews>
  <sheetFormatPr defaultColWidth="8.6640625" defaultRowHeight="14.4" x14ac:dyDescent="0.3"/>
  <cols>
    <col min="1" max="1" width="2" customWidth="1"/>
    <col min="2" max="2" width="50" customWidth="1"/>
    <col min="3" max="3" width="10" customWidth="1"/>
    <col min="4" max="18" width="11.44140625" customWidth="1"/>
    <col min="19" max="19" width="3" customWidth="1"/>
    <col min="20" max="20" width="70" customWidth="1"/>
  </cols>
  <sheetData>
    <row r="1" spans="1:20" ht="24" customHeight="1" x14ac:dyDescent="0.3">
      <c r="A1" s="2"/>
      <c r="B1" s="4" t="s">
        <v>410</v>
      </c>
      <c r="C1" s="2"/>
      <c r="D1" s="2"/>
      <c r="E1" s="2"/>
      <c r="F1" s="2"/>
      <c r="G1" s="2"/>
      <c r="H1" s="2"/>
      <c r="I1" s="2"/>
      <c r="J1" s="2"/>
      <c r="K1" s="2"/>
      <c r="L1" s="2"/>
      <c r="M1" s="2"/>
      <c r="N1" s="2"/>
      <c r="O1" s="2"/>
      <c r="P1" s="2"/>
      <c r="Q1" s="2"/>
      <c r="R1" s="2"/>
      <c r="S1" s="2"/>
      <c r="T1" s="2"/>
    </row>
    <row r="2" spans="1:20" x14ac:dyDescent="0.3">
      <c r="A2" s="2"/>
      <c r="B2" s="14" t="s">
        <v>411</v>
      </c>
      <c r="C2" s="2"/>
      <c r="D2" s="2"/>
      <c r="E2" s="2"/>
      <c r="F2" s="2"/>
      <c r="G2" s="2"/>
      <c r="H2" s="2"/>
      <c r="I2" s="2"/>
      <c r="J2" s="2"/>
      <c r="K2" s="2"/>
      <c r="L2" s="2"/>
      <c r="M2" s="2"/>
      <c r="N2" s="2"/>
      <c r="O2" s="2"/>
      <c r="P2" s="2"/>
      <c r="Q2" s="2"/>
      <c r="R2" s="2"/>
      <c r="S2" s="2"/>
      <c r="T2" s="2"/>
    </row>
    <row r="3" spans="1:20" x14ac:dyDescent="0.3">
      <c r="A3" s="6"/>
      <c r="B3" s="6"/>
      <c r="C3" s="6"/>
      <c r="D3" s="6"/>
      <c r="E3" s="6"/>
      <c r="F3" s="6"/>
      <c r="G3" s="6"/>
      <c r="H3" s="6"/>
      <c r="I3" s="6"/>
      <c r="J3" s="6"/>
      <c r="K3" s="6"/>
      <c r="L3" s="6"/>
      <c r="M3" s="6"/>
      <c r="N3" s="6"/>
      <c r="O3" s="6"/>
      <c r="P3" s="6"/>
      <c r="Q3" s="6"/>
      <c r="R3" s="6"/>
      <c r="S3" s="6"/>
      <c r="T3" s="6"/>
    </row>
    <row r="4" spans="1:20" x14ac:dyDescent="0.3">
      <c r="A4" s="6"/>
      <c r="B4" s="8" t="s">
        <v>230</v>
      </c>
      <c r="C4" s="8" t="s">
        <v>118</v>
      </c>
      <c r="D4" s="8" t="s">
        <v>231</v>
      </c>
      <c r="E4" s="8" t="s">
        <v>232</v>
      </c>
      <c r="F4" s="8" t="s">
        <v>233</v>
      </c>
      <c r="G4" s="8" t="s">
        <v>85</v>
      </c>
      <c r="H4" s="8" t="s">
        <v>86</v>
      </c>
      <c r="I4" s="8" t="s">
        <v>87</v>
      </c>
      <c r="J4" s="8" t="s">
        <v>88</v>
      </c>
      <c r="K4" s="8" t="s">
        <v>89</v>
      </c>
      <c r="L4" s="8" t="s">
        <v>412</v>
      </c>
      <c r="M4" s="8" t="s">
        <v>90</v>
      </c>
      <c r="N4" s="8" t="s">
        <v>413</v>
      </c>
      <c r="O4" s="8" t="s">
        <v>414</v>
      </c>
      <c r="P4" s="8" t="s">
        <v>415</v>
      </c>
      <c r="Q4" s="8" t="s">
        <v>416</v>
      </c>
      <c r="R4" s="8" t="s">
        <v>91</v>
      </c>
      <c r="S4" s="6"/>
      <c r="T4" s="6"/>
    </row>
    <row r="5" spans="1:20" x14ac:dyDescent="0.3">
      <c r="A5" s="6"/>
      <c r="B5" s="11" t="s">
        <v>417</v>
      </c>
      <c r="C5" s="6"/>
      <c r="D5" s="6"/>
      <c r="E5" s="6"/>
      <c r="F5" s="6"/>
      <c r="G5" s="6"/>
      <c r="H5" s="6"/>
      <c r="I5" s="54">
        <v>1</v>
      </c>
      <c r="J5" s="54">
        <v>2</v>
      </c>
      <c r="K5" s="54">
        <v>3</v>
      </c>
      <c r="L5" s="54">
        <v>4</v>
      </c>
      <c r="M5" s="54">
        <v>5</v>
      </c>
      <c r="N5" s="54">
        <v>6</v>
      </c>
      <c r="O5" s="54">
        <v>7</v>
      </c>
      <c r="P5" s="54">
        <v>8</v>
      </c>
      <c r="Q5" s="54">
        <v>9</v>
      </c>
      <c r="R5" s="54">
        <v>10</v>
      </c>
      <c r="S5" s="6"/>
      <c r="T5" s="6"/>
    </row>
    <row r="6" spans="1:20" x14ac:dyDescent="0.3">
      <c r="A6" s="6"/>
      <c r="B6" s="7" t="s">
        <v>418</v>
      </c>
      <c r="C6" s="7"/>
      <c r="D6" s="7"/>
      <c r="E6" s="7"/>
      <c r="F6" s="7"/>
      <c r="G6" s="7"/>
      <c r="H6" s="7"/>
      <c r="I6" s="7"/>
      <c r="J6" s="7"/>
      <c r="K6" s="7"/>
      <c r="L6" s="7"/>
      <c r="M6" s="7"/>
      <c r="N6" s="7"/>
      <c r="O6" s="7"/>
      <c r="P6" s="7"/>
      <c r="Q6" s="7"/>
      <c r="R6" s="7"/>
      <c r="S6" s="6"/>
      <c r="T6" s="6"/>
    </row>
    <row r="7" spans="1:20" x14ac:dyDescent="0.3">
      <c r="A7" s="6"/>
      <c r="B7" s="10" t="s">
        <v>419</v>
      </c>
      <c r="C7" s="11" t="s">
        <v>158</v>
      </c>
      <c r="D7" s="6"/>
      <c r="E7" s="6"/>
      <c r="F7" s="6"/>
      <c r="G7" s="6"/>
      <c r="H7" s="6"/>
      <c r="I7" s="6"/>
      <c r="J7" s="6"/>
      <c r="K7" s="6"/>
      <c r="L7" s="35">
        <v>0.05</v>
      </c>
      <c r="M7" s="35">
        <v>0.05</v>
      </c>
      <c r="N7" s="35">
        <v>0.05</v>
      </c>
      <c r="O7" s="35">
        <v>0.05</v>
      </c>
      <c r="P7" s="35">
        <v>0.05</v>
      </c>
      <c r="Q7" s="35">
        <v>0.05</v>
      </c>
      <c r="R7" s="35">
        <v>0.05</v>
      </c>
      <c r="S7" s="6"/>
      <c r="T7" s="11" t="s">
        <v>420</v>
      </c>
    </row>
    <row r="8" spans="1:20" x14ac:dyDescent="0.3">
      <c r="A8" s="6"/>
      <c r="B8" s="10" t="s">
        <v>421</v>
      </c>
      <c r="C8" s="11" t="s">
        <v>158</v>
      </c>
      <c r="D8" s="6"/>
      <c r="E8" s="6"/>
      <c r="F8" s="6"/>
      <c r="G8" s="6"/>
      <c r="H8" s="6"/>
      <c r="I8" s="36">
        <v>3.7928140392641898E-3</v>
      </c>
      <c r="J8" s="36">
        <v>3.66275843784866E-3</v>
      </c>
      <c r="K8" s="36">
        <v>3.70596871945294E-3</v>
      </c>
      <c r="L8" s="36">
        <f>K8</f>
        <v>3.70596871945294E-3</v>
      </c>
      <c r="M8" s="36">
        <f>K8</f>
        <v>3.70596871945294E-3</v>
      </c>
      <c r="N8" s="36">
        <f>K8</f>
        <v>3.70596871945294E-3</v>
      </c>
      <c r="O8" s="36">
        <f>K8</f>
        <v>3.70596871945294E-3</v>
      </c>
      <c r="P8" s="36">
        <f>K8</f>
        <v>3.70596871945294E-3</v>
      </c>
      <c r="Q8" s="36">
        <f>K8</f>
        <v>3.70596871945294E-3</v>
      </c>
      <c r="R8" s="36">
        <f>K8</f>
        <v>3.70596871945294E-3</v>
      </c>
      <c r="S8" s="6"/>
      <c r="T8" s="11" t="s">
        <v>422</v>
      </c>
    </row>
    <row r="9" spans="1:20" x14ac:dyDescent="0.3">
      <c r="A9" s="6"/>
      <c r="B9" s="10" t="s">
        <v>423</v>
      </c>
      <c r="C9" s="11" t="s">
        <v>158</v>
      </c>
      <c r="D9" s="6"/>
      <c r="E9" s="6"/>
      <c r="F9" s="6"/>
      <c r="G9" s="6"/>
      <c r="H9" s="6"/>
      <c r="I9" s="35">
        <v>0.28005000000000002</v>
      </c>
      <c r="J9" s="35">
        <v>0.25997500000000001</v>
      </c>
      <c r="K9" s="35">
        <v>0.25</v>
      </c>
      <c r="L9" s="35">
        <f>K9</f>
        <v>0.25</v>
      </c>
      <c r="M9" s="35">
        <f>K9</f>
        <v>0.25</v>
      </c>
      <c r="N9" s="35">
        <f>K9</f>
        <v>0.25</v>
      </c>
      <c r="O9" s="35">
        <f>K9</f>
        <v>0.25</v>
      </c>
      <c r="P9" s="35">
        <f>K9</f>
        <v>0.25</v>
      </c>
      <c r="Q9" s="35">
        <f>K9</f>
        <v>0.25</v>
      </c>
      <c r="R9" s="35">
        <f>K9</f>
        <v>0.25</v>
      </c>
      <c r="S9" s="6"/>
      <c r="T9" s="11" t="s">
        <v>424</v>
      </c>
    </row>
    <row r="10" spans="1:20" x14ac:dyDescent="0.3">
      <c r="A10" s="6"/>
      <c r="B10" s="10" t="s">
        <v>425</v>
      </c>
      <c r="C10" s="11" t="s">
        <v>158</v>
      </c>
      <c r="D10" s="6"/>
      <c r="E10" s="6"/>
      <c r="F10" s="6"/>
      <c r="G10" s="6"/>
      <c r="H10" s="6"/>
      <c r="I10" s="36">
        <v>1.0999999999999999E-2</v>
      </c>
      <c r="J10" s="36">
        <v>1.0999999999999999E-2</v>
      </c>
      <c r="K10" s="36">
        <v>1.0999999999999999E-2</v>
      </c>
      <c r="L10" s="36">
        <f>K10</f>
        <v>1.0999999999999999E-2</v>
      </c>
      <c r="M10" s="36">
        <f>K10</f>
        <v>1.0999999999999999E-2</v>
      </c>
      <c r="N10" s="36">
        <f>K10</f>
        <v>1.0999999999999999E-2</v>
      </c>
      <c r="O10" s="36">
        <f>K10</f>
        <v>1.0999999999999999E-2</v>
      </c>
      <c r="P10" s="36">
        <f>K10</f>
        <v>1.0999999999999999E-2</v>
      </c>
      <c r="Q10" s="36">
        <f>K10</f>
        <v>1.0999999999999999E-2</v>
      </c>
      <c r="R10" s="36">
        <f>K10</f>
        <v>1.0999999999999999E-2</v>
      </c>
      <c r="S10" s="6"/>
      <c r="T10" s="11" t="s">
        <v>426</v>
      </c>
    </row>
    <row r="11" spans="1:20" x14ac:dyDescent="0.3">
      <c r="A11" s="6"/>
      <c r="B11" s="10" t="s">
        <v>427</v>
      </c>
      <c r="C11" s="11" t="s">
        <v>158</v>
      </c>
      <c r="D11" s="6"/>
      <c r="E11" s="6"/>
      <c r="F11" s="6"/>
      <c r="G11" s="6"/>
      <c r="H11" s="6"/>
      <c r="I11" s="36">
        <v>3.6204966514736599E-2</v>
      </c>
      <c r="J11" s="36">
        <v>3.5317220175444801E-2</v>
      </c>
      <c r="K11" s="36">
        <v>3.5279573333398699E-2</v>
      </c>
      <c r="L11" s="36">
        <v>3.5000000000000003E-2</v>
      </c>
      <c r="M11" s="36">
        <v>3.5000000000000003E-2</v>
      </c>
      <c r="N11" s="36">
        <v>3.5000000000000003E-2</v>
      </c>
      <c r="O11" s="36">
        <v>3.5000000000000003E-2</v>
      </c>
      <c r="P11" s="36">
        <v>3.5000000000000003E-2</v>
      </c>
      <c r="Q11" s="36">
        <v>3.5000000000000003E-2</v>
      </c>
      <c r="R11" s="36">
        <v>3.5000000000000003E-2</v>
      </c>
      <c r="S11" s="6"/>
      <c r="T11" s="11" t="s">
        <v>428</v>
      </c>
    </row>
    <row r="12" spans="1:20" x14ac:dyDescent="0.3">
      <c r="A12" s="6"/>
      <c r="B12" s="10" t="s">
        <v>429</v>
      </c>
      <c r="C12" s="11" t="s">
        <v>158</v>
      </c>
      <c r="D12" s="6"/>
      <c r="E12" s="6"/>
      <c r="F12" s="6"/>
      <c r="G12" s="6"/>
      <c r="H12" s="6"/>
      <c r="I12" s="6"/>
      <c r="J12" s="6"/>
      <c r="K12" s="6"/>
      <c r="L12" s="35">
        <v>0.01</v>
      </c>
      <c r="M12" s="35">
        <v>0.01</v>
      </c>
      <c r="N12" s="35">
        <v>0.01</v>
      </c>
      <c r="O12" s="35">
        <v>0.01</v>
      </c>
      <c r="P12" s="35">
        <v>0.01</v>
      </c>
      <c r="Q12" s="35">
        <v>0.01</v>
      </c>
      <c r="R12" s="35">
        <v>0.01</v>
      </c>
      <c r="S12" s="6"/>
      <c r="T12" s="11" t="s">
        <v>430</v>
      </c>
    </row>
    <row r="13" spans="1:20" x14ac:dyDescent="0.3">
      <c r="A13" s="6"/>
      <c r="B13" s="10" t="s">
        <v>431</v>
      </c>
      <c r="C13" s="11" t="s">
        <v>158</v>
      </c>
      <c r="D13" s="6"/>
      <c r="E13" s="6"/>
      <c r="F13" s="6"/>
      <c r="G13" s="6"/>
      <c r="H13" s="6"/>
      <c r="I13" s="35">
        <v>0.24</v>
      </c>
      <c r="J13" s="35">
        <v>0.25</v>
      </c>
      <c r="K13" s="35">
        <v>0.26</v>
      </c>
      <c r="L13" s="35">
        <f>Inputs!$C$42</f>
        <v>0.25169999999999998</v>
      </c>
      <c r="M13" s="35">
        <f>Inputs!$C$42</f>
        <v>0.25169999999999998</v>
      </c>
      <c r="N13" s="35">
        <f>Inputs!$C$42</f>
        <v>0.25169999999999998</v>
      </c>
      <c r="O13" s="35">
        <f>Inputs!$C$42</f>
        <v>0.25169999999999998</v>
      </c>
      <c r="P13" s="35">
        <f>Inputs!$C$42</f>
        <v>0.25169999999999998</v>
      </c>
      <c r="Q13" s="35">
        <f>Inputs!$C$42</f>
        <v>0.25169999999999998</v>
      </c>
      <c r="R13" s="35">
        <f>Inputs!$C$42</f>
        <v>0.25169999999999998</v>
      </c>
      <c r="S13" s="6"/>
      <c r="T13" s="11" t="s">
        <v>432</v>
      </c>
    </row>
    <row r="14" spans="1:20" x14ac:dyDescent="0.3">
      <c r="A14" s="6"/>
      <c r="B14" s="10" t="s">
        <v>433</v>
      </c>
      <c r="C14" s="11" t="s">
        <v>158</v>
      </c>
      <c r="D14" s="6"/>
      <c r="E14" s="6"/>
      <c r="F14" s="6"/>
      <c r="G14" s="6"/>
      <c r="H14" s="6"/>
      <c r="I14" s="35">
        <v>0.3</v>
      </c>
      <c r="J14" s="35">
        <v>0.4</v>
      </c>
      <c r="K14" s="35">
        <v>0.5</v>
      </c>
      <c r="L14" s="35">
        <v>0.6</v>
      </c>
      <c r="M14" s="35">
        <v>0.7</v>
      </c>
      <c r="N14" s="35">
        <v>0.8</v>
      </c>
      <c r="O14" s="35">
        <v>0.9</v>
      </c>
      <c r="P14" s="35">
        <v>1</v>
      </c>
      <c r="Q14" s="35">
        <v>1</v>
      </c>
      <c r="R14" s="35">
        <v>1</v>
      </c>
      <c r="S14" s="6"/>
      <c r="T14" s="11" t="s">
        <v>434</v>
      </c>
    </row>
    <row r="15" spans="1:20" x14ac:dyDescent="0.3">
      <c r="A15" s="6"/>
      <c r="B15" s="10" t="s">
        <v>435</v>
      </c>
      <c r="C15" s="11" t="s">
        <v>135</v>
      </c>
      <c r="D15" s="6"/>
      <c r="E15" s="6"/>
      <c r="F15" s="6"/>
      <c r="G15" s="6"/>
      <c r="H15" s="6"/>
      <c r="I15" s="38">
        <v>150</v>
      </c>
      <c r="J15" s="38">
        <v>150</v>
      </c>
      <c r="K15" s="38">
        <v>150</v>
      </c>
      <c r="L15" s="38">
        <v>100</v>
      </c>
      <c r="M15" s="38">
        <v>100</v>
      </c>
      <c r="N15" s="38">
        <v>100</v>
      </c>
      <c r="O15" s="38">
        <v>100</v>
      </c>
      <c r="P15" s="38">
        <v>100</v>
      </c>
      <c r="Q15" s="38">
        <v>100</v>
      </c>
      <c r="R15" s="38">
        <v>100</v>
      </c>
      <c r="S15" s="6"/>
      <c r="T15" s="11" t="s">
        <v>436</v>
      </c>
    </row>
    <row r="16" spans="1:20" x14ac:dyDescent="0.3">
      <c r="A16" s="6"/>
      <c r="B16" s="10" t="s">
        <v>437</v>
      </c>
      <c r="C16" s="11" t="s">
        <v>158</v>
      </c>
      <c r="D16" s="6"/>
      <c r="E16" s="6"/>
      <c r="F16" s="6"/>
      <c r="G16" s="6"/>
      <c r="H16" s="6"/>
      <c r="I16" s="36">
        <v>7.4999999999999997E-2</v>
      </c>
      <c r="J16" s="36">
        <v>7.4999999999999997E-2</v>
      </c>
      <c r="K16" s="36">
        <v>7.4999999999999997E-2</v>
      </c>
      <c r="L16" s="36">
        <v>7.4999999999999997E-2</v>
      </c>
      <c r="M16" s="36">
        <v>7.4999999999999997E-2</v>
      </c>
      <c r="N16" s="36">
        <v>7.4999999999999997E-2</v>
      </c>
      <c r="O16" s="36">
        <v>7.4999999999999997E-2</v>
      </c>
      <c r="P16" s="36">
        <v>7.4999999999999997E-2</v>
      </c>
      <c r="Q16" s="36">
        <v>7.4999999999999997E-2</v>
      </c>
      <c r="R16" s="36">
        <v>7.4999999999999997E-2</v>
      </c>
      <c r="S16" s="6"/>
      <c r="T16" s="11" t="s">
        <v>438</v>
      </c>
    </row>
    <row r="17" spans="1:20" x14ac:dyDescent="0.3">
      <c r="A17" s="6"/>
      <c r="B17" s="10" t="s">
        <v>439</v>
      </c>
      <c r="C17" s="11" t="s">
        <v>135</v>
      </c>
      <c r="D17" s="6"/>
      <c r="E17" s="6"/>
      <c r="F17" s="6"/>
      <c r="G17" s="6"/>
      <c r="H17" s="6"/>
      <c r="I17" s="43">
        <v>-55.521000000000001</v>
      </c>
      <c r="J17" s="43">
        <v>-55.521000000000001</v>
      </c>
      <c r="K17" s="43">
        <v>-55.521000000000001</v>
      </c>
      <c r="L17" s="43">
        <v>-55.521000000000001</v>
      </c>
      <c r="M17" s="43">
        <v>-55.521000000000001</v>
      </c>
      <c r="N17" s="43">
        <v>-55.521000000000001</v>
      </c>
      <c r="O17" s="43">
        <v>-55.521000000000001</v>
      </c>
      <c r="P17" s="43">
        <v>-55.521000000000001</v>
      </c>
      <c r="Q17" s="43">
        <v>-55.521000000000001</v>
      </c>
      <c r="R17" s="43">
        <v>-55.521000000000001</v>
      </c>
      <c r="S17" s="6"/>
      <c r="T17" s="11" t="s">
        <v>440</v>
      </c>
    </row>
    <row r="18" spans="1:20" x14ac:dyDescent="0.3">
      <c r="A18" s="6"/>
      <c r="B18" s="10" t="s">
        <v>441</v>
      </c>
      <c r="C18" s="11" t="s">
        <v>135</v>
      </c>
      <c r="D18" s="6"/>
      <c r="E18" s="6"/>
      <c r="F18" s="6"/>
      <c r="G18" s="6"/>
      <c r="H18" s="6"/>
      <c r="I18" s="43">
        <v>-40.283999999999999</v>
      </c>
      <c r="J18" s="43">
        <v>-40.283999999999999</v>
      </c>
      <c r="K18" s="43">
        <v>-40.283999999999999</v>
      </c>
      <c r="L18" s="43">
        <v>-40.283999999999999</v>
      </c>
      <c r="M18" s="43">
        <v>-40.283999999999999</v>
      </c>
      <c r="N18" s="43">
        <v>-40.283999999999999</v>
      </c>
      <c r="O18" s="43">
        <v>-40.283999999999999</v>
      </c>
      <c r="P18" s="43">
        <v>-40.283999999999999</v>
      </c>
      <c r="Q18" s="43">
        <v>-40.283999999999999</v>
      </c>
      <c r="R18" s="43">
        <v>-40.283999999999999</v>
      </c>
      <c r="S18" s="6"/>
      <c r="T18" s="11" t="s">
        <v>442</v>
      </c>
    </row>
    <row r="19" spans="1:20" x14ac:dyDescent="0.3">
      <c r="A19" s="6"/>
      <c r="B19" s="10" t="s">
        <v>443</v>
      </c>
      <c r="C19" s="11" t="s">
        <v>135</v>
      </c>
      <c r="D19" s="6"/>
      <c r="E19" s="6"/>
      <c r="F19" s="6"/>
      <c r="G19" s="6"/>
      <c r="H19" s="6"/>
      <c r="I19" s="43">
        <v>1027.2688075738799</v>
      </c>
      <c r="J19" s="43">
        <v>1174.35128915416</v>
      </c>
      <c r="K19" s="43">
        <v>1319.68542946139</v>
      </c>
      <c r="L19" s="6"/>
      <c r="M19" s="6"/>
      <c r="N19" s="6"/>
      <c r="O19" s="6"/>
      <c r="P19" s="6"/>
      <c r="Q19" s="6"/>
      <c r="R19" s="6"/>
      <c r="S19" s="6"/>
      <c r="T19" s="11" t="s">
        <v>444</v>
      </c>
    </row>
    <row r="20" spans="1:20" x14ac:dyDescent="0.3">
      <c r="A20" s="6"/>
      <c r="B20" s="6"/>
      <c r="C20" s="6"/>
      <c r="D20" s="6"/>
      <c r="E20" s="6"/>
      <c r="F20" s="6"/>
      <c r="G20" s="6"/>
      <c r="H20" s="6"/>
      <c r="I20" s="6"/>
      <c r="J20" s="6"/>
      <c r="K20" s="6"/>
      <c r="L20" s="6"/>
      <c r="M20" s="6"/>
      <c r="N20" s="6"/>
      <c r="O20" s="6"/>
      <c r="P20" s="6"/>
      <c r="Q20" s="6"/>
      <c r="R20" s="6"/>
      <c r="S20" s="6"/>
      <c r="T20" s="6"/>
    </row>
    <row r="21" spans="1:20" x14ac:dyDescent="0.3">
      <c r="A21" s="6"/>
      <c r="B21" s="6"/>
      <c r="C21" s="6"/>
      <c r="D21" s="6"/>
      <c r="E21" s="6"/>
      <c r="F21" s="6"/>
      <c r="G21" s="6"/>
      <c r="H21" s="6"/>
      <c r="I21" s="6"/>
      <c r="J21" s="6"/>
      <c r="K21" s="6"/>
      <c r="L21" s="6"/>
      <c r="M21" s="6"/>
      <c r="N21" s="6"/>
      <c r="O21" s="6"/>
      <c r="P21" s="6"/>
      <c r="Q21" s="6"/>
      <c r="R21" s="6"/>
      <c r="S21" s="6"/>
      <c r="T21" s="6"/>
    </row>
    <row r="22" spans="1:20" x14ac:dyDescent="0.3">
      <c r="A22" s="6"/>
      <c r="B22" s="7" t="s">
        <v>445</v>
      </c>
      <c r="C22" s="7"/>
      <c r="D22" s="7"/>
      <c r="E22" s="7"/>
      <c r="F22" s="7"/>
      <c r="G22" s="7"/>
      <c r="H22" s="7"/>
      <c r="I22" s="7"/>
      <c r="J22" s="7"/>
      <c r="K22" s="7"/>
      <c r="L22" s="7"/>
      <c r="M22" s="7"/>
      <c r="N22" s="7"/>
      <c r="O22" s="7"/>
      <c r="P22" s="7"/>
      <c r="Q22" s="7"/>
      <c r="R22" s="7"/>
      <c r="S22" s="6"/>
      <c r="T22" s="6"/>
    </row>
    <row r="23" spans="1:20" x14ac:dyDescent="0.3">
      <c r="A23" s="6"/>
      <c r="B23" s="6"/>
      <c r="C23" s="6"/>
      <c r="D23" s="6"/>
      <c r="E23" s="6"/>
      <c r="F23" s="6"/>
      <c r="G23" s="6"/>
      <c r="H23" s="6"/>
      <c r="I23" s="6"/>
      <c r="J23" s="6"/>
      <c r="K23" s="6"/>
      <c r="L23" s="6"/>
      <c r="M23" s="6"/>
      <c r="N23" s="6"/>
      <c r="O23" s="6"/>
      <c r="P23" s="6"/>
      <c r="Q23" s="6"/>
      <c r="R23" s="6"/>
      <c r="S23" s="6"/>
      <c r="T23" s="6"/>
    </row>
    <row r="24" spans="1:20" x14ac:dyDescent="0.3">
      <c r="A24" s="6"/>
      <c r="B24" s="23" t="s">
        <v>235</v>
      </c>
      <c r="C24" s="6"/>
      <c r="D24" s="34">
        <v>876.79100000000005</v>
      </c>
      <c r="E24" s="34">
        <v>1196.999</v>
      </c>
      <c r="F24" s="34">
        <v>1780.481</v>
      </c>
      <c r="G24" s="34">
        <v>2385.5920000000001</v>
      </c>
      <c r="H24" s="34">
        <v>2962.259</v>
      </c>
      <c r="I24" s="45">
        <f>Rev_Build!$Z$35</f>
        <v>3936.7405140614114</v>
      </c>
      <c r="J24" s="45">
        <f>Rev_Build!$Z$52</f>
        <v>4143.6326245749278</v>
      </c>
      <c r="K24" s="45">
        <f>Rev_Build!$Z$69</f>
        <v>4352.1901026887917</v>
      </c>
      <c r="L24" s="45">
        <f t="shared" ref="L24:R24" si="0">K24*(1+L7)</f>
        <v>4569.7996078232318</v>
      </c>
      <c r="M24" s="45">
        <f t="shared" si="0"/>
        <v>4798.2895882143939</v>
      </c>
      <c r="N24" s="45">
        <f t="shared" si="0"/>
        <v>5038.2040676251136</v>
      </c>
      <c r="O24" s="45">
        <f t="shared" si="0"/>
        <v>5290.1142710063696</v>
      </c>
      <c r="P24" s="45">
        <f t="shared" si="0"/>
        <v>5554.619984556688</v>
      </c>
      <c r="Q24" s="45">
        <f t="shared" si="0"/>
        <v>5832.3509837845222</v>
      </c>
      <c r="R24" s="45">
        <f t="shared" si="0"/>
        <v>6123.9685329737486</v>
      </c>
      <c r="S24" s="6"/>
      <c r="T24" s="6"/>
    </row>
    <row r="25" spans="1:20" x14ac:dyDescent="0.3">
      <c r="A25" s="6"/>
      <c r="B25" s="10" t="s">
        <v>446</v>
      </c>
      <c r="C25" s="6"/>
      <c r="D25" s="6"/>
      <c r="E25" s="16">
        <f t="shared" ref="E25:R25" si="1">E24/D24-1</f>
        <v>0.36520447860436511</v>
      </c>
      <c r="F25" s="16">
        <f t="shared" si="1"/>
        <v>0.4874540413149886</v>
      </c>
      <c r="G25" s="16">
        <f t="shared" si="1"/>
        <v>0.33985816192366003</v>
      </c>
      <c r="H25" s="16">
        <f t="shared" si="1"/>
        <v>0.24172909701239775</v>
      </c>
      <c r="I25" s="29">
        <f t="shared" si="1"/>
        <v>0.32896566912664005</v>
      </c>
      <c r="J25" s="29">
        <f t="shared" si="1"/>
        <v>5.2554164993737995E-2</v>
      </c>
      <c r="K25" s="29">
        <f t="shared" si="1"/>
        <v>5.0332038819502989E-2</v>
      </c>
      <c r="L25" s="29">
        <f t="shared" si="1"/>
        <v>5.0000000000000044E-2</v>
      </c>
      <c r="M25" s="29">
        <f t="shared" si="1"/>
        <v>5.0000000000000044E-2</v>
      </c>
      <c r="N25" s="29">
        <f t="shared" si="1"/>
        <v>5.0000000000000044E-2</v>
      </c>
      <c r="O25" s="29">
        <f t="shared" si="1"/>
        <v>5.0000000000000044E-2</v>
      </c>
      <c r="P25" s="29">
        <f t="shared" si="1"/>
        <v>5.0000000000000044E-2</v>
      </c>
      <c r="Q25" s="29">
        <f t="shared" si="1"/>
        <v>5.0000000000000044E-2</v>
      </c>
      <c r="R25" s="29">
        <f t="shared" si="1"/>
        <v>5.0000000000000044E-2</v>
      </c>
      <c r="S25" s="6"/>
      <c r="T25" s="6"/>
    </row>
    <row r="26" spans="1:20" x14ac:dyDescent="0.3">
      <c r="A26" s="6"/>
      <c r="B26" s="10" t="s">
        <v>447</v>
      </c>
      <c r="C26" s="6"/>
      <c r="D26" s="34">
        <v>2.4130605655238901</v>
      </c>
      <c r="E26" s="34">
        <v>5.5022564033008603</v>
      </c>
      <c r="F26" s="34">
        <v>7.3817212353074</v>
      </c>
      <c r="G26" s="34">
        <v>8.3820321629414103</v>
      </c>
      <c r="H26" s="34">
        <v>10.886708536912501</v>
      </c>
      <c r="I26" s="45">
        <f t="shared" ref="I26:R26" si="2">I24*I8</f>
        <v>14.931324690672245</v>
      </c>
      <c r="J26" s="45">
        <f t="shared" si="2"/>
        <v>15.177125359006805</v>
      </c>
      <c r="K26" s="45">
        <f t="shared" si="2"/>
        <v>16.12908038167734</v>
      </c>
      <c r="L26" s="45">
        <f t="shared" si="2"/>
        <v>16.93553440076121</v>
      </c>
      <c r="M26" s="45">
        <f t="shared" si="2"/>
        <v>17.782311120799271</v>
      </c>
      <c r="N26" s="45">
        <f t="shared" si="2"/>
        <v>18.671426676839236</v>
      </c>
      <c r="O26" s="45">
        <f t="shared" si="2"/>
        <v>19.6049980106812</v>
      </c>
      <c r="P26" s="45">
        <f t="shared" si="2"/>
        <v>20.585247911215259</v>
      </c>
      <c r="Q26" s="45">
        <f t="shared" si="2"/>
        <v>21.614510306776019</v>
      </c>
      <c r="R26" s="45">
        <f t="shared" si="2"/>
        <v>22.695235822114821</v>
      </c>
      <c r="S26" s="6"/>
      <c r="T26" s="6"/>
    </row>
    <row r="27" spans="1:20" x14ac:dyDescent="0.3">
      <c r="A27" s="6"/>
      <c r="B27" s="10" t="s">
        <v>448</v>
      </c>
      <c r="C27" s="6"/>
      <c r="D27" s="34">
        <v>236.38200000000001</v>
      </c>
      <c r="E27" s="34">
        <v>341.21499999999997</v>
      </c>
      <c r="F27" s="34">
        <v>474.41699999999997</v>
      </c>
      <c r="G27" s="34">
        <v>622.57799999999997</v>
      </c>
      <c r="H27" s="34">
        <v>783.77599999999995</v>
      </c>
      <c r="I27" s="45">
        <f t="shared" ref="I27:R27" si="3">I24*I9</f>
        <v>1102.4841809628983</v>
      </c>
      <c r="J27" s="45">
        <f t="shared" si="3"/>
        <v>1077.240891573867</v>
      </c>
      <c r="K27" s="45">
        <f t="shared" si="3"/>
        <v>1088.0475256721979</v>
      </c>
      <c r="L27" s="45">
        <f t="shared" si="3"/>
        <v>1142.4499019558079</v>
      </c>
      <c r="M27" s="45">
        <f t="shared" si="3"/>
        <v>1199.5723970535985</v>
      </c>
      <c r="N27" s="45">
        <f t="shared" si="3"/>
        <v>1259.5510169062784</v>
      </c>
      <c r="O27" s="45">
        <f t="shared" si="3"/>
        <v>1322.5285677515924</v>
      </c>
      <c r="P27" s="45">
        <f t="shared" si="3"/>
        <v>1388.654996139172</v>
      </c>
      <c r="Q27" s="45">
        <f t="shared" si="3"/>
        <v>1458.0877459461306</v>
      </c>
      <c r="R27" s="45">
        <f t="shared" si="3"/>
        <v>1530.9921332434371</v>
      </c>
      <c r="S27" s="6"/>
      <c r="T27" s="6"/>
    </row>
    <row r="28" spans="1:20" x14ac:dyDescent="0.3">
      <c r="A28" s="6"/>
      <c r="B28" s="10" t="s">
        <v>449</v>
      </c>
      <c r="C28" s="6"/>
      <c r="D28" s="34">
        <v>19.684999999999999</v>
      </c>
      <c r="E28" s="34">
        <v>34.731000000000002</v>
      </c>
      <c r="F28" s="34">
        <v>43.988999999999997</v>
      </c>
      <c r="G28" s="34">
        <v>24.748000000000001</v>
      </c>
      <c r="H28" s="34">
        <v>31.257000000000001</v>
      </c>
      <c r="I28" s="45">
        <f t="shared" ref="I28:R28" si="4">I24*I10</f>
        <v>43.304145654675523</v>
      </c>
      <c r="J28" s="45">
        <f t="shared" si="4"/>
        <v>45.579958870324205</v>
      </c>
      <c r="K28" s="45">
        <f t="shared" si="4"/>
        <v>47.874091129576705</v>
      </c>
      <c r="L28" s="45">
        <f t="shared" si="4"/>
        <v>50.26779568605555</v>
      </c>
      <c r="M28" s="45">
        <f t="shared" si="4"/>
        <v>52.781185470358331</v>
      </c>
      <c r="N28" s="45">
        <f t="shared" si="4"/>
        <v>55.420244743876246</v>
      </c>
      <c r="O28" s="45">
        <f t="shared" si="4"/>
        <v>58.191256981070062</v>
      </c>
      <c r="P28" s="45">
        <f t="shared" si="4"/>
        <v>61.100819830123562</v>
      </c>
      <c r="Q28" s="45">
        <f t="shared" si="4"/>
        <v>64.155860821629744</v>
      </c>
      <c r="R28" s="45">
        <f t="shared" si="4"/>
        <v>67.363653862711232</v>
      </c>
      <c r="S28" s="6"/>
      <c r="T28" s="6"/>
    </row>
    <row r="29" spans="1:20" x14ac:dyDescent="0.3">
      <c r="A29" s="6"/>
      <c r="B29" s="23" t="s">
        <v>93</v>
      </c>
      <c r="C29" s="6"/>
      <c r="D29" s="41">
        <v>618.31093943447604</v>
      </c>
      <c r="E29" s="41">
        <v>815.55074359669902</v>
      </c>
      <c r="F29" s="41">
        <v>1254.6932787646899</v>
      </c>
      <c r="G29" s="41">
        <v>1729.88396783706</v>
      </c>
      <c r="H29" s="41">
        <v>2136.3392914630899</v>
      </c>
      <c r="I29" s="52">
        <f t="shared" ref="I29:R29" si="5">I24-I26-I27-I28</f>
        <v>2776.0208627531651</v>
      </c>
      <c r="J29" s="52">
        <f t="shared" si="5"/>
        <v>3005.6346487717296</v>
      </c>
      <c r="K29" s="52">
        <f t="shared" si="5"/>
        <v>3200.1394055053397</v>
      </c>
      <c r="L29" s="52">
        <f t="shared" si="5"/>
        <v>3360.1463757806073</v>
      </c>
      <c r="M29" s="52">
        <f t="shared" si="5"/>
        <v>3528.1536945696384</v>
      </c>
      <c r="N29" s="52">
        <f t="shared" si="5"/>
        <v>3704.5613792981198</v>
      </c>
      <c r="O29" s="52">
        <f t="shared" si="5"/>
        <v>3889.7894482630263</v>
      </c>
      <c r="P29" s="52">
        <f t="shared" si="5"/>
        <v>4084.2789206761768</v>
      </c>
      <c r="Q29" s="52">
        <f t="shared" si="5"/>
        <v>4288.4928667099857</v>
      </c>
      <c r="R29" s="52">
        <f t="shared" si="5"/>
        <v>4502.917510045485</v>
      </c>
      <c r="S29" s="6"/>
      <c r="T29" s="6"/>
    </row>
    <row r="30" spans="1:20" x14ac:dyDescent="0.3">
      <c r="A30" s="6"/>
      <c r="B30" s="10" t="s">
        <v>238</v>
      </c>
      <c r="C30" s="6"/>
      <c r="D30" s="16">
        <f t="shared" ref="D30:R30" si="6">D29/D24</f>
        <v>0.70519763482343678</v>
      </c>
      <c r="E30" s="16">
        <f t="shared" si="6"/>
        <v>0.68132951121654994</v>
      </c>
      <c r="F30" s="16">
        <f t="shared" si="6"/>
        <v>0.70469343888796898</v>
      </c>
      <c r="G30" s="16">
        <f t="shared" si="6"/>
        <v>0.7251382331249685</v>
      </c>
      <c r="H30" s="16">
        <f t="shared" si="6"/>
        <v>0.72118585561326332</v>
      </c>
      <c r="I30" s="29">
        <f t="shared" si="6"/>
        <v>0.70515718596073573</v>
      </c>
      <c r="J30" s="29">
        <f t="shared" si="6"/>
        <v>0.72536224156215123</v>
      </c>
      <c r="K30" s="29">
        <f t="shared" si="6"/>
        <v>0.73529403128054704</v>
      </c>
      <c r="L30" s="29">
        <f t="shared" si="6"/>
        <v>0.73529403128054716</v>
      </c>
      <c r="M30" s="29">
        <f t="shared" si="6"/>
        <v>0.73529403128054716</v>
      </c>
      <c r="N30" s="29">
        <f t="shared" si="6"/>
        <v>0.73529403128054704</v>
      </c>
      <c r="O30" s="29">
        <f t="shared" si="6"/>
        <v>0.73529403128054716</v>
      </c>
      <c r="P30" s="29">
        <f t="shared" si="6"/>
        <v>0.73529403128054693</v>
      </c>
      <c r="Q30" s="29">
        <f t="shared" si="6"/>
        <v>0.73529403128054704</v>
      </c>
      <c r="R30" s="29">
        <f t="shared" si="6"/>
        <v>0.73529403128054704</v>
      </c>
      <c r="S30" s="6"/>
      <c r="T30" s="6"/>
    </row>
    <row r="31" spans="1:20" x14ac:dyDescent="0.3">
      <c r="A31" s="6"/>
      <c r="B31" s="10" t="s">
        <v>450</v>
      </c>
      <c r="C31" s="6"/>
      <c r="D31" s="34">
        <v>208.477</v>
      </c>
      <c r="E31" s="34">
        <v>275.202</v>
      </c>
      <c r="F31" s="34">
        <v>411.08300000000003</v>
      </c>
      <c r="G31" s="34">
        <v>429.89100000000002</v>
      </c>
      <c r="H31" s="34">
        <v>469.40199999999999</v>
      </c>
      <c r="I31" s="45">
        <f>Rev_Build!$D$33*Inputs!$C$48*4</f>
        <v>580</v>
      </c>
      <c r="J31" s="45">
        <f>Rev_Build!$D$50*Inputs!$C$48*4</f>
        <v>589.17721518987344</v>
      </c>
      <c r="K31" s="45">
        <f>Rev_Build!$D$67*Inputs!$C$48*4</f>
        <v>602.4331926863573</v>
      </c>
      <c r="L31" s="45">
        <f t="shared" ref="L31:R31" si="7">K31*(1+L12)</f>
        <v>608.45752461322093</v>
      </c>
      <c r="M31" s="45">
        <f t="shared" si="7"/>
        <v>614.54209985935313</v>
      </c>
      <c r="N31" s="45">
        <f t="shared" si="7"/>
        <v>620.68752085794665</v>
      </c>
      <c r="O31" s="45">
        <f t="shared" si="7"/>
        <v>626.89439606652616</v>
      </c>
      <c r="P31" s="45">
        <f t="shared" si="7"/>
        <v>633.16334002719145</v>
      </c>
      <c r="Q31" s="45">
        <f t="shared" si="7"/>
        <v>639.49497342746338</v>
      </c>
      <c r="R31" s="45">
        <f t="shared" si="7"/>
        <v>645.88992316173801</v>
      </c>
      <c r="S31" s="6"/>
      <c r="T31" s="6"/>
    </row>
    <row r="32" spans="1:20" x14ac:dyDescent="0.3">
      <c r="A32" s="6"/>
      <c r="B32" s="23" t="s">
        <v>451</v>
      </c>
      <c r="C32" s="6"/>
      <c r="D32" s="41">
        <f t="shared" ref="D32:R32" si="8">D29-D31</f>
        <v>409.83393943447606</v>
      </c>
      <c r="E32" s="41">
        <f t="shared" si="8"/>
        <v>540.34874359669902</v>
      </c>
      <c r="F32" s="41">
        <f t="shared" si="8"/>
        <v>843.61027876468984</v>
      </c>
      <c r="G32" s="41">
        <f t="shared" si="8"/>
        <v>1299.99296783706</v>
      </c>
      <c r="H32" s="41">
        <f t="shared" si="8"/>
        <v>1666.9372914630899</v>
      </c>
      <c r="I32" s="52">
        <f t="shared" si="8"/>
        <v>2196.0208627531651</v>
      </c>
      <c r="J32" s="52">
        <f t="shared" si="8"/>
        <v>2416.4574335818561</v>
      </c>
      <c r="K32" s="52">
        <f t="shared" si="8"/>
        <v>2597.7062128189823</v>
      </c>
      <c r="L32" s="52">
        <f t="shared" si="8"/>
        <v>2751.6888511673865</v>
      </c>
      <c r="M32" s="52">
        <f t="shared" si="8"/>
        <v>2913.6115947102853</v>
      </c>
      <c r="N32" s="52">
        <f t="shared" si="8"/>
        <v>3083.8738584401731</v>
      </c>
      <c r="O32" s="52">
        <f t="shared" si="8"/>
        <v>3262.8950521965003</v>
      </c>
      <c r="P32" s="52">
        <f t="shared" si="8"/>
        <v>3451.1155806489851</v>
      </c>
      <c r="Q32" s="52">
        <f t="shared" si="8"/>
        <v>3648.9978932825225</v>
      </c>
      <c r="R32" s="52">
        <f t="shared" si="8"/>
        <v>3857.0275868837471</v>
      </c>
      <c r="S32" s="6"/>
      <c r="T32" s="6"/>
    </row>
    <row r="33" spans="1:20" x14ac:dyDescent="0.3">
      <c r="A33" s="6"/>
      <c r="B33" s="10" t="s">
        <v>452</v>
      </c>
      <c r="C33" s="6"/>
      <c r="D33" s="34">
        <v>22.422999999999998</v>
      </c>
      <c r="E33" s="34">
        <v>32.479999999999997</v>
      </c>
      <c r="F33" s="34">
        <v>70.673000000000002</v>
      </c>
      <c r="G33" s="34">
        <v>84.42</v>
      </c>
      <c r="H33" s="34">
        <v>100.187</v>
      </c>
      <c r="I33" s="45">
        <f t="shared" ref="I33:R33" si="9">I24*I11</f>
        <v>142.52955848880035</v>
      </c>
      <c r="J33" s="45">
        <f t="shared" si="9"/>
        <v>146.34158572826894</v>
      </c>
      <c r="K33" s="45">
        <f t="shared" si="9"/>
        <v>153.54340988870123</v>
      </c>
      <c r="L33" s="45">
        <f t="shared" si="9"/>
        <v>159.94298627381312</v>
      </c>
      <c r="M33" s="45">
        <f t="shared" si="9"/>
        <v>167.94013558750379</v>
      </c>
      <c r="N33" s="45">
        <f t="shared" si="9"/>
        <v>176.33714236687899</v>
      </c>
      <c r="O33" s="45">
        <f t="shared" si="9"/>
        <v>185.15399948522295</v>
      </c>
      <c r="P33" s="45">
        <f t="shared" si="9"/>
        <v>194.41169945948411</v>
      </c>
      <c r="Q33" s="45">
        <f t="shared" si="9"/>
        <v>204.13228443245831</v>
      </c>
      <c r="R33" s="45">
        <f t="shared" si="9"/>
        <v>214.33889865408122</v>
      </c>
      <c r="S33" s="6"/>
      <c r="T33" s="6"/>
    </row>
    <row r="34" spans="1:20" x14ac:dyDescent="0.3">
      <c r="A34" s="6"/>
      <c r="B34" s="10" t="s">
        <v>240</v>
      </c>
      <c r="C34" s="6"/>
      <c r="D34" s="34">
        <v>208.06899999999999</v>
      </c>
      <c r="E34" s="34">
        <v>432.45699999999999</v>
      </c>
      <c r="F34" s="34">
        <v>852.19899999999996</v>
      </c>
      <c r="G34" s="34">
        <v>1078.1769999999999</v>
      </c>
      <c r="H34" s="34">
        <v>974.78</v>
      </c>
      <c r="I34" s="45">
        <f>IF(Inputs!$C$51=1,I55,I19)</f>
        <v>1116.218085</v>
      </c>
      <c r="J34" s="45">
        <f>IF(Inputs!$C$51=1,J55,J19)</f>
        <v>1146.35871</v>
      </c>
      <c r="K34" s="45">
        <f>IF(Inputs!$C$51=1,K55,K19)</f>
        <v>1178.936835</v>
      </c>
      <c r="L34" s="45">
        <f t="shared" ref="L34:R34" si="10">L55</f>
        <v>1196.23371</v>
      </c>
      <c r="M34" s="45">
        <f t="shared" si="10"/>
        <v>1203.73371</v>
      </c>
      <c r="N34" s="45">
        <f t="shared" si="10"/>
        <v>1211.23371</v>
      </c>
      <c r="O34" s="45">
        <f t="shared" si="10"/>
        <v>1218.73371</v>
      </c>
      <c r="P34" s="45">
        <f t="shared" si="10"/>
        <v>1226.23371</v>
      </c>
      <c r="Q34" s="45">
        <f t="shared" si="10"/>
        <v>1233.73371</v>
      </c>
      <c r="R34" s="45">
        <f t="shared" si="10"/>
        <v>1241.23371</v>
      </c>
      <c r="S34" s="6"/>
      <c r="T34" s="11" t="s">
        <v>453</v>
      </c>
    </row>
    <row r="35" spans="1:20" x14ac:dyDescent="0.3">
      <c r="A35" s="6"/>
      <c r="B35" s="23" t="s">
        <v>291</v>
      </c>
      <c r="C35" s="6"/>
      <c r="D35" s="41">
        <f t="shared" ref="D35:R35" si="11">D32+D33-D34</f>
        <v>224.18793943447608</v>
      </c>
      <c r="E35" s="41">
        <f t="shared" si="11"/>
        <v>140.37174359669905</v>
      </c>
      <c r="F35" s="41">
        <f t="shared" si="11"/>
        <v>62.084278764689884</v>
      </c>
      <c r="G35" s="41">
        <f t="shared" si="11"/>
        <v>306.23596783706012</v>
      </c>
      <c r="H35" s="41">
        <f t="shared" si="11"/>
        <v>792.3442914630898</v>
      </c>
      <c r="I35" s="52">
        <f t="shared" si="11"/>
        <v>1222.3323362419655</v>
      </c>
      <c r="J35" s="52">
        <f t="shared" si="11"/>
        <v>1416.440309310125</v>
      </c>
      <c r="K35" s="52">
        <f t="shared" si="11"/>
        <v>1572.3127877076836</v>
      </c>
      <c r="L35" s="52">
        <f t="shared" si="11"/>
        <v>1715.3981274411994</v>
      </c>
      <c r="M35" s="52">
        <f t="shared" si="11"/>
        <v>1877.8180202977892</v>
      </c>
      <c r="N35" s="52">
        <f t="shared" si="11"/>
        <v>2048.9772908070522</v>
      </c>
      <c r="O35" s="52">
        <f t="shared" si="11"/>
        <v>2229.3153416817231</v>
      </c>
      <c r="P35" s="52">
        <f t="shared" si="11"/>
        <v>2419.2935701084693</v>
      </c>
      <c r="Q35" s="52">
        <f t="shared" si="11"/>
        <v>2619.3964677149806</v>
      </c>
      <c r="R35" s="52">
        <f t="shared" si="11"/>
        <v>2830.1327755378284</v>
      </c>
      <c r="S35" s="6"/>
      <c r="T35" s="6"/>
    </row>
    <row r="36" spans="1:20" x14ac:dyDescent="0.3">
      <c r="A36" s="6"/>
      <c r="B36" s="10" t="s">
        <v>454</v>
      </c>
      <c r="C36" s="6"/>
      <c r="D36" s="34">
        <v>-22.085999999999999</v>
      </c>
      <c r="E36" s="34">
        <v>9.1579999999999995</v>
      </c>
      <c r="F36" s="34">
        <v>68.811000000000007</v>
      </c>
      <c r="G36" s="34">
        <v>88.254999999999995</v>
      </c>
      <c r="H36" s="34">
        <v>221.66800000000001</v>
      </c>
      <c r="I36" s="45">
        <f t="shared" ref="I36:R36" si="12">I35*I13</f>
        <v>293.35976069807174</v>
      </c>
      <c r="J36" s="45">
        <f t="shared" si="12"/>
        <v>354.11007732753126</v>
      </c>
      <c r="K36" s="45">
        <f t="shared" si="12"/>
        <v>408.80132480399777</v>
      </c>
      <c r="L36" s="45">
        <f t="shared" si="12"/>
        <v>431.76570867694988</v>
      </c>
      <c r="M36" s="45">
        <f t="shared" si="12"/>
        <v>472.6467957089535</v>
      </c>
      <c r="N36" s="45">
        <f t="shared" si="12"/>
        <v>515.72758409613505</v>
      </c>
      <c r="O36" s="45">
        <f t="shared" si="12"/>
        <v>561.11867150128967</v>
      </c>
      <c r="P36" s="45">
        <f t="shared" si="12"/>
        <v>608.93619159630168</v>
      </c>
      <c r="Q36" s="45">
        <f t="shared" si="12"/>
        <v>659.30209092386053</v>
      </c>
      <c r="R36" s="45">
        <f t="shared" si="12"/>
        <v>712.34441960287131</v>
      </c>
      <c r="S36" s="6"/>
      <c r="T36" s="11" t="s">
        <v>455</v>
      </c>
    </row>
    <row r="37" spans="1:20" x14ac:dyDescent="0.3">
      <c r="A37" s="6"/>
      <c r="B37" s="23" t="s">
        <v>456</v>
      </c>
      <c r="C37" s="6"/>
      <c r="D37" s="41">
        <f t="shared" ref="D37:R37" si="13">D35-D36</f>
        <v>246.27393943447606</v>
      </c>
      <c r="E37" s="41">
        <f t="shared" si="13"/>
        <v>131.21374359669906</v>
      </c>
      <c r="F37" s="41">
        <f t="shared" si="13"/>
        <v>-6.7267212353101229</v>
      </c>
      <c r="G37" s="41">
        <f t="shared" si="13"/>
        <v>217.98096783706012</v>
      </c>
      <c r="H37" s="41">
        <f t="shared" si="13"/>
        <v>570.6762914630898</v>
      </c>
      <c r="I37" s="52">
        <f t="shared" si="13"/>
        <v>928.97257554389375</v>
      </c>
      <c r="J37" s="52">
        <f t="shared" si="13"/>
        <v>1062.3302319825939</v>
      </c>
      <c r="K37" s="52">
        <f t="shared" si="13"/>
        <v>1163.5114629036857</v>
      </c>
      <c r="L37" s="52">
        <f t="shared" si="13"/>
        <v>1283.6324187642495</v>
      </c>
      <c r="M37" s="52">
        <f t="shared" si="13"/>
        <v>1405.1712245888357</v>
      </c>
      <c r="N37" s="52">
        <f t="shared" si="13"/>
        <v>1533.2497067109171</v>
      </c>
      <c r="O37" s="52">
        <f t="shared" si="13"/>
        <v>1668.1966701804336</v>
      </c>
      <c r="P37" s="52">
        <f t="shared" si="13"/>
        <v>1810.3573785121675</v>
      </c>
      <c r="Q37" s="52">
        <f t="shared" si="13"/>
        <v>1960.0943767911201</v>
      </c>
      <c r="R37" s="52">
        <f t="shared" si="13"/>
        <v>2117.7883559349571</v>
      </c>
      <c r="S37" s="6"/>
      <c r="T37" s="6"/>
    </row>
    <row r="38" spans="1:20" x14ac:dyDescent="0.3">
      <c r="A38" s="6"/>
      <c r="B38" s="10" t="s">
        <v>244</v>
      </c>
      <c r="C38" s="6"/>
      <c r="D38" s="34">
        <v>0</v>
      </c>
      <c r="E38" s="34">
        <v>0</v>
      </c>
      <c r="F38" s="34">
        <v>27.459</v>
      </c>
      <c r="G38" s="34">
        <v>24.806999999999999</v>
      </c>
      <c r="H38" s="34">
        <v>-55.521000000000001</v>
      </c>
      <c r="I38" s="45">
        <f t="shared" ref="I38:R38" si="14">I17</f>
        <v>-55.521000000000001</v>
      </c>
      <c r="J38" s="45">
        <f t="shared" si="14"/>
        <v>-55.521000000000001</v>
      </c>
      <c r="K38" s="45">
        <f t="shared" si="14"/>
        <v>-55.521000000000001</v>
      </c>
      <c r="L38" s="45">
        <f t="shared" si="14"/>
        <v>-55.521000000000001</v>
      </c>
      <c r="M38" s="45">
        <f t="shared" si="14"/>
        <v>-55.521000000000001</v>
      </c>
      <c r="N38" s="45">
        <f t="shared" si="14"/>
        <v>-55.521000000000001</v>
      </c>
      <c r="O38" s="45">
        <f t="shared" si="14"/>
        <v>-55.521000000000001</v>
      </c>
      <c r="P38" s="45">
        <f t="shared" si="14"/>
        <v>-55.521000000000001</v>
      </c>
      <c r="Q38" s="45">
        <f t="shared" si="14"/>
        <v>-55.521000000000001</v>
      </c>
      <c r="R38" s="45">
        <f t="shared" si="14"/>
        <v>-55.521000000000001</v>
      </c>
      <c r="S38" s="6"/>
      <c r="T38" s="6"/>
    </row>
    <row r="39" spans="1:20" x14ac:dyDescent="0.3">
      <c r="A39" s="6"/>
      <c r="B39" s="10" t="s">
        <v>441</v>
      </c>
      <c r="C39" s="6"/>
      <c r="D39" s="34">
        <v>0</v>
      </c>
      <c r="E39" s="34">
        <v>0</v>
      </c>
      <c r="F39" s="34">
        <v>0</v>
      </c>
      <c r="G39" s="34">
        <v>-54.143999999999998</v>
      </c>
      <c r="H39" s="34">
        <v>-40.283999999999999</v>
      </c>
      <c r="I39" s="45">
        <f t="shared" ref="I39:R39" si="15">I18</f>
        <v>-40.283999999999999</v>
      </c>
      <c r="J39" s="45">
        <f t="shared" si="15"/>
        <v>-40.283999999999999</v>
      </c>
      <c r="K39" s="45">
        <f t="shared" si="15"/>
        <v>-40.283999999999999</v>
      </c>
      <c r="L39" s="45">
        <f t="shared" si="15"/>
        <v>-40.283999999999999</v>
      </c>
      <c r="M39" s="45">
        <f t="shared" si="15"/>
        <v>-40.283999999999999</v>
      </c>
      <c r="N39" s="45">
        <f t="shared" si="15"/>
        <v>-40.283999999999999</v>
      </c>
      <c r="O39" s="45">
        <f t="shared" si="15"/>
        <v>-40.283999999999999</v>
      </c>
      <c r="P39" s="45">
        <f t="shared" si="15"/>
        <v>-40.283999999999999</v>
      </c>
      <c r="Q39" s="45">
        <f t="shared" si="15"/>
        <v>-40.283999999999999</v>
      </c>
      <c r="R39" s="45">
        <f t="shared" si="15"/>
        <v>-40.283999999999999</v>
      </c>
      <c r="S39" s="6"/>
      <c r="T39" s="6"/>
    </row>
    <row r="40" spans="1:20" x14ac:dyDescent="0.3">
      <c r="A40" s="6"/>
      <c r="B40" s="23" t="s">
        <v>95</v>
      </c>
      <c r="C40" s="6"/>
      <c r="D40" s="41">
        <f t="shared" ref="D40:R40" si="16">D37+D38+D39</f>
        <v>246.27393943447606</v>
      </c>
      <c r="E40" s="41">
        <f t="shared" si="16"/>
        <v>131.21374359669906</v>
      </c>
      <c r="F40" s="41">
        <f t="shared" si="16"/>
        <v>20.732278764689877</v>
      </c>
      <c r="G40" s="41">
        <f t="shared" si="16"/>
        <v>188.6439678370601</v>
      </c>
      <c r="H40" s="41">
        <f t="shared" si="16"/>
        <v>474.87129146308985</v>
      </c>
      <c r="I40" s="52">
        <f t="shared" si="16"/>
        <v>833.1675755438938</v>
      </c>
      <c r="J40" s="52">
        <f t="shared" si="16"/>
        <v>966.52523198259394</v>
      </c>
      <c r="K40" s="52">
        <f t="shared" si="16"/>
        <v>1067.7064629036856</v>
      </c>
      <c r="L40" s="52">
        <f t="shared" si="16"/>
        <v>1187.8274187642494</v>
      </c>
      <c r="M40" s="52">
        <f t="shared" si="16"/>
        <v>1309.3662245888356</v>
      </c>
      <c r="N40" s="52">
        <f t="shared" si="16"/>
        <v>1437.444706710917</v>
      </c>
      <c r="O40" s="52">
        <f t="shared" si="16"/>
        <v>1572.3916701804335</v>
      </c>
      <c r="P40" s="52">
        <f t="shared" si="16"/>
        <v>1714.5523785121675</v>
      </c>
      <c r="Q40" s="52">
        <f t="shared" si="16"/>
        <v>1864.28937679112</v>
      </c>
      <c r="R40" s="52">
        <f t="shared" si="16"/>
        <v>2021.9833559349568</v>
      </c>
      <c r="S40" s="6"/>
      <c r="T40" s="6"/>
    </row>
    <row r="41" spans="1:20" x14ac:dyDescent="0.3">
      <c r="A41" s="6"/>
      <c r="B41" s="10" t="s">
        <v>457</v>
      </c>
      <c r="C41" s="6"/>
      <c r="D41" s="6"/>
      <c r="E41" s="6"/>
      <c r="F41" s="6"/>
      <c r="G41" s="6"/>
      <c r="H41" s="6"/>
      <c r="I41" s="48">
        <f>Inputs!$C$11</f>
        <v>82.988086899999999</v>
      </c>
      <c r="J41" s="48">
        <f>Inputs!$C$11</f>
        <v>82.988086899999999</v>
      </c>
      <c r="K41" s="48">
        <f>Inputs!$C$11</f>
        <v>82.988086899999999</v>
      </c>
      <c r="L41" s="48">
        <f>Inputs!$C$11</f>
        <v>82.988086899999999</v>
      </c>
      <c r="M41" s="48">
        <f>Inputs!$C$11</f>
        <v>82.988086899999999</v>
      </c>
      <c r="N41" s="48">
        <f>Inputs!$C$11</f>
        <v>82.988086899999999</v>
      </c>
      <c r="O41" s="48">
        <f>Inputs!$C$11</f>
        <v>82.988086899999999</v>
      </c>
      <c r="P41" s="48">
        <f>Inputs!$C$11</f>
        <v>82.988086899999999</v>
      </c>
      <c r="Q41" s="48">
        <f>Inputs!$C$11</f>
        <v>82.988086899999999</v>
      </c>
      <c r="R41" s="48">
        <f>Inputs!$C$11</f>
        <v>82.988086899999999</v>
      </c>
      <c r="S41" s="6"/>
      <c r="T41" s="6"/>
    </row>
    <row r="42" spans="1:20" x14ac:dyDescent="0.3">
      <c r="A42" s="6"/>
      <c r="B42" s="10" t="s">
        <v>458</v>
      </c>
      <c r="C42" s="6"/>
      <c r="D42" s="6"/>
      <c r="E42" s="6"/>
      <c r="F42" s="6"/>
      <c r="G42" s="6"/>
      <c r="H42" s="6"/>
      <c r="I42" s="30">
        <f t="shared" ref="I42:R42" si="17">I40/I41</f>
        <v>10.039604558517588</v>
      </c>
      <c r="J42" s="30">
        <f t="shared" si="17"/>
        <v>11.646553958368138</v>
      </c>
      <c r="K42" s="30">
        <f t="shared" si="17"/>
        <v>12.865779930440663</v>
      </c>
      <c r="L42" s="30">
        <f t="shared" si="17"/>
        <v>14.31322811665212</v>
      </c>
      <c r="M42" s="30">
        <f t="shared" si="17"/>
        <v>15.777761284780691</v>
      </c>
      <c r="N42" s="30">
        <f t="shared" si="17"/>
        <v>17.321097044242347</v>
      </c>
      <c r="O42" s="30">
        <f t="shared" si="17"/>
        <v>18.94719747034479</v>
      </c>
      <c r="P42" s="30">
        <f t="shared" si="17"/>
        <v>20.660222961618452</v>
      </c>
      <c r="Q42" s="30">
        <f t="shared" si="17"/>
        <v>22.464542158172346</v>
      </c>
      <c r="R42" s="30">
        <f t="shared" si="17"/>
        <v>24.364742355989371</v>
      </c>
      <c r="S42" s="6"/>
      <c r="T42" s="6"/>
    </row>
    <row r="43" spans="1:20" x14ac:dyDescent="0.3">
      <c r="A43" s="6"/>
      <c r="B43" s="7" t="s">
        <v>459</v>
      </c>
      <c r="C43" s="7"/>
      <c r="D43" s="7"/>
      <c r="E43" s="7"/>
      <c r="F43" s="7"/>
      <c r="G43" s="7"/>
      <c r="H43" s="7"/>
      <c r="I43" s="7"/>
      <c r="J43" s="7"/>
      <c r="K43" s="7"/>
      <c r="L43" s="7"/>
      <c r="M43" s="7"/>
      <c r="N43" s="7"/>
      <c r="O43" s="7"/>
      <c r="P43" s="7"/>
      <c r="Q43" s="7"/>
      <c r="R43" s="7"/>
      <c r="S43" s="6"/>
      <c r="T43" s="6"/>
    </row>
    <row r="44" spans="1:20" x14ac:dyDescent="0.3">
      <c r="A44" s="6"/>
      <c r="B44" s="10" t="s">
        <v>460</v>
      </c>
      <c r="C44" s="6"/>
      <c r="D44" s="6"/>
      <c r="E44" s="6"/>
      <c r="F44" s="6"/>
      <c r="G44" s="6"/>
      <c r="H44" s="6"/>
      <c r="I44" s="45">
        <f>(I32+I33-I19)*(1-I13)+I38+I39</f>
        <v>900.76902638774516</v>
      </c>
      <c r="J44" s="45">
        <f>(J32+J33-J19)*(1-J13)+J38+J39</f>
        <v>945.5307976169737</v>
      </c>
      <c r="K44" s="45">
        <f>(K32+K33-K19)*(1-K13)+K38+K39</f>
        <v>963.55250300225737</v>
      </c>
      <c r="L44" s="6"/>
      <c r="M44" s="6"/>
      <c r="N44" s="6"/>
      <c r="O44" s="6"/>
      <c r="P44" s="6"/>
      <c r="Q44" s="6"/>
      <c r="R44" s="6"/>
      <c r="S44" s="6"/>
      <c r="T44" s="6"/>
    </row>
    <row r="45" spans="1:20" x14ac:dyDescent="0.3">
      <c r="A45" s="6"/>
      <c r="B45" s="10" t="s">
        <v>461</v>
      </c>
      <c r="C45" s="6"/>
      <c r="D45" s="6"/>
      <c r="E45" s="6"/>
      <c r="F45" s="6"/>
      <c r="G45" s="6"/>
      <c r="H45" s="6"/>
      <c r="I45" s="43">
        <v>900.76902638774698</v>
      </c>
      <c r="J45" s="43">
        <v>945.530797616977</v>
      </c>
      <c r="K45" s="43">
        <v>963.55250300225498</v>
      </c>
      <c r="L45" s="6"/>
      <c r="M45" s="6"/>
      <c r="N45" s="6"/>
      <c r="O45" s="6"/>
      <c r="P45" s="6"/>
      <c r="Q45" s="6"/>
      <c r="R45" s="6"/>
      <c r="S45" s="6"/>
      <c r="T45" s="6"/>
    </row>
    <row r="46" spans="1:20" x14ac:dyDescent="0.3">
      <c r="A46" s="6"/>
      <c r="B46" s="10" t="s">
        <v>462</v>
      </c>
      <c r="C46" s="6"/>
      <c r="D46" s="6"/>
      <c r="E46" s="6"/>
      <c r="F46" s="6"/>
      <c r="G46" s="6"/>
      <c r="H46" s="6"/>
      <c r="I46" s="30">
        <f>I44-I45</f>
        <v>-1.8189894035458565E-12</v>
      </c>
      <c r="J46" s="30">
        <f>J44-J45</f>
        <v>-3.2969182939268649E-12</v>
      </c>
      <c r="K46" s="30">
        <f>K44-K45</f>
        <v>2.3874235921539366E-12</v>
      </c>
      <c r="L46" s="6"/>
      <c r="M46" s="6"/>
      <c r="N46" s="6"/>
      <c r="O46" s="6"/>
      <c r="P46" s="6"/>
      <c r="Q46" s="6"/>
      <c r="R46" s="6"/>
      <c r="S46" s="6"/>
      <c r="T46" s="6"/>
    </row>
    <row r="47" spans="1:20" x14ac:dyDescent="0.3">
      <c r="A47" s="6"/>
      <c r="B47" s="10" t="s">
        <v>463</v>
      </c>
      <c r="C47" s="6"/>
      <c r="D47" s="6"/>
      <c r="E47" s="6"/>
      <c r="F47" s="6"/>
      <c r="G47" s="6"/>
      <c r="H47" s="6"/>
      <c r="I47" s="43">
        <v>2776.0208627531701</v>
      </c>
      <c r="J47" s="43">
        <v>3005.6346487717301</v>
      </c>
      <c r="K47" s="43">
        <v>3200.1394055053402</v>
      </c>
      <c r="L47" s="6"/>
      <c r="M47" s="6"/>
      <c r="N47" s="6"/>
      <c r="O47" s="6"/>
      <c r="P47" s="6"/>
      <c r="Q47" s="6"/>
      <c r="R47" s="6"/>
      <c r="S47" s="6"/>
      <c r="T47" s="6"/>
    </row>
    <row r="48" spans="1:20" x14ac:dyDescent="0.3">
      <c r="A48" s="6"/>
      <c r="B48" s="10" t="s">
        <v>464</v>
      </c>
      <c r="C48" s="6"/>
      <c r="D48" s="6"/>
      <c r="E48" s="6"/>
      <c r="F48" s="6"/>
      <c r="G48" s="6"/>
      <c r="H48" s="6"/>
      <c r="I48" s="30">
        <f>I29-I47</f>
        <v>-5.0022208597511053E-12</v>
      </c>
      <c r="J48" s="30">
        <f>J29-J47</f>
        <v>0</v>
      </c>
      <c r="K48" s="30">
        <f>K29-K47</f>
        <v>0</v>
      </c>
      <c r="L48" s="6"/>
      <c r="M48" s="6"/>
      <c r="N48" s="6"/>
      <c r="O48" s="6"/>
      <c r="P48" s="6"/>
      <c r="Q48" s="6"/>
      <c r="R48" s="6"/>
      <c r="S48" s="6"/>
      <c r="T48" s="6"/>
    </row>
    <row r="49" spans="1:20" x14ac:dyDescent="0.3">
      <c r="A49" s="6"/>
      <c r="B49" s="6"/>
      <c r="C49" s="6"/>
      <c r="D49" s="6"/>
      <c r="E49" s="6"/>
      <c r="F49" s="6"/>
      <c r="G49" s="6"/>
      <c r="H49" s="6"/>
      <c r="I49" s="6"/>
      <c r="J49" s="6"/>
      <c r="K49" s="6"/>
      <c r="L49" s="6"/>
      <c r="M49" s="6"/>
      <c r="N49" s="6"/>
      <c r="O49" s="6"/>
      <c r="P49" s="6"/>
      <c r="Q49" s="6"/>
      <c r="R49" s="6"/>
      <c r="S49" s="6"/>
      <c r="T49" s="6"/>
    </row>
    <row r="50" spans="1:20" x14ac:dyDescent="0.3">
      <c r="A50" s="6"/>
      <c r="B50" s="7" t="s">
        <v>465</v>
      </c>
      <c r="C50" s="7"/>
      <c r="D50" s="7"/>
      <c r="E50" s="7"/>
      <c r="F50" s="7"/>
      <c r="G50" s="7"/>
      <c r="H50" s="7"/>
      <c r="I50" s="7"/>
      <c r="J50" s="7"/>
      <c r="K50" s="7"/>
      <c r="L50" s="7"/>
      <c r="M50" s="7"/>
      <c r="N50" s="7"/>
      <c r="O50" s="7"/>
      <c r="P50" s="7"/>
      <c r="Q50" s="7"/>
      <c r="R50" s="7"/>
      <c r="S50" s="6"/>
      <c r="T50" s="6"/>
    </row>
    <row r="51" spans="1:20" x14ac:dyDescent="0.3">
      <c r="A51" s="6"/>
      <c r="B51" s="10" t="s">
        <v>466</v>
      </c>
      <c r="C51" s="6"/>
      <c r="D51" s="6"/>
      <c r="E51" s="6"/>
      <c r="F51" s="6"/>
      <c r="G51" s="6"/>
      <c r="H51" s="6"/>
      <c r="I51" s="45">
        <f>Inputs!$C$33</f>
        <v>14734.782800000001</v>
      </c>
      <c r="J51" s="45">
        <f t="shared" ref="J51:R51" si="18">I53</f>
        <v>15031.032800000001</v>
      </c>
      <c r="K51" s="45">
        <f t="shared" si="18"/>
        <v>15538.532800000001</v>
      </c>
      <c r="L51" s="45">
        <f t="shared" si="18"/>
        <v>15899.782800000001</v>
      </c>
      <c r="M51" s="45">
        <f t="shared" si="18"/>
        <v>15999.782800000001</v>
      </c>
      <c r="N51" s="45">
        <f t="shared" si="18"/>
        <v>16099.782800000001</v>
      </c>
      <c r="O51" s="45">
        <f t="shared" si="18"/>
        <v>16199.782800000001</v>
      </c>
      <c r="P51" s="45">
        <f t="shared" si="18"/>
        <v>16299.782800000001</v>
      </c>
      <c r="Q51" s="45">
        <f t="shared" si="18"/>
        <v>16399.782800000001</v>
      </c>
      <c r="R51" s="45">
        <f t="shared" si="18"/>
        <v>16499.782800000001</v>
      </c>
      <c r="S51" s="6"/>
      <c r="T51" s="6"/>
    </row>
    <row r="52" spans="1:20" x14ac:dyDescent="0.3">
      <c r="A52" s="6"/>
      <c r="B52" s="10" t="s">
        <v>467</v>
      </c>
      <c r="C52" s="6"/>
      <c r="D52" s="6"/>
      <c r="E52" s="6"/>
      <c r="F52" s="6"/>
      <c r="G52" s="6"/>
      <c r="H52" s="6"/>
      <c r="I52" s="45">
        <f>(I66+I67)*Inputs!$C$47</f>
        <v>296.25</v>
      </c>
      <c r="J52" s="45">
        <f>(J66+J67)*Inputs!$C$47</f>
        <v>507.5</v>
      </c>
      <c r="K52" s="45">
        <f>(K66+K67)*Inputs!$C$47</f>
        <v>361.25</v>
      </c>
      <c r="L52" s="45">
        <f>(L66+L67)*Inputs!$C$47</f>
        <v>100</v>
      </c>
      <c r="M52" s="45">
        <f>(M66+M67)*Inputs!$C$47</f>
        <v>100</v>
      </c>
      <c r="N52" s="45">
        <f>(N66+N67)*Inputs!$C$47</f>
        <v>100</v>
      </c>
      <c r="O52" s="45">
        <f>(O66+O67)*Inputs!$C$47</f>
        <v>100</v>
      </c>
      <c r="P52" s="45">
        <f>(P66+P67)*Inputs!$C$47</f>
        <v>100</v>
      </c>
      <c r="Q52" s="45">
        <f>(Q66+Q67)*Inputs!$C$47</f>
        <v>100</v>
      </c>
      <c r="R52" s="45">
        <f>(R66+R67)*Inputs!$C$47</f>
        <v>100</v>
      </c>
      <c r="S52" s="6"/>
      <c r="T52" s="6"/>
    </row>
    <row r="53" spans="1:20" x14ac:dyDescent="0.3">
      <c r="A53" s="6"/>
      <c r="B53" s="23" t="s">
        <v>468</v>
      </c>
      <c r="C53" s="6"/>
      <c r="D53" s="6"/>
      <c r="E53" s="6"/>
      <c r="F53" s="6"/>
      <c r="G53" s="6"/>
      <c r="H53" s="6"/>
      <c r="I53" s="52">
        <f t="shared" ref="I53:R53" si="19">I51+I52</f>
        <v>15031.032800000001</v>
      </c>
      <c r="J53" s="52">
        <f t="shared" si="19"/>
        <v>15538.532800000001</v>
      </c>
      <c r="K53" s="52">
        <f t="shared" si="19"/>
        <v>15899.782800000001</v>
      </c>
      <c r="L53" s="52">
        <f t="shared" si="19"/>
        <v>15999.782800000001</v>
      </c>
      <c r="M53" s="52">
        <f t="shared" si="19"/>
        <v>16099.782800000001</v>
      </c>
      <c r="N53" s="52">
        <f t="shared" si="19"/>
        <v>16199.782800000001</v>
      </c>
      <c r="O53" s="52">
        <f t="shared" si="19"/>
        <v>16299.782800000001</v>
      </c>
      <c r="P53" s="52">
        <f t="shared" si="19"/>
        <v>16399.782800000001</v>
      </c>
      <c r="Q53" s="52">
        <f t="shared" si="19"/>
        <v>16499.782800000001</v>
      </c>
      <c r="R53" s="52">
        <f t="shared" si="19"/>
        <v>16599.782800000001</v>
      </c>
      <c r="S53" s="6"/>
      <c r="T53" s="6"/>
    </row>
    <row r="54" spans="1:20" x14ac:dyDescent="0.3">
      <c r="A54" s="6"/>
      <c r="B54" s="10" t="s">
        <v>469</v>
      </c>
      <c r="C54" s="6"/>
      <c r="D54" s="6"/>
      <c r="E54" s="6"/>
      <c r="F54" s="6"/>
      <c r="G54" s="6"/>
      <c r="H54" s="6"/>
      <c r="I54" s="45">
        <f t="shared" ref="I54:R54" si="20">AVERAGE(I51,I53)</f>
        <v>14882.907800000001</v>
      </c>
      <c r="J54" s="45">
        <f t="shared" si="20"/>
        <v>15284.782800000001</v>
      </c>
      <c r="K54" s="45">
        <f t="shared" si="20"/>
        <v>15719.157800000001</v>
      </c>
      <c r="L54" s="45">
        <f t="shared" si="20"/>
        <v>15949.782800000001</v>
      </c>
      <c r="M54" s="45">
        <f t="shared" si="20"/>
        <v>16049.782800000001</v>
      </c>
      <c r="N54" s="45">
        <f t="shared" si="20"/>
        <v>16149.782800000001</v>
      </c>
      <c r="O54" s="45">
        <f t="shared" si="20"/>
        <v>16249.782800000001</v>
      </c>
      <c r="P54" s="45">
        <f t="shared" si="20"/>
        <v>16349.782800000001</v>
      </c>
      <c r="Q54" s="45">
        <f t="shared" si="20"/>
        <v>16449.782800000001</v>
      </c>
      <c r="R54" s="45">
        <f t="shared" si="20"/>
        <v>16549.782800000001</v>
      </c>
      <c r="S54" s="6"/>
      <c r="T54" s="6"/>
    </row>
    <row r="55" spans="1:20" x14ac:dyDescent="0.3">
      <c r="A55" s="6"/>
      <c r="B55" s="10" t="s">
        <v>470</v>
      </c>
      <c r="C55" s="6"/>
      <c r="D55" s="6"/>
      <c r="E55" s="6"/>
      <c r="F55" s="6"/>
      <c r="G55" s="6"/>
      <c r="H55" s="6"/>
      <c r="I55" s="45">
        <f t="shared" ref="I55:R55" si="21">I54*I16</f>
        <v>1116.218085</v>
      </c>
      <c r="J55" s="45">
        <f t="shared" si="21"/>
        <v>1146.35871</v>
      </c>
      <c r="K55" s="45">
        <f t="shared" si="21"/>
        <v>1178.936835</v>
      </c>
      <c r="L55" s="45">
        <f t="shared" si="21"/>
        <v>1196.23371</v>
      </c>
      <c r="M55" s="45">
        <f t="shared" si="21"/>
        <v>1203.73371</v>
      </c>
      <c r="N55" s="45">
        <f t="shared" si="21"/>
        <v>1211.23371</v>
      </c>
      <c r="O55" s="45">
        <f t="shared" si="21"/>
        <v>1218.73371</v>
      </c>
      <c r="P55" s="45">
        <f t="shared" si="21"/>
        <v>1226.23371</v>
      </c>
      <c r="Q55" s="45">
        <f t="shared" si="21"/>
        <v>1233.73371</v>
      </c>
      <c r="R55" s="45">
        <f t="shared" si="21"/>
        <v>1241.23371</v>
      </c>
      <c r="S55" s="6"/>
      <c r="T55" s="6"/>
    </row>
    <row r="56" spans="1:20" x14ac:dyDescent="0.3">
      <c r="A56" s="6"/>
      <c r="B56" s="10" t="s">
        <v>471</v>
      </c>
      <c r="C56" s="6"/>
      <c r="D56" s="6"/>
      <c r="E56" s="6"/>
      <c r="F56" s="6"/>
      <c r="G56" s="6"/>
      <c r="H56" s="6"/>
      <c r="I56" s="45">
        <f>Inputs!$C$24</f>
        <v>674.21799999999996</v>
      </c>
      <c r="J56" s="45">
        <f>Inputs!$C$24</f>
        <v>674.21799999999996</v>
      </c>
      <c r="K56" s="45">
        <f>Inputs!$C$24</f>
        <v>674.21799999999996</v>
      </c>
      <c r="L56" s="45">
        <f>Inputs!$C$24</f>
        <v>674.21799999999996</v>
      </c>
      <c r="M56" s="45">
        <f>Inputs!$C$24</f>
        <v>674.21799999999996</v>
      </c>
      <c r="N56" s="45">
        <f>Inputs!$C$24</f>
        <v>674.21799999999996</v>
      </c>
      <c r="O56" s="45">
        <f>Inputs!$C$24</f>
        <v>674.21799999999996</v>
      </c>
      <c r="P56" s="45">
        <f>Inputs!$C$24</f>
        <v>674.21799999999996</v>
      </c>
      <c r="Q56" s="45">
        <f>Inputs!$C$24</f>
        <v>674.21799999999996</v>
      </c>
      <c r="R56" s="45">
        <f>Inputs!$C$24</f>
        <v>674.21799999999996</v>
      </c>
      <c r="S56" s="6"/>
      <c r="T56" s="6"/>
    </row>
    <row r="57" spans="1:20" x14ac:dyDescent="0.3">
      <c r="A57" s="6"/>
      <c r="B57" s="23" t="s">
        <v>250</v>
      </c>
      <c r="C57" s="6"/>
      <c r="D57" s="6"/>
      <c r="E57" s="6"/>
      <c r="F57" s="6"/>
      <c r="G57" s="6"/>
      <c r="H57" s="6"/>
      <c r="I57" s="52">
        <f t="shared" ref="I57:R57" si="22">I53-I56</f>
        <v>14356.8148</v>
      </c>
      <c r="J57" s="52">
        <f t="shared" si="22"/>
        <v>14864.3148</v>
      </c>
      <c r="K57" s="52">
        <f t="shared" si="22"/>
        <v>15225.5648</v>
      </c>
      <c r="L57" s="52">
        <f t="shared" si="22"/>
        <v>15325.5648</v>
      </c>
      <c r="M57" s="52">
        <f t="shared" si="22"/>
        <v>15425.5648</v>
      </c>
      <c r="N57" s="52">
        <f t="shared" si="22"/>
        <v>15525.5648</v>
      </c>
      <c r="O57" s="52">
        <f t="shared" si="22"/>
        <v>15625.5648</v>
      </c>
      <c r="P57" s="52">
        <f t="shared" si="22"/>
        <v>15725.5648</v>
      </c>
      <c r="Q57" s="52">
        <f t="shared" si="22"/>
        <v>15825.5648</v>
      </c>
      <c r="R57" s="52">
        <f t="shared" si="22"/>
        <v>15925.5648</v>
      </c>
      <c r="S57" s="6"/>
      <c r="T57" s="6"/>
    </row>
    <row r="58" spans="1:20" x14ac:dyDescent="0.3">
      <c r="A58" s="6"/>
      <c r="B58" s="10" t="s">
        <v>472</v>
      </c>
      <c r="C58" s="6"/>
      <c r="D58" s="6"/>
      <c r="E58" s="6"/>
      <c r="F58" s="6"/>
      <c r="G58" s="6"/>
      <c r="H58" s="6"/>
      <c r="I58" s="31">
        <f t="shared" ref="I58:R58" si="23">I57/I29</f>
        <v>5.1717243889015263</v>
      </c>
      <c r="J58" s="31">
        <f t="shared" si="23"/>
        <v>4.9454829135917731</v>
      </c>
      <c r="K58" s="31">
        <f t="shared" si="23"/>
        <v>4.7577817309479693</v>
      </c>
      <c r="L58" s="31">
        <f t="shared" si="23"/>
        <v>4.5609813044051286</v>
      </c>
      <c r="M58" s="31">
        <f t="shared" si="23"/>
        <v>4.3721351549231757</v>
      </c>
      <c r="N58" s="31">
        <f t="shared" si="23"/>
        <v>4.1909319917764547</v>
      </c>
      <c r="O58" s="31">
        <f t="shared" si="23"/>
        <v>4.017072134065649</v>
      </c>
      <c r="P58" s="31">
        <f t="shared" si="23"/>
        <v>3.8502671108947033</v>
      </c>
      <c r="Q58" s="31">
        <f t="shared" si="23"/>
        <v>3.6902392732999787</v>
      </c>
      <c r="R58" s="31">
        <f t="shared" si="23"/>
        <v>3.5367214177190496</v>
      </c>
      <c r="S58" s="6"/>
      <c r="T58" s="6"/>
    </row>
    <row r="59" spans="1:20" x14ac:dyDescent="0.3">
      <c r="A59" s="6"/>
      <c r="B59" s="10" t="s">
        <v>473</v>
      </c>
      <c r="C59" s="6"/>
      <c r="D59" s="6"/>
      <c r="E59" s="6"/>
      <c r="F59" s="6"/>
      <c r="G59" s="6"/>
      <c r="H59" s="6"/>
      <c r="I59" s="31">
        <f t="shared" ref="I59:R59" si="24">I29/I34</f>
        <v>2.4869878924718956</v>
      </c>
      <c r="J59" s="31">
        <f t="shared" si="24"/>
        <v>2.6218971623391161</v>
      </c>
      <c r="K59" s="31">
        <f t="shared" si="24"/>
        <v>2.7144282123523098</v>
      </c>
      <c r="L59" s="31">
        <f t="shared" si="24"/>
        <v>2.8089380425340189</v>
      </c>
      <c r="M59" s="31">
        <f t="shared" si="24"/>
        <v>2.9310084657923543</v>
      </c>
      <c r="N59" s="31">
        <f t="shared" si="24"/>
        <v>3.0585025406022757</v>
      </c>
      <c r="O59" s="31">
        <f t="shared" si="24"/>
        <v>3.1916647716776674</v>
      </c>
      <c r="P59" s="31">
        <f t="shared" si="24"/>
        <v>3.3307508082420738</v>
      </c>
      <c r="Q59" s="31">
        <f t="shared" si="24"/>
        <v>3.4760279563974836</v>
      </c>
      <c r="R59" s="31">
        <f t="shared" si="24"/>
        <v>3.6277757152160208</v>
      </c>
      <c r="S59" s="6"/>
      <c r="T59" s="6"/>
    </row>
    <row r="60" spans="1:20" x14ac:dyDescent="0.3">
      <c r="A60" s="6"/>
      <c r="B60" s="10" t="s">
        <v>474</v>
      </c>
      <c r="C60" s="6"/>
      <c r="D60" s="6"/>
      <c r="E60" s="6"/>
      <c r="F60" s="6"/>
      <c r="G60" s="6"/>
      <c r="H60" s="6"/>
      <c r="I60" s="31">
        <f t="shared" ref="I60:R60" si="25">I32/I34</f>
        <v>1.9673761716136011</v>
      </c>
      <c r="J60" s="31">
        <f t="shared" si="25"/>
        <v>2.1079417921305419</v>
      </c>
      <c r="K60" s="31">
        <f t="shared" si="25"/>
        <v>2.2034312065743391</v>
      </c>
      <c r="L60" s="31">
        <f t="shared" si="25"/>
        <v>2.3002936868978443</v>
      </c>
      <c r="M60" s="31">
        <f t="shared" si="25"/>
        <v>2.420478524864345</v>
      </c>
      <c r="N60" s="31">
        <f t="shared" si="25"/>
        <v>2.5460601310709667</v>
      </c>
      <c r="O60" s="31">
        <f t="shared" si="25"/>
        <v>2.6772830072916425</v>
      </c>
      <c r="P60" s="31">
        <f t="shared" si="25"/>
        <v>2.8144027949198893</v>
      </c>
      <c r="Q60" s="31">
        <f t="shared" si="25"/>
        <v>2.9576867874369119</v>
      </c>
      <c r="R60" s="31">
        <f t="shared" si="25"/>
        <v>3.1074144665985162</v>
      </c>
      <c r="S60" s="6"/>
      <c r="T60" s="6"/>
    </row>
    <row r="61" spans="1:20" x14ac:dyDescent="0.3">
      <c r="A61" s="6"/>
      <c r="B61" s="6"/>
      <c r="C61" s="6"/>
      <c r="D61" s="6"/>
      <c r="E61" s="6"/>
      <c r="F61" s="6"/>
      <c r="G61" s="6"/>
      <c r="H61" s="6"/>
      <c r="I61" s="6"/>
      <c r="J61" s="6"/>
      <c r="K61" s="6"/>
      <c r="L61" s="6"/>
      <c r="M61" s="6"/>
      <c r="N61" s="6"/>
      <c r="O61" s="6"/>
      <c r="P61" s="6"/>
      <c r="Q61" s="6"/>
      <c r="R61" s="6"/>
      <c r="S61" s="6"/>
      <c r="T61" s="6"/>
    </row>
    <row r="62" spans="1:20" x14ac:dyDescent="0.3">
      <c r="A62" s="6"/>
      <c r="B62" s="7" t="s">
        <v>475</v>
      </c>
      <c r="C62" s="7"/>
      <c r="D62" s="7"/>
      <c r="E62" s="7"/>
      <c r="F62" s="7"/>
      <c r="G62" s="7"/>
      <c r="H62" s="7"/>
      <c r="I62" s="7"/>
      <c r="J62" s="7"/>
      <c r="K62" s="7"/>
      <c r="L62" s="7"/>
      <c r="M62" s="7"/>
      <c r="N62" s="7"/>
      <c r="O62" s="7"/>
      <c r="P62" s="7"/>
      <c r="Q62" s="7"/>
      <c r="R62" s="7"/>
      <c r="S62" s="6"/>
      <c r="T62" s="6"/>
    </row>
    <row r="63" spans="1:20" x14ac:dyDescent="0.3">
      <c r="A63" s="6"/>
      <c r="B63" s="10" t="s">
        <v>476</v>
      </c>
      <c r="C63" s="6"/>
      <c r="D63" s="6"/>
      <c r="E63" s="6"/>
      <c r="F63" s="6"/>
      <c r="G63" s="6"/>
      <c r="H63" s="6"/>
      <c r="I63" s="28">
        <f>Rev_Build!$D$33</f>
        <v>28440</v>
      </c>
      <c r="J63" s="28">
        <f>Rev_Build!$D$50</f>
        <v>28890</v>
      </c>
      <c r="K63" s="28">
        <f>Rev_Build!$D$67</f>
        <v>29540</v>
      </c>
      <c r="L63" s="28">
        <f t="shared" ref="L63:R63" si="26">K63</f>
        <v>29540</v>
      </c>
      <c r="M63" s="28">
        <f t="shared" si="26"/>
        <v>29540</v>
      </c>
      <c r="N63" s="28">
        <f t="shared" si="26"/>
        <v>29540</v>
      </c>
      <c r="O63" s="28">
        <f t="shared" si="26"/>
        <v>29540</v>
      </c>
      <c r="P63" s="28">
        <f t="shared" si="26"/>
        <v>29540</v>
      </c>
      <c r="Q63" s="28">
        <f t="shared" si="26"/>
        <v>29540</v>
      </c>
      <c r="R63" s="28">
        <f t="shared" si="26"/>
        <v>29540</v>
      </c>
      <c r="S63" s="6"/>
      <c r="T63" s="6"/>
    </row>
    <row r="64" spans="1:20" x14ac:dyDescent="0.3">
      <c r="A64" s="6"/>
      <c r="B64" s="10" t="s">
        <v>477</v>
      </c>
      <c r="C64" s="6"/>
      <c r="D64" s="6"/>
      <c r="E64" s="6"/>
      <c r="F64" s="6"/>
      <c r="G64" s="6"/>
      <c r="H64" s="6"/>
      <c r="I64" s="28">
        <f>0</f>
        <v>0</v>
      </c>
      <c r="J64" s="28">
        <f t="shared" ref="J64:R64" si="27">J63-I63</f>
        <v>450</v>
      </c>
      <c r="K64" s="28">
        <f t="shared" si="27"/>
        <v>650</v>
      </c>
      <c r="L64" s="28">
        <f t="shared" si="27"/>
        <v>0</v>
      </c>
      <c r="M64" s="28">
        <f t="shared" si="27"/>
        <v>0</v>
      </c>
      <c r="N64" s="28">
        <f t="shared" si="27"/>
        <v>0</v>
      </c>
      <c r="O64" s="28">
        <f t="shared" si="27"/>
        <v>0</v>
      </c>
      <c r="P64" s="28">
        <f t="shared" si="27"/>
        <v>0</v>
      </c>
      <c r="Q64" s="28">
        <f t="shared" si="27"/>
        <v>0</v>
      </c>
      <c r="R64" s="28">
        <f t="shared" si="27"/>
        <v>0</v>
      </c>
      <c r="S64" s="6"/>
      <c r="T64" s="6"/>
    </row>
    <row r="65" spans="1:20" x14ac:dyDescent="0.3">
      <c r="A65" s="6"/>
      <c r="B65" s="10" t="s">
        <v>478</v>
      </c>
      <c r="C65" s="6"/>
      <c r="D65" s="6"/>
      <c r="E65" s="6"/>
      <c r="F65" s="6"/>
      <c r="G65" s="6"/>
      <c r="H65" s="6"/>
      <c r="I65" s="45">
        <f>I63*Inputs!$C$43*12/10000*(1+Inputs!$C$44)^(I5-1)</f>
        <v>68.256</v>
      </c>
      <c r="J65" s="45">
        <f>J63*Inputs!$C$43*12/10000*(1+Inputs!$C$44)^(J5-1)</f>
        <v>72.456119999999999</v>
      </c>
      <c r="K65" s="45">
        <f>K63*Inputs!$C$43*12/10000*(1+Inputs!$C$44)^(K5-1)</f>
        <v>77.420204399999989</v>
      </c>
      <c r="L65" s="45">
        <f>L63*Inputs!$C$43*12/10000*(1+Inputs!$C$44)^(L5-1)</f>
        <v>80.904113597999981</v>
      </c>
      <c r="M65" s="45">
        <f>M63*Inputs!$C$43*12/10000*(1+Inputs!$C$44)^(M5-1)</f>
        <v>84.544798709909969</v>
      </c>
      <c r="N65" s="45">
        <f>N63*Inputs!$C$43*12/10000*(1+Inputs!$C$44)^(N5-1)</f>
        <v>88.349314651855906</v>
      </c>
      <c r="O65" s="45">
        <f>O63*Inputs!$C$43*12/10000*(1+Inputs!$C$44)^(O5-1)</f>
        <v>92.3250338111894</v>
      </c>
      <c r="P65" s="45">
        <f>P63*Inputs!$C$43*12/10000*(1+Inputs!$C$44)^(P5-1)</f>
        <v>96.47966033269293</v>
      </c>
      <c r="Q65" s="45">
        <f>Q63*Inputs!$C$43*12/10000*(1+Inputs!$C$44)^(Q5-1)</f>
        <v>100.82124504766409</v>
      </c>
      <c r="R65" s="45">
        <f>R63*Inputs!$C$43*12/10000*(1+Inputs!$C$44)^(R5-1)</f>
        <v>105.35820107480896</v>
      </c>
      <c r="S65" s="6"/>
      <c r="T65" s="6"/>
    </row>
    <row r="66" spans="1:20" x14ac:dyDescent="0.3">
      <c r="A66" s="6"/>
      <c r="B66" s="10" t="s">
        <v>479</v>
      </c>
      <c r="C66" s="6"/>
      <c r="D66" s="6"/>
      <c r="E66" s="6"/>
      <c r="F66" s="6"/>
      <c r="G66" s="6"/>
      <c r="H66" s="6"/>
      <c r="I66" s="45">
        <f>(I64+J64)/2*Inputs!$C$45/10000</f>
        <v>146.25</v>
      </c>
      <c r="J66" s="45">
        <f>(J64+K64)/2*Inputs!$C$45/10000</f>
        <v>357.5</v>
      </c>
      <c r="K66" s="45">
        <f>(K64+L64)/2*Inputs!$C$45/10000</f>
        <v>211.25</v>
      </c>
      <c r="L66" s="45">
        <f>(L64+M64)/2*Inputs!$C$45/10000</f>
        <v>0</v>
      </c>
      <c r="M66" s="45">
        <f>(M64+N64)/2*Inputs!$C$45/10000</f>
        <v>0</v>
      </c>
      <c r="N66" s="45">
        <f>(N64+O64)/2*Inputs!$C$45/10000</f>
        <v>0</v>
      </c>
      <c r="O66" s="45">
        <f>(O64+P64)/2*Inputs!$C$45/10000</f>
        <v>0</v>
      </c>
      <c r="P66" s="45">
        <f>(P64+Q64)/2*Inputs!$C$45/10000</f>
        <v>0</v>
      </c>
      <c r="Q66" s="45">
        <f>(Q64+R64)/2*Inputs!$C$45/10000</f>
        <v>0</v>
      </c>
      <c r="R66" s="45">
        <f>R64/2*Inputs!$C$45/10000</f>
        <v>0</v>
      </c>
      <c r="S66" s="6"/>
      <c r="T66" s="6"/>
    </row>
    <row r="67" spans="1:20" x14ac:dyDescent="0.3">
      <c r="A67" s="6"/>
      <c r="B67" s="10" t="s">
        <v>480</v>
      </c>
      <c r="C67" s="6"/>
      <c r="D67" s="6"/>
      <c r="E67" s="6"/>
      <c r="F67" s="6"/>
      <c r="G67" s="6"/>
      <c r="H67" s="6"/>
      <c r="I67" s="45">
        <f t="shared" ref="I67:R67" si="28">I15</f>
        <v>150</v>
      </c>
      <c r="J67" s="45">
        <f t="shared" si="28"/>
        <v>150</v>
      </c>
      <c r="K67" s="45">
        <f t="shared" si="28"/>
        <v>150</v>
      </c>
      <c r="L67" s="45">
        <f t="shared" si="28"/>
        <v>100</v>
      </c>
      <c r="M67" s="45">
        <f t="shared" si="28"/>
        <v>100</v>
      </c>
      <c r="N67" s="45">
        <f t="shared" si="28"/>
        <v>100</v>
      </c>
      <c r="O67" s="45">
        <f t="shared" si="28"/>
        <v>100</v>
      </c>
      <c r="P67" s="45">
        <f t="shared" si="28"/>
        <v>100</v>
      </c>
      <c r="Q67" s="45">
        <f t="shared" si="28"/>
        <v>100</v>
      </c>
      <c r="R67" s="45">
        <f t="shared" si="28"/>
        <v>100</v>
      </c>
      <c r="S67" s="6"/>
      <c r="T67" s="6"/>
    </row>
    <row r="68" spans="1:20" x14ac:dyDescent="0.3">
      <c r="A68" s="6"/>
      <c r="B68" s="23" t="s">
        <v>481</v>
      </c>
      <c r="C68" s="6"/>
      <c r="D68" s="6"/>
      <c r="E68" s="6"/>
      <c r="F68" s="6"/>
      <c r="G68" s="6"/>
      <c r="H68" s="6"/>
      <c r="I68" s="52">
        <f t="shared" ref="I68:R68" si="29">SUM(I65:I67)</f>
        <v>364.50599999999997</v>
      </c>
      <c r="J68" s="52">
        <f t="shared" si="29"/>
        <v>579.95612000000006</v>
      </c>
      <c r="K68" s="52">
        <f t="shared" si="29"/>
        <v>438.67020439999999</v>
      </c>
      <c r="L68" s="52">
        <f t="shared" si="29"/>
        <v>180.90411359799998</v>
      </c>
      <c r="M68" s="52">
        <f t="shared" si="29"/>
        <v>184.54479870990997</v>
      </c>
      <c r="N68" s="52">
        <f t="shared" si="29"/>
        <v>188.34931465185591</v>
      </c>
      <c r="O68" s="52">
        <f t="shared" si="29"/>
        <v>192.3250338111894</v>
      </c>
      <c r="P68" s="52">
        <f t="shared" si="29"/>
        <v>196.47966033269293</v>
      </c>
      <c r="Q68" s="52">
        <f t="shared" si="29"/>
        <v>200.82124504766409</v>
      </c>
      <c r="R68" s="52">
        <f t="shared" si="29"/>
        <v>205.35820107480896</v>
      </c>
      <c r="S68" s="6"/>
      <c r="T68" s="6"/>
    </row>
    <row r="69" spans="1:20" x14ac:dyDescent="0.3">
      <c r="A69" s="6"/>
      <c r="B69" s="10" t="s">
        <v>482</v>
      </c>
      <c r="C69" s="6"/>
      <c r="D69" s="6"/>
      <c r="E69" s="6"/>
      <c r="F69" s="6"/>
      <c r="G69" s="6"/>
      <c r="H69" s="34">
        <f>H24*Inputs!$C$46</f>
        <v>-148.11295000000001</v>
      </c>
      <c r="I69" s="45">
        <f>I24*Inputs!$C$46</f>
        <v>-196.83702570307059</v>
      </c>
      <c r="J69" s="45">
        <f>J24*Inputs!$C$46</f>
        <v>-207.1816312287464</v>
      </c>
      <c r="K69" s="45">
        <f>K24*Inputs!$C$46</f>
        <v>-217.60950513443959</v>
      </c>
      <c r="L69" s="45">
        <f>L24*Inputs!$C$46</f>
        <v>-228.48998039116159</v>
      </c>
      <c r="M69" s="45">
        <f>M24*Inputs!$C$46</f>
        <v>-239.91447941071971</v>
      </c>
      <c r="N69" s="45">
        <f>N24*Inputs!$C$46</f>
        <v>-251.91020338125568</v>
      </c>
      <c r="O69" s="45">
        <f>O24*Inputs!$C$46</f>
        <v>-264.50571355031849</v>
      </c>
      <c r="P69" s="45">
        <f>P24*Inputs!$C$46</f>
        <v>-277.73099922783439</v>
      </c>
      <c r="Q69" s="45">
        <f>Q24*Inputs!$C$46</f>
        <v>-291.61754918922611</v>
      </c>
      <c r="R69" s="45">
        <f>R24*Inputs!$C$46</f>
        <v>-306.19842664868742</v>
      </c>
      <c r="S69" s="6"/>
      <c r="T69" s="6"/>
    </row>
    <row r="70" spans="1:20" x14ac:dyDescent="0.3">
      <c r="A70" s="6"/>
      <c r="B70" s="10" t="s">
        <v>483</v>
      </c>
      <c r="C70" s="6"/>
      <c r="D70" s="6"/>
      <c r="E70" s="6"/>
      <c r="F70" s="6"/>
      <c r="G70" s="6"/>
      <c r="H70" s="6"/>
      <c r="I70" s="45">
        <f t="shared" ref="I70:R70" si="30">I69-H69</f>
        <v>-48.724075703070582</v>
      </c>
      <c r="J70" s="45">
        <f t="shared" si="30"/>
        <v>-10.344605525675803</v>
      </c>
      <c r="K70" s="45">
        <f t="shared" si="30"/>
        <v>-10.42787390569319</v>
      </c>
      <c r="L70" s="45">
        <f t="shared" si="30"/>
        <v>-10.880475256722008</v>
      </c>
      <c r="M70" s="45">
        <f t="shared" si="30"/>
        <v>-11.424499019558112</v>
      </c>
      <c r="N70" s="45">
        <f t="shared" si="30"/>
        <v>-11.995723970535977</v>
      </c>
      <c r="O70" s="45">
        <f t="shared" si="30"/>
        <v>-12.595510169062806</v>
      </c>
      <c r="P70" s="45">
        <f t="shared" si="30"/>
        <v>-13.225285677515899</v>
      </c>
      <c r="Q70" s="45">
        <f t="shared" si="30"/>
        <v>-13.886549961391722</v>
      </c>
      <c r="R70" s="45">
        <f t="shared" si="30"/>
        <v>-14.580877459461306</v>
      </c>
      <c r="S70" s="6"/>
      <c r="T70" s="6"/>
    </row>
    <row r="71" spans="1:20" x14ac:dyDescent="0.3">
      <c r="A71" s="6"/>
      <c r="B71" s="6"/>
      <c r="C71" s="6"/>
      <c r="D71" s="6"/>
      <c r="E71" s="6"/>
      <c r="F71" s="6"/>
      <c r="G71" s="6"/>
      <c r="H71" s="6"/>
      <c r="I71" s="6"/>
      <c r="J71" s="6"/>
      <c r="K71" s="6"/>
      <c r="L71" s="6"/>
      <c r="M71" s="6"/>
      <c r="N71" s="6"/>
      <c r="O71" s="6"/>
      <c r="P71" s="6"/>
      <c r="Q71" s="6"/>
      <c r="R71" s="6"/>
      <c r="S71" s="6"/>
      <c r="T71" s="6"/>
    </row>
    <row r="72" spans="1:20" x14ac:dyDescent="0.3">
      <c r="A72" s="6"/>
      <c r="B72" s="7" t="s">
        <v>484</v>
      </c>
      <c r="C72" s="7"/>
      <c r="D72" s="7"/>
      <c r="E72" s="7"/>
      <c r="F72" s="7"/>
      <c r="G72" s="7"/>
      <c r="H72" s="7"/>
      <c r="I72" s="7"/>
      <c r="J72" s="7"/>
      <c r="K72" s="7"/>
      <c r="L72" s="7"/>
      <c r="M72" s="7"/>
      <c r="N72" s="7"/>
      <c r="O72" s="7"/>
      <c r="P72" s="7"/>
      <c r="Q72" s="7"/>
      <c r="R72" s="7"/>
      <c r="S72" s="6"/>
      <c r="T72" s="6"/>
    </row>
    <row r="73" spans="1:20" x14ac:dyDescent="0.3">
      <c r="A73" s="6"/>
      <c r="B73" s="10" t="s">
        <v>93</v>
      </c>
      <c r="C73" s="6"/>
      <c r="D73" s="6"/>
      <c r="E73" s="6"/>
      <c r="F73" s="6"/>
      <c r="G73" s="6"/>
      <c r="H73" s="6"/>
      <c r="I73" s="45">
        <f t="shared" ref="I73:R73" si="31">I29</f>
        <v>2776.0208627531651</v>
      </c>
      <c r="J73" s="45">
        <f t="shared" si="31"/>
        <v>3005.6346487717296</v>
      </c>
      <c r="K73" s="45">
        <f t="shared" si="31"/>
        <v>3200.1394055053397</v>
      </c>
      <c r="L73" s="45">
        <f t="shared" si="31"/>
        <v>3360.1463757806073</v>
      </c>
      <c r="M73" s="45">
        <f t="shared" si="31"/>
        <v>3528.1536945696384</v>
      </c>
      <c r="N73" s="45">
        <f t="shared" si="31"/>
        <v>3704.5613792981198</v>
      </c>
      <c r="O73" s="45">
        <f t="shared" si="31"/>
        <v>3889.7894482630263</v>
      </c>
      <c r="P73" s="45">
        <f t="shared" si="31"/>
        <v>4084.2789206761768</v>
      </c>
      <c r="Q73" s="45">
        <f t="shared" si="31"/>
        <v>4288.4928667099857</v>
      </c>
      <c r="R73" s="45">
        <f t="shared" si="31"/>
        <v>4502.917510045485</v>
      </c>
      <c r="S73" s="6"/>
      <c r="T73" s="6"/>
    </row>
    <row r="74" spans="1:20" x14ac:dyDescent="0.3">
      <c r="A74" s="6"/>
      <c r="B74" s="10" t="s">
        <v>485</v>
      </c>
      <c r="C74" s="6"/>
      <c r="D74" s="6"/>
      <c r="E74" s="6"/>
      <c r="F74" s="6"/>
      <c r="G74" s="6"/>
      <c r="H74" s="6"/>
      <c r="I74" s="45">
        <f t="shared" ref="I74:R74" si="32">I33</f>
        <v>142.52955848880035</v>
      </c>
      <c r="J74" s="45">
        <f t="shared" si="32"/>
        <v>146.34158572826894</v>
      </c>
      <c r="K74" s="45">
        <f t="shared" si="32"/>
        <v>153.54340988870123</v>
      </c>
      <c r="L74" s="45">
        <f t="shared" si="32"/>
        <v>159.94298627381312</v>
      </c>
      <c r="M74" s="45">
        <f t="shared" si="32"/>
        <v>167.94013558750379</v>
      </c>
      <c r="N74" s="45">
        <f t="shared" si="32"/>
        <v>176.33714236687899</v>
      </c>
      <c r="O74" s="45">
        <f t="shared" si="32"/>
        <v>185.15399948522295</v>
      </c>
      <c r="P74" s="45">
        <f t="shared" si="32"/>
        <v>194.41169945948411</v>
      </c>
      <c r="Q74" s="45">
        <f t="shared" si="32"/>
        <v>204.13228443245831</v>
      </c>
      <c r="R74" s="45">
        <f t="shared" si="32"/>
        <v>214.33889865408122</v>
      </c>
      <c r="S74" s="6"/>
      <c r="T74" s="6"/>
    </row>
    <row r="75" spans="1:20" x14ac:dyDescent="0.3">
      <c r="A75" s="6"/>
      <c r="B75" s="10" t="s">
        <v>486</v>
      </c>
      <c r="C75" s="6"/>
      <c r="D75" s="6"/>
      <c r="E75" s="6"/>
      <c r="F75" s="6"/>
      <c r="G75" s="6"/>
      <c r="H75" s="6"/>
      <c r="I75" s="45">
        <f t="shared" ref="I75:R75" si="33">I34</f>
        <v>1116.218085</v>
      </c>
      <c r="J75" s="45">
        <f t="shared" si="33"/>
        <v>1146.35871</v>
      </c>
      <c r="K75" s="45">
        <f t="shared" si="33"/>
        <v>1178.936835</v>
      </c>
      <c r="L75" s="45">
        <f t="shared" si="33"/>
        <v>1196.23371</v>
      </c>
      <c r="M75" s="45">
        <f t="shared" si="33"/>
        <v>1203.73371</v>
      </c>
      <c r="N75" s="45">
        <f t="shared" si="33"/>
        <v>1211.23371</v>
      </c>
      <c r="O75" s="45">
        <f t="shared" si="33"/>
        <v>1218.73371</v>
      </c>
      <c r="P75" s="45">
        <f t="shared" si="33"/>
        <v>1226.23371</v>
      </c>
      <c r="Q75" s="45">
        <f t="shared" si="33"/>
        <v>1233.73371</v>
      </c>
      <c r="R75" s="45">
        <f t="shared" si="33"/>
        <v>1241.23371</v>
      </c>
      <c r="S75" s="6"/>
      <c r="T75" s="6"/>
    </row>
    <row r="76" spans="1:20" x14ac:dyDescent="0.3">
      <c r="A76" s="6"/>
      <c r="B76" s="10" t="s">
        <v>487</v>
      </c>
      <c r="C76" s="6"/>
      <c r="D76" s="6"/>
      <c r="E76" s="6"/>
      <c r="F76" s="6"/>
      <c r="G76" s="6"/>
      <c r="H76" s="6"/>
      <c r="I76" s="45">
        <f t="shared" ref="I76:R76" si="34">I36*I14</f>
        <v>88.007928209421522</v>
      </c>
      <c r="J76" s="45">
        <f t="shared" si="34"/>
        <v>141.64403093101251</v>
      </c>
      <c r="K76" s="45">
        <f t="shared" si="34"/>
        <v>204.40066240199889</v>
      </c>
      <c r="L76" s="45">
        <f t="shared" si="34"/>
        <v>259.05942520616992</v>
      </c>
      <c r="M76" s="45">
        <f t="shared" si="34"/>
        <v>330.85275699626743</v>
      </c>
      <c r="N76" s="45">
        <f t="shared" si="34"/>
        <v>412.58206727690805</v>
      </c>
      <c r="O76" s="45">
        <f t="shared" si="34"/>
        <v>505.00680435116072</v>
      </c>
      <c r="P76" s="45">
        <f t="shared" si="34"/>
        <v>608.93619159630168</v>
      </c>
      <c r="Q76" s="45">
        <f t="shared" si="34"/>
        <v>659.30209092386053</v>
      </c>
      <c r="R76" s="45">
        <f t="shared" si="34"/>
        <v>712.34441960287131</v>
      </c>
      <c r="S76" s="6"/>
      <c r="T76" s="6"/>
    </row>
    <row r="77" spans="1:20" x14ac:dyDescent="0.3">
      <c r="A77" s="6"/>
      <c r="B77" s="10" t="s">
        <v>488</v>
      </c>
      <c r="C77" s="6"/>
      <c r="D77" s="6"/>
      <c r="E77" s="6"/>
      <c r="F77" s="6"/>
      <c r="G77" s="6"/>
      <c r="H77" s="6"/>
      <c r="I77" s="45">
        <f t="shared" ref="I77:R77" si="35">I65</f>
        <v>68.256</v>
      </c>
      <c r="J77" s="45">
        <f t="shared" si="35"/>
        <v>72.456119999999999</v>
      </c>
      <c r="K77" s="45">
        <f t="shared" si="35"/>
        <v>77.420204399999989</v>
      </c>
      <c r="L77" s="45">
        <f t="shared" si="35"/>
        <v>80.904113597999981</v>
      </c>
      <c r="M77" s="45">
        <f t="shared" si="35"/>
        <v>84.544798709909969</v>
      </c>
      <c r="N77" s="45">
        <f t="shared" si="35"/>
        <v>88.349314651855906</v>
      </c>
      <c r="O77" s="45">
        <f t="shared" si="35"/>
        <v>92.3250338111894</v>
      </c>
      <c r="P77" s="45">
        <f t="shared" si="35"/>
        <v>96.47966033269293</v>
      </c>
      <c r="Q77" s="45">
        <f t="shared" si="35"/>
        <v>100.82124504766409</v>
      </c>
      <c r="R77" s="45">
        <f t="shared" si="35"/>
        <v>105.35820107480896</v>
      </c>
      <c r="S77" s="6"/>
      <c r="T77" s="6"/>
    </row>
    <row r="78" spans="1:20" x14ac:dyDescent="0.3">
      <c r="A78" s="6"/>
      <c r="B78" s="23" t="s">
        <v>489</v>
      </c>
      <c r="C78" s="6"/>
      <c r="D78" s="6"/>
      <c r="E78" s="6"/>
      <c r="F78" s="6"/>
      <c r="G78" s="6"/>
      <c r="H78" s="6"/>
      <c r="I78" s="52">
        <f t="shared" ref="I78:R78" si="36">I73+I74-I75-I76-I77</f>
        <v>1646.0684080325439</v>
      </c>
      <c r="J78" s="52">
        <f t="shared" si="36"/>
        <v>1791.5173735689859</v>
      </c>
      <c r="K78" s="52">
        <f t="shared" si="36"/>
        <v>1892.9251135920422</v>
      </c>
      <c r="L78" s="52">
        <f t="shared" si="36"/>
        <v>1983.8921132502501</v>
      </c>
      <c r="M78" s="52">
        <f t="shared" si="36"/>
        <v>2076.9625644509647</v>
      </c>
      <c r="N78" s="52">
        <f t="shared" si="36"/>
        <v>2168.7334297362349</v>
      </c>
      <c r="O78" s="52">
        <f t="shared" si="36"/>
        <v>2258.8778995858993</v>
      </c>
      <c r="P78" s="52">
        <f t="shared" si="36"/>
        <v>2347.0410582066656</v>
      </c>
      <c r="Q78" s="52">
        <f t="shared" si="36"/>
        <v>2498.7681051709196</v>
      </c>
      <c r="R78" s="52">
        <f t="shared" si="36"/>
        <v>2658.3200780218858</v>
      </c>
      <c r="S78" s="6"/>
      <c r="T78" s="6"/>
    </row>
    <row r="79" spans="1:20" x14ac:dyDescent="0.3">
      <c r="A79" s="6"/>
      <c r="B79" s="10" t="s">
        <v>490</v>
      </c>
      <c r="C79" s="6"/>
      <c r="D79" s="6"/>
      <c r="E79" s="6"/>
      <c r="F79" s="6"/>
      <c r="G79" s="6"/>
      <c r="H79" s="6"/>
      <c r="I79" s="45">
        <f>I78*(1-Inputs!$C$56)</f>
        <v>1399.1581468276622</v>
      </c>
      <c r="J79" s="45">
        <f>J78*(1-Inputs!$C$56)</f>
        <v>1522.789767533638</v>
      </c>
      <c r="K79" s="45">
        <f>K78*(1-Inputs!$C$56)</f>
        <v>1608.9863465532358</v>
      </c>
      <c r="L79" s="45">
        <f>L78*(1-Inputs!$C$56)</f>
        <v>1686.3082962627125</v>
      </c>
      <c r="M79" s="45">
        <f>M78*(1-Inputs!$C$56)</f>
        <v>1765.4181797833198</v>
      </c>
      <c r="N79" s="45">
        <f>N78*(1-Inputs!$C$56)</f>
        <v>1843.4234152757997</v>
      </c>
      <c r="O79" s="45">
        <f>O78*(1-Inputs!$C$56)</f>
        <v>1920.0462146480143</v>
      </c>
      <c r="P79" s="45">
        <f>P78*(1-Inputs!$C$56)</f>
        <v>1994.9848994756658</v>
      </c>
      <c r="Q79" s="45">
        <f>Q78*(1-Inputs!$C$56)</f>
        <v>2123.9528893952815</v>
      </c>
      <c r="R79" s="45">
        <f>R78*(1-Inputs!$C$56)</f>
        <v>2259.572066318603</v>
      </c>
      <c r="S79" s="6"/>
      <c r="T79" s="6"/>
    </row>
    <row r="80" spans="1:20" x14ac:dyDescent="0.3">
      <c r="A80" s="6"/>
      <c r="B80" s="10" t="s">
        <v>491</v>
      </c>
      <c r="C80" s="6"/>
      <c r="D80" s="6"/>
      <c r="E80" s="6"/>
      <c r="F80" s="6"/>
      <c r="G80" s="6"/>
      <c r="H80" s="6"/>
      <c r="I80" s="45">
        <f>Rev_Build!$Z$34*Inputs!$C$49</f>
        <v>644.35500333154528</v>
      </c>
      <c r="J80" s="45">
        <f>Rev_Build!$Z$51*Inputs!$C$49</f>
        <v>667.64948183508079</v>
      </c>
      <c r="K80" s="45">
        <f>Rev_Build!$Z$68*Inputs!$C$49</f>
        <v>708.19824211336402</v>
      </c>
      <c r="L80" s="45">
        <f t="shared" ref="L80:R80" si="37">K80*(1+L7)</f>
        <v>743.60815421903226</v>
      </c>
      <c r="M80" s="45">
        <f t="shared" si="37"/>
        <v>780.78856192998387</v>
      </c>
      <c r="N80" s="45">
        <f t="shared" si="37"/>
        <v>819.82799002648312</v>
      </c>
      <c r="O80" s="45">
        <f t="shared" si="37"/>
        <v>860.81938952780729</v>
      </c>
      <c r="P80" s="45">
        <f t="shared" si="37"/>
        <v>903.86035900419768</v>
      </c>
      <c r="Q80" s="45">
        <f t="shared" si="37"/>
        <v>949.05337695440755</v>
      </c>
      <c r="R80" s="45">
        <f t="shared" si="37"/>
        <v>996.50604580212803</v>
      </c>
      <c r="S80" s="6"/>
      <c r="T80" s="6"/>
    </row>
    <row r="81" spans="1:20" x14ac:dyDescent="0.3">
      <c r="A81" s="6"/>
      <c r="B81" s="10" t="s">
        <v>492</v>
      </c>
      <c r="C81" s="6"/>
      <c r="D81" s="6"/>
      <c r="E81" s="6"/>
      <c r="F81" s="6"/>
      <c r="G81" s="6"/>
      <c r="H81" s="6"/>
      <c r="I81" s="45">
        <f>I80*0.95-Inputs!$C$35*I16</f>
        <v>357.137253164968</v>
      </c>
      <c r="J81" s="45">
        <f>J80*0.95-Inputs!$C$35*J16</f>
        <v>379.26700774332676</v>
      </c>
      <c r="K81" s="45">
        <f>K80*0.95-Inputs!$C$35*K16</f>
        <v>417.78833000769578</v>
      </c>
      <c r="L81" s="45">
        <f>L80*0.95-Inputs!$C$35*L16</f>
        <v>451.42774650808065</v>
      </c>
      <c r="M81" s="45">
        <f>M80*0.95-Inputs!$C$35*M16</f>
        <v>486.74913383348462</v>
      </c>
      <c r="N81" s="45">
        <f>N80*0.95-Inputs!$C$35*N16</f>
        <v>523.83659052515895</v>
      </c>
      <c r="O81" s="45">
        <f>O80*0.95-Inputs!$C$35*O16</f>
        <v>562.7784200514169</v>
      </c>
      <c r="P81" s="45">
        <f>P80*0.95-Inputs!$C$35*P16</f>
        <v>603.6673410539878</v>
      </c>
      <c r="Q81" s="45">
        <f>Q80*0.95-Inputs!$C$35*Q16</f>
        <v>646.60070810668708</v>
      </c>
      <c r="R81" s="45">
        <f>R80*0.95-Inputs!$C$35*R16</f>
        <v>691.68074351202154</v>
      </c>
      <c r="S81" s="6"/>
      <c r="T81" s="6"/>
    </row>
    <row r="82" spans="1:20" x14ac:dyDescent="0.3">
      <c r="A82" s="6"/>
      <c r="B82" s="10" t="s">
        <v>493</v>
      </c>
      <c r="C82" s="6"/>
      <c r="D82" s="6"/>
      <c r="E82" s="6"/>
      <c r="F82" s="6"/>
      <c r="G82" s="6"/>
      <c r="H82" s="6"/>
      <c r="I82" s="45">
        <f>I81*Inputs!$C$36</f>
        <v>178.568626582484</v>
      </c>
      <c r="J82" s="45">
        <f>J81*Inputs!$C$36</f>
        <v>189.63350387166338</v>
      </c>
      <c r="K82" s="45">
        <f>K81*Inputs!$C$36</f>
        <v>208.89416500384789</v>
      </c>
      <c r="L82" s="45">
        <f>L81*Inputs!$C$36</f>
        <v>225.71387325404032</v>
      </c>
      <c r="M82" s="45">
        <f>M81*Inputs!$C$36</f>
        <v>243.37456691674231</v>
      </c>
      <c r="N82" s="45">
        <f>N81*Inputs!$C$36</f>
        <v>261.91829526257948</v>
      </c>
      <c r="O82" s="45">
        <f>O81*Inputs!$C$36</f>
        <v>281.38921002570845</v>
      </c>
      <c r="P82" s="45">
        <f>P81*Inputs!$C$36</f>
        <v>301.8336705269939</v>
      </c>
      <c r="Q82" s="45">
        <f>Q81*Inputs!$C$36</f>
        <v>323.30035405334354</v>
      </c>
      <c r="R82" s="45">
        <f>R81*Inputs!$C$36</f>
        <v>345.84037175601077</v>
      </c>
      <c r="S82" s="6"/>
      <c r="T82" s="6"/>
    </row>
    <row r="83" spans="1:20" x14ac:dyDescent="0.3">
      <c r="A83" s="6"/>
      <c r="B83" s="10" t="s">
        <v>494</v>
      </c>
      <c r="C83" s="6"/>
      <c r="D83" s="6"/>
      <c r="E83" s="6"/>
      <c r="F83" s="6"/>
      <c r="G83" s="6"/>
      <c r="H83" s="6"/>
      <c r="I83" s="45">
        <f>0.5*Inputs!$C$58*Inputs!$C$32</f>
        <v>30.174999999999997</v>
      </c>
      <c r="J83" s="45">
        <f>Inputs!$C$58*Inputs!$C$32</f>
        <v>60.349999999999994</v>
      </c>
      <c r="K83" s="45">
        <f>J83*(1+Inputs!$C$59)</f>
        <v>62.763999999999996</v>
      </c>
      <c r="L83" s="45">
        <f>K83*(1+Inputs!$C$59)</f>
        <v>65.274559999999994</v>
      </c>
      <c r="M83" s="45">
        <f>L83*(1+Inputs!$C$59)</f>
        <v>67.885542399999991</v>
      </c>
      <c r="N83" s="45">
        <f>M83*(1+Inputs!$C$59)</f>
        <v>70.600964095999998</v>
      </c>
      <c r="O83" s="45">
        <f>N83*(1+Inputs!$C$59)</f>
        <v>73.425002659840004</v>
      </c>
      <c r="P83" s="45">
        <f>O83*(1+Inputs!$C$59)</f>
        <v>76.362002766233601</v>
      </c>
      <c r="Q83" s="45">
        <f>P83*(1+Inputs!$C$59)</f>
        <v>79.416482876882952</v>
      </c>
      <c r="R83" s="45">
        <f>Q83*(1+Inputs!$C$59)</f>
        <v>82.593142191958279</v>
      </c>
      <c r="S83" s="6"/>
      <c r="T83" s="6"/>
    </row>
    <row r="84" spans="1:20" x14ac:dyDescent="0.3">
      <c r="A84" s="6"/>
      <c r="B84" s="10" t="s">
        <v>495</v>
      </c>
      <c r="C84" s="6"/>
      <c r="D84" s="6"/>
      <c r="E84" s="6"/>
      <c r="F84" s="6"/>
      <c r="G84" s="6"/>
      <c r="H84" s="6"/>
      <c r="I84" s="45">
        <f>Inputs!$C$55*Inputs!$C$11-(I79+I82+I83)</f>
        <v>267.62899052985381</v>
      </c>
      <c r="J84" s="45">
        <f t="shared" ref="J84:R84" si="38">I84</f>
        <v>267.62899052985381</v>
      </c>
      <c r="K84" s="45">
        <f t="shared" si="38"/>
        <v>267.62899052985381</v>
      </c>
      <c r="L84" s="45">
        <f t="shared" si="38"/>
        <v>267.62899052985381</v>
      </c>
      <c r="M84" s="45">
        <f t="shared" si="38"/>
        <v>267.62899052985381</v>
      </c>
      <c r="N84" s="45">
        <f t="shared" si="38"/>
        <v>267.62899052985381</v>
      </c>
      <c r="O84" s="45">
        <f t="shared" si="38"/>
        <v>267.62899052985381</v>
      </c>
      <c r="P84" s="45">
        <f t="shared" si="38"/>
        <v>267.62899052985381</v>
      </c>
      <c r="Q84" s="45">
        <f t="shared" si="38"/>
        <v>267.62899052985381</v>
      </c>
      <c r="R84" s="45">
        <f t="shared" si="38"/>
        <v>267.62899052985381</v>
      </c>
      <c r="S84" s="6"/>
      <c r="T84" s="11" t="s">
        <v>496</v>
      </c>
    </row>
    <row r="85" spans="1:20" x14ac:dyDescent="0.3">
      <c r="A85" s="6"/>
      <c r="B85" s="23" t="s">
        <v>497</v>
      </c>
      <c r="C85" s="6"/>
      <c r="D85" s="6"/>
      <c r="E85" s="6"/>
      <c r="F85" s="6"/>
      <c r="G85" s="6"/>
      <c r="H85" s="6"/>
      <c r="I85" s="52">
        <f t="shared" ref="I85:R85" si="39">I79+I82+I83+I84</f>
        <v>1875.53076394</v>
      </c>
      <c r="J85" s="52">
        <f t="shared" si="39"/>
        <v>2040.4022619351551</v>
      </c>
      <c r="K85" s="52">
        <f t="shared" si="39"/>
        <v>2148.2735020869372</v>
      </c>
      <c r="L85" s="52">
        <f t="shared" si="39"/>
        <v>2244.9257200466068</v>
      </c>
      <c r="M85" s="52">
        <f t="shared" si="39"/>
        <v>2344.3072796299157</v>
      </c>
      <c r="N85" s="52">
        <f t="shared" si="39"/>
        <v>2443.5716651642333</v>
      </c>
      <c r="O85" s="52">
        <f t="shared" si="39"/>
        <v>2542.4894178634167</v>
      </c>
      <c r="P85" s="52">
        <f t="shared" si="39"/>
        <v>2640.809563298747</v>
      </c>
      <c r="Q85" s="52">
        <f t="shared" si="39"/>
        <v>2794.2987168553618</v>
      </c>
      <c r="R85" s="52">
        <f t="shared" si="39"/>
        <v>2955.6345707964256</v>
      </c>
      <c r="S85" s="6"/>
      <c r="T85" s="6"/>
    </row>
    <row r="86" spans="1:20" x14ac:dyDescent="0.3">
      <c r="A86" s="6"/>
      <c r="B86" s="23" t="s">
        <v>96</v>
      </c>
      <c r="C86" s="6"/>
      <c r="D86" s="6"/>
      <c r="E86" s="6"/>
      <c r="F86" s="6"/>
      <c r="G86" s="6"/>
      <c r="H86" s="6"/>
      <c r="I86" s="55">
        <f>I85*Inputs!$C$57/Inputs!$C$11</f>
        <v>22.6</v>
      </c>
      <c r="J86" s="55">
        <f>J85*Inputs!$C$57/Inputs!$C$11</f>
        <v>24.586688742371226</v>
      </c>
      <c r="K86" s="55">
        <f>K85*Inputs!$C$57/Inputs!$C$11</f>
        <v>25.886528805942834</v>
      </c>
      <c r="L86" s="55">
        <f>L85*Inputs!$C$57/Inputs!$C$11</f>
        <v>27.051180523678354</v>
      </c>
      <c r="M86" s="55">
        <f>M85*Inputs!$C$57/Inputs!$C$11</f>
        <v>28.248720595942739</v>
      </c>
      <c r="N86" s="55">
        <f>N85*Inputs!$C$57/Inputs!$C$11</f>
        <v>29.444848730019746</v>
      </c>
      <c r="O86" s="55">
        <f>O85*Inputs!$C$57/Inputs!$C$11</f>
        <v>30.63679996536246</v>
      </c>
      <c r="P86" s="55">
        <f>P85*Inputs!$C$57/Inputs!$C$11</f>
        <v>31.821550079602414</v>
      </c>
      <c r="Q86" s="55">
        <f>Q85*Inputs!$C$57/Inputs!$C$11</f>
        <v>33.671082455756213</v>
      </c>
      <c r="R86" s="55">
        <f>R85*Inputs!$C$57/Inputs!$C$11</f>
        <v>35.615166961951324</v>
      </c>
      <c r="S86" s="6"/>
      <c r="T86" s="11" t="s">
        <v>498</v>
      </c>
    </row>
    <row r="87" spans="1:20" x14ac:dyDescent="0.3">
      <c r="A87" s="6"/>
      <c r="B87" s="10" t="s">
        <v>499</v>
      </c>
      <c r="C87" s="6"/>
      <c r="D87" s="6"/>
      <c r="E87" s="6"/>
      <c r="F87" s="6"/>
      <c r="G87" s="6"/>
      <c r="H87" s="6"/>
      <c r="I87" s="29">
        <f>I86/Inputs!$C$18-1</f>
        <v>5.6074766355140415E-2</v>
      </c>
      <c r="J87" s="29">
        <f t="shared" ref="J87:R87" si="40">J86/I86-1</f>
        <v>8.7906581520850624E-2</v>
      </c>
      <c r="K87" s="29">
        <f t="shared" si="40"/>
        <v>5.2867634075976389E-2</v>
      </c>
      <c r="L87" s="29">
        <f t="shared" si="40"/>
        <v>4.4990648474589889E-2</v>
      </c>
      <c r="M87" s="29">
        <f t="shared" si="40"/>
        <v>4.4269420006130877E-2</v>
      </c>
      <c r="N87" s="29">
        <f t="shared" si="40"/>
        <v>4.2342736550298854E-2</v>
      </c>
      <c r="O87" s="29">
        <f t="shared" si="40"/>
        <v>4.0480806889915844E-2</v>
      </c>
      <c r="P87" s="29">
        <f t="shared" si="40"/>
        <v>3.867081795681715E-2</v>
      </c>
      <c r="Q87" s="29">
        <f t="shared" si="40"/>
        <v>5.8122007618332416E-2</v>
      </c>
      <c r="R87" s="29">
        <f t="shared" si="40"/>
        <v>5.7737511371950712E-2</v>
      </c>
      <c r="S87" s="6"/>
      <c r="T87" s="6"/>
    </row>
  </sheetData>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45"/>
  <sheetViews>
    <sheetView zoomScale="90" zoomScaleNormal="90" workbookViewId="0">
      <pane xSplit="2" ySplit="3" topLeftCell="C4" activePane="bottomRight" state="frozen"/>
      <selection pane="topRight" activeCell="C1" sqref="C1"/>
      <selection pane="bottomLeft" activeCell="A4" sqref="A4"/>
      <selection pane="bottomRight" activeCell="B1" sqref="B1"/>
    </sheetView>
  </sheetViews>
  <sheetFormatPr defaultColWidth="8.6640625" defaultRowHeight="14.4" x14ac:dyDescent="0.3"/>
  <cols>
    <col min="1" max="1" width="2" customWidth="1"/>
    <col min="2" max="2" width="58" customWidth="1"/>
    <col min="3" max="3" width="14" customWidth="1"/>
    <col min="4" max="4" width="12" customWidth="1"/>
    <col min="5" max="5" width="3" customWidth="1"/>
    <col min="6" max="6" width="12" customWidth="1"/>
    <col min="7" max="7" width="16" customWidth="1"/>
    <col min="8" max="8" width="12" customWidth="1"/>
    <col min="9" max="9" width="70" customWidth="1"/>
  </cols>
  <sheetData>
    <row r="1" spans="1:9" ht="24" customHeight="1" x14ac:dyDescent="0.3">
      <c r="A1" s="2"/>
      <c r="B1" s="4" t="s">
        <v>1012</v>
      </c>
      <c r="C1" s="2"/>
      <c r="D1" s="2"/>
      <c r="E1" s="2"/>
      <c r="F1" s="2"/>
      <c r="G1" s="2"/>
      <c r="H1" s="2"/>
      <c r="I1" s="2"/>
    </row>
    <row r="2" spans="1:9" x14ac:dyDescent="0.3">
      <c r="A2" s="2"/>
      <c r="B2" s="14" t="s">
        <v>500</v>
      </c>
      <c r="C2" s="2"/>
      <c r="D2" s="2"/>
      <c r="E2" s="2"/>
      <c r="F2" s="2"/>
      <c r="G2" s="2"/>
      <c r="H2" s="2"/>
      <c r="I2" s="2"/>
    </row>
    <row r="3" spans="1:9" x14ac:dyDescent="0.3">
      <c r="A3" s="6"/>
      <c r="B3" s="6"/>
      <c r="C3" s="6"/>
      <c r="D3" s="6"/>
      <c r="E3" s="6"/>
      <c r="F3" s="6"/>
      <c r="G3" s="6"/>
      <c r="H3" s="6"/>
      <c r="I3" s="6"/>
    </row>
    <row r="4" spans="1:9" x14ac:dyDescent="0.3">
      <c r="A4" s="6"/>
      <c r="B4" s="7" t="s">
        <v>501</v>
      </c>
      <c r="C4" s="7"/>
      <c r="D4" s="7"/>
      <c r="E4" s="7"/>
      <c r="F4" s="7"/>
      <c r="G4" s="7"/>
      <c r="H4" s="7"/>
      <c r="I4" s="7"/>
    </row>
    <row r="5" spans="1:9" x14ac:dyDescent="0.3">
      <c r="A5" s="6"/>
      <c r="B5" s="10" t="s">
        <v>502</v>
      </c>
      <c r="C5" s="18">
        <v>7.2300000000000003E-2</v>
      </c>
      <c r="D5" s="6"/>
      <c r="E5" s="6"/>
      <c r="F5" s="8" t="s">
        <v>503</v>
      </c>
      <c r="G5" s="8" t="s">
        <v>74</v>
      </c>
      <c r="H5" s="8" t="s">
        <v>102</v>
      </c>
      <c r="I5" s="11" t="s">
        <v>504</v>
      </c>
    </row>
    <row r="6" spans="1:9" x14ac:dyDescent="0.3">
      <c r="A6" s="6"/>
      <c r="B6" s="10" t="s">
        <v>505</v>
      </c>
      <c r="C6" s="18">
        <v>1.8700000000000001E-2</v>
      </c>
      <c r="D6" s="6"/>
      <c r="E6" s="6"/>
      <c r="F6" s="15">
        <v>-99</v>
      </c>
      <c r="G6" s="10" t="s">
        <v>506</v>
      </c>
      <c r="H6" s="18">
        <v>0.13</v>
      </c>
      <c r="I6" s="11" t="s">
        <v>507</v>
      </c>
    </row>
    <row r="7" spans="1:9" x14ac:dyDescent="0.3">
      <c r="A7" s="6"/>
      <c r="B7" s="10" t="s">
        <v>508</v>
      </c>
      <c r="C7" s="40">
        <v>1</v>
      </c>
      <c r="D7" s="6"/>
      <c r="E7" s="6"/>
      <c r="F7" s="15">
        <v>0.8</v>
      </c>
      <c r="G7" s="10" t="s">
        <v>509</v>
      </c>
      <c r="H7" s="18">
        <v>0.08</v>
      </c>
      <c r="I7" s="11" t="s">
        <v>510</v>
      </c>
    </row>
    <row r="8" spans="1:9" x14ac:dyDescent="0.3">
      <c r="A8" s="6"/>
      <c r="B8" s="10" t="s">
        <v>511</v>
      </c>
      <c r="C8" s="18">
        <f>C5-C6*C7</f>
        <v>5.3600000000000002E-2</v>
      </c>
      <c r="D8" s="6"/>
      <c r="E8" s="6"/>
      <c r="F8" s="15">
        <v>1.25</v>
      </c>
      <c r="G8" s="10" t="s">
        <v>512</v>
      </c>
      <c r="H8" s="18">
        <v>5.0999999999999997E-2</v>
      </c>
      <c r="I8" s="11"/>
    </row>
    <row r="9" spans="1:9" x14ac:dyDescent="0.3">
      <c r="A9" s="6"/>
      <c r="B9" s="10" t="s">
        <v>513</v>
      </c>
      <c r="C9" s="18">
        <v>4.2299999999999997E-2</v>
      </c>
      <c r="D9" s="6"/>
      <c r="E9" s="6"/>
      <c r="F9" s="15">
        <v>1.5</v>
      </c>
      <c r="G9" s="10" t="s">
        <v>514</v>
      </c>
      <c r="H9" s="18">
        <v>4.2000000000000003E-2</v>
      </c>
      <c r="I9" s="11" t="s">
        <v>515</v>
      </c>
    </row>
    <row r="10" spans="1:9" x14ac:dyDescent="0.3">
      <c r="A10" s="6"/>
      <c r="B10" s="10" t="s">
        <v>516</v>
      </c>
      <c r="C10" s="18">
        <v>2.8500000000000001E-2</v>
      </c>
      <c r="D10" s="6"/>
      <c r="E10" s="6"/>
      <c r="F10" s="15">
        <v>1.75</v>
      </c>
      <c r="G10" s="10" t="s">
        <v>517</v>
      </c>
      <c r="H10" s="18">
        <v>3.5000000000000003E-2</v>
      </c>
      <c r="I10" s="11" t="s">
        <v>518</v>
      </c>
    </row>
    <row r="11" spans="1:9" x14ac:dyDescent="0.3">
      <c r="A11" s="6"/>
      <c r="B11" s="10" t="s">
        <v>519</v>
      </c>
      <c r="C11" s="18">
        <f>C9+C10</f>
        <v>7.0800000000000002E-2</v>
      </c>
      <c r="D11" s="6"/>
      <c r="E11" s="6"/>
      <c r="F11" s="15">
        <v>2</v>
      </c>
      <c r="G11" s="10" t="s">
        <v>520</v>
      </c>
      <c r="H11" s="18">
        <v>2.4E-2</v>
      </c>
      <c r="I11" s="11" t="s">
        <v>521</v>
      </c>
    </row>
    <row r="12" spans="1:9" x14ac:dyDescent="0.3">
      <c r="A12" s="6"/>
      <c r="B12" s="6"/>
      <c r="C12" s="6"/>
      <c r="D12" s="6"/>
      <c r="E12" s="6"/>
      <c r="F12" s="15">
        <v>2.25</v>
      </c>
      <c r="G12" s="10" t="s">
        <v>522</v>
      </c>
      <c r="H12" s="18">
        <v>0.02</v>
      </c>
      <c r="I12" s="6"/>
    </row>
    <row r="13" spans="1:9" x14ac:dyDescent="0.3">
      <c r="A13" s="6"/>
      <c r="B13" s="8" t="s">
        <v>523</v>
      </c>
      <c r="C13" s="8" t="s">
        <v>524</v>
      </c>
      <c r="D13" s="8" t="s">
        <v>53</v>
      </c>
      <c r="E13" s="6"/>
      <c r="F13" s="15">
        <v>2.5</v>
      </c>
      <c r="G13" s="10" t="s">
        <v>525</v>
      </c>
      <c r="H13" s="18">
        <v>1.5599999999999999E-2</v>
      </c>
      <c r="I13" s="6"/>
    </row>
    <row r="14" spans="1:9" x14ac:dyDescent="0.3">
      <c r="A14" s="6"/>
      <c r="B14" s="10" t="s">
        <v>526</v>
      </c>
      <c r="C14" s="15">
        <v>0.36</v>
      </c>
      <c r="D14" s="35">
        <v>0.5</v>
      </c>
      <c r="E14" s="6"/>
      <c r="F14" s="15">
        <v>3</v>
      </c>
      <c r="G14" s="10" t="s">
        <v>527</v>
      </c>
      <c r="H14" s="18">
        <v>1.21E-2</v>
      </c>
      <c r="I14" s="11" t="s">
        <v>528</v>
      </c>
    </row>
    <row r="15" spans="1:9" x14ac:dyDescent="0.3">
      <c r="A15" s="6"/>
      <c r="B15" s="10" t="s">
        <v>529</v>
      </c>
      <c r="C15" s="15">
        <v>0.51</v>
      </c>
      <c r="D15" s="35">
        <v>0.25</v>
      </c>
      <c r="E15" s="6"/>
      <c r="F15" s="15">
        <v>4.25</v>
      </c>
      <c r="G15" s="10" t="s">
        <v>530</v>
      </c>
      <c r="H15" s="18">
        <v>1.0699999999999999E-2</v>
      </c>
      <c r="I15" s="6"/>
    </row>
    <row r="16" spans="1:9" x14ac:dyDescent="0.3">
      <c r="A16" s="6"/>
      <c r="B16" s="10" t="s">
        <v>531</v>
      </c>
      <c r="C16" s="15">
        <v>0.6</v>
      </c>
      <c r="D16" s="35">
        <v>0.25</v>
      </c>
      <c r="E16" s="6"/>
      <c r="F16" s="15">
        <v>5.5</v>
      </c>
      <c r="G16" s="10" t="s">
        <v>532</v>
      </c>
      <c r="H16" s="18">
        <v>9.1999999999999998E-3</v>
      </c>
      <c r="I16" s="6"/>
    </row>
    <row r="17" spans="1:9" x14ac:dyDescent="0.3">
      <c r="A17" s="6"/>
      <c r="B17" s="10" t="s">
        <v>533</v>
      </c>
      <c r="C17" s="33">
        <f>SUMPRODUCT(C14:C16,D14:D16)</f>
        <v>0.45750000000000002</v>
      </c>
      <c r="D17" s="6"/>
      <c r="E17" s="6"/>
      <c r="F17" s="15">
        <v>6.5</v>
      </c>
      <c r="G17" s="10" t="s">
        <v>534</v>
      </c>
      <c r="H17" s="18">
        <v>7.0000000000000001E-3</v>
      </c>
      <c r="I17" s="11"/>
    </row>
    <row r="18" spans="1:9" x14ac:dyDescent="0.3">
      <c r="A18" s="6"/>
      <c r="B18" s="10" t="s">
        <v>535</v>
      </c>
      <c r="C18" s="35">
        <v>0.33</v>
      </c>
      <c r="D18" s="6"/>
      <c r="E18" s="6"/>
      <c r="F18" s="15">
        <v>8.5</v>
      </c>
      <c r="G18" s="10" t="s">
        <v>536</v>
      </c>
      <c r="H18" s="18">
        <v>5.8999999999999999E-3</v>
      </c>
      <c r="I18" s="11" t="s">
        <v>537</v>
      </c>
    </row>
    <row r="19" spans="1:9" x14ac:dyDescent="0.3">
      <c r="A19" s="6"/>
      <c r="B19" s="10" t="s">
        <v>538</v>
      </c>
      <c r="C19" s="16">
        <f>C18/(1-C18)</f>
        <v>0.49253731343283591</v>
      </c>
      <c r="D19" s="6"/>
      <c r="E19" s="6"/>
      <c r="F19" s="11" t="s">
        <v>539</v>
      </c>
      <c r="G19" s="6"/>
      <c r="H19" s="6"/>
      <c r="I19" s="11"/>
    </row>
    <row r="20" spans="1:9" x14ac:dyDescent="0.3">
      <c r="A20" s="6"/>
      <c r="B20" s="10" t="s">
        <v>540</v>
      </c>
      <c r="C20" s="18">
        <f>Inputs!$C$42</f>
        <v>0.25169999999999998</v>
      </c>
      <c r="D20" s="6"/>
      <c r="E20" s="6"/>
      <c r="F20" s="6"/>
      <c r="G20" s="6"/>
      <c r="H20" s="6"/>
      <c r="I20" s="11"/>
    </row>
    <row r="21" spans="1:9" x14ac:dyDescent="0.3">
      <c r="A21" s="6"/>
      <c r="B21" s="10" t="s">
        <v>541</v>
      </c>
      <c r="C21" s="33">
        <f>C17*(1+(1-C20)*C19)</f>
        <v>0.62611879477611943</v>
      </c>
      <c r="D21" s="6"/>
      <c r="E21" s="6"/>
      <c r="F21" s="6"/>
      <c r="G21" s="6"/>
      <c r="H21" s="6"/>
      <c r="I21" s="11" t="s">
        <v>542</v>
      </c>
    </row>
    <row r="22" spans="1:9" x14ac:dyDescent="0.3">
      <c r="A22" s="6"/>
      <c r="B22" s="10" t="s">
        <v>543</v>
      </c>
      <c r="C22" s="18">
        <f>C8+C21*C11</f>
        <v>9.7929210670149258E-2</v>
      </c>
      <c r="D22" s="6"/>
      <c r="E22" s="6"/>
      <c r="F22" s="6"/>
      <c r="G22" s="6"/>
      <c r="H22" s="6"/>
      <c r="I22" s="11"/>
    </row>
    <row r="23" spans="1:9" x14ac:dyDescent="0.3">
      <c r="A23" s="6"/>
      <c r="B23" s="10" t="s">
        <v>544</v>
      </c>
      <c r="C23" s="18">
        <f>C5+C21*C11</f>
        <v>0.11662921067014925</v>
      </c>
      <c r="D23" s="6"/>
      <c r="E23" s="6"/>
      <c r="F23" s="6"/>
      <c r="G23" s="6"/>
      <c r="H23" s="6"/>
      <c r="I23" s="11" t="s">
        <v>545</v>
      </c>
    </row>
    <row r="24" spans="1:9" x14ac:dyDescent="0.3">
      <c r="A24" s="6"/>
      <c r="B24" s="10" t="s">
        <v>546</v>
      </c>
      <c r="C24" s="18">
        <f>Inputs!$C$17/Inputs!$C$10+0.04</f>
        <v>0.10812652068126521</v>
      </c>
      <c r="D24" s="6"/>
      <c r="E24" s="6"/>
      <c r="F24" s="6"/>
      <c r="G24" s="6"/>
      <c r="H24" s="6"/>
      <c r="I24" s="11" t="s">
        <v>547</v>
      </c>
    </row>
    <row r="25" spans="1:9" x14ac:dyDescent="0.3">
      <c r="A25" s="6"/>
      <c r="B25" s="10" t="s">
        <v>548</v>
      </c>
      <c r="C25" s="40">
        <v>3</v>
      </c>
      <c r="D25" s="6"/>
      <c r="E25" s="6"/>
      <c r="F25" s="6"/>
      <c r="G25" s="6"/>
      <c r="H25" s="6"/>
      <c r="I25" s="11" t="s">
        <v>549</v>
      </c>
    </row>
    <row r="26" spans="1:9" x14ac:dyDescent="0.3">
      <c r="A26" s="6"/>
      <c r="B26" s="10" t="s">
        <v>550</v>
      </c>
      <c r="C26" s="56">
        <f>CHOOSE(C25,C22,C23,AVERAGE(C22,C23))</f>
        <v>0.10727921067014926</v>
      </c>
      <c r="D26" s="6"/>
      <c r="E26" s="6"/>
      <c r="F26" s="6"/>
      <c r="G26" s="6"/>
      <c r="H26" s="6"/>
      <c r="I26" s="11"/>
    </row>
    <row r="27" spans="1:9" x14ac:dyDescent="0.3">
      <c r="A27" s="6"/>
      <c r="B27" s="6"/>
      <c r="C27" s="6"/>
      <c r="D27" s="6"/>
      <c r="E27" s="6"/>
      <c r="F27" s="6"/>
      <c r="G27" s="6"/>
      <c r="H27" s="6"/>
      <c r="I27" s="6"/>
    </row>
    <row r="28" spans="1:9" x14ac:dyDescent="0.3">
      <c r="A28" s="6"/>
      <c r="B28" s="7" t="s">
        <v>551</v>
      </c>
      <c r="C28" s="7"/>
      <c r="D28" s="7"/>
      <c r="E28" s="7"/>
      <c r="F28" s="7"/>
      <c r="G28" s="7"/>
      <c r="H28" s="7"/>
      <c r="I28" s="7"/>
    </row>
    <row r="29" spans="1:9" x14ac:dyDescent="0.3">
      <c r="A29" s="6"/>
      <c r="B29" s="10" t="s">
        <v>552</v>
      </c>
      <c r="C29" s="18">
        <v>7.2999999999999995E-2</v>
      </c>
      <c r="D29" s="6"/>
      <c r="E29" s="6"/>
      <c r="F29" s="6"/>
      <c r="G29" s="6"/>
      <c r="H29" s="6"/>
      <c r="I29" s="11" t="s">
        <v>553</v>
      </c>
    </row>
    <row r="30" spans="1:9" x14ac:dyDescent="0.3">
      <c r="A30" s="6"/>
      <c r="B30" s="10" t="s">
        <v>554</v>
      </c>
      <c r="C30" s="36">
        <v>7.4999999999999997E-2</v>
      </c>
      <c r="D30" s="6"/>
      <c r="E30" s="6"/>
      <c r="F30" s="6"/>
      <c r="G30" s="6"/>
      <c r="H30" s="6"/>
      <c r="I30" s="11" t="s">
        <v>555</v>
      </c>
    </row>
    <row r="31" spans="1:9" x14ac:dyDescent="0.3">
      <c r="A31" s="6"/>
      <c r="B31" s="10" t="s">
        <v>556</v>
      </c>
      <c r="C31" s="18">
        <f>C30-C5</f>
        <v>2.6999999999999941E-3</v>
      </c>
      <c r="D31" s="6"/>
      <c r="E31" s="6"/>
      <c r="F31" s="6"/>
      <c r="G31" s="6"/>
      <c r="H31" s="6"/>
      <c r="I31" s="11" t="s">
        <v>557</v>
      </c>
    </row>
    <row r="32" spans="1:9" x14ac:dyDescent="0.3">
      <c r="A32" s="6"/>
      <c r="B32" s="10" t="s">
        <v>558</v>
      </c>
      <c r="C32" s="18">
        <f>C30*(1-C20)</f>
        <v>5.6122499999999999E-2</v>
      </c>
      <c r="D32" s="6"/>
      <c r="E32" s="6"/>
      <c r="F32" s="6"/>
      <c r="G32" s="6"/>
      <c r="H32" s="6"/>
      <c r="I32" s="11"/>
    </row>
    <row r="33" spans="1:9" x14ac:dyDescent="0.3">
      <c r="A33" s="6"/>
      <c r="B33" s="10" t="s">
        <v>559</v>
      </c>
      <c r="C33" s="15">
        <f>Fin_Proj!I60</f>
        <v>1.9673761716136011</v>
      </c>
      <c r="D33" s="6"/>
      <c r="E33" s="6"/>
      <c r="F33" s="6"/>
      <c r="G33" s="6"/>
      <c r="H33" s="6"/>
      <c r="I33" s="11"/>
    </row>
    <row r="34" spans="1:9" x14ac:dyDescent="0.3">
      <c r="A34" s="6"/>
      <c r="B34" s="10" t="s">
        <v>560</v>
      </c>
      <c r="C34" s="10" t="str">
        <f>LOOKUP(C33,F6:F18,G6:G18)</f>
        <v>B1/B+</v>
      </c>
      <c r="D34" s="6"/>
      <c r="E34" s="6"/>
      <c r="F34" s="6"/>
      <c r="G34" s="6"/>
      <c r="H34" s="6"/>
      <c r="I34" s="11" t="s">
        <v>561</v>
      </c>
    </row>
    <row r="35" spans="1:9" x14ac:dyDescent="0.3">
      <c r="A35" s="6"/>
      <c r="B35" s="10" t="s">
        <v>562</v>
      </c>
      <c r="C35" s="18">
        <f>LOOKUP(C33,F6:F18,H6:H18)</f>
        <v>3.5000000000000003E-2</v>
      </c>
      <c r="D35" s="6"/>
      <c r="E35" s="6"/>
      <c r="F35" s="6"/>
      <c r="G35" s="6"/>
      <c r="H35" s="6"/>
      <c r="I35" s="11"/>
    </row>
    <row r="36" spans="1:9" x14ac:dyDescent="0.3">
      <c r="A36" s="6"/>
      <c r="B36" s="10" t="s">
        <v>563</v>
      </c>
      <c r="C36" s="18">
        <f>C5+C35</f>
        <v>0.10730000000000001</v>
      </c>
      <c r="D36" s="6"/>
      <c r="E36" s="6"/>
      <c r="F36" s="6"/>
      <c r="G36" s="6"/>
      <c r="H36" s="6"/>
      <c r="I36" s="11"/>
    </row>
    <row r="37" spans="1:9" x14ac:dyDescent="0.3">
      <c r="A37" s="6"/>
      <c r="B37" s="6"/>
      <c r="C37" s="6"/>
      <c r="D37" s="6"/>
      <c r="E37" s="6"/>
      <c r="F37" s="6"/>
      <c r="G37" s="6"/>
      <c r="H37" s="6"/>
      <c r="I37" s="6"/>
    </row>
    <row r="38" spans="1:9" x14ac:dyDescent="0.3">
      <c r="A38" s="6"/>
      <c r="B38" s="7" t="s">
        <v>564</v>
      </c>
      <c r="C38" s="7"/>
      <c r="D38" s="7"/>
      <c r="E38" s="7"/>
      <c r="F38" s="7"/>
      <c r="G38" s="7"/>
      <c r="H38" s="7"/>
      <c r="I38" s="7"/>
    </row>
    <row r="39" spans="1:9" x14ac:dyDescent="0.3">
      <c r="A39" s="6"/>
      <c r="B39" s="10" t="s">
        <v>134</v>
      </c>
      <c r="C39" s="17">
        <f>Inputs!$C$12</f>
        <v>27286.482972720001</v>
      </c>
      <c r="D39" s="6"/>
      <c r="E39" s="6"/>
      <c r="F39" s="6"/>
      <c r="G39" s="6"/>
      <c r="H39" s="6"/>
      <c r="I39" s="11"/>
    </row>
    <row r="40" spans="1:9" x14ac:dyDescent="0.3">
      <c r="A40" s="6"/>
      <c r="B40" s="10" t="s">
        <v>565</v>
      </c>
      <c r="C40" s="17">
        <f>Inputs!$C$34</f>
        <v>14060.5648</v>
      </c>
      <c r="D40" s="6"/>
      <c r="E40" s="6"/>
      <c r="F40" s="6"/>
      <c r="G40" s="6"/>
      <c r="H40" s="6"/>
      <c r="I40" s="11"/>
    </row>
    <row r="41" spans="1:9" x14ac:dyDescent="0.3">
      <c r="A41" s="6"/>
      <c r="B41" s="10" t="s">
        <v>566</v>
      </c>
      <c r="C41" s="16">
        <f>C40/(C39+C40)</f>
        <v>0.34006212190261603</v>
      </c>
      <c r="D41" s="6"/>
      <c r="E41" s="6"/>
      <c r="F41" s="6"/>
      <c r="G41" s="6"/>
      <c r="H41" s="6"/>
      <c r="I41" s="11" t="s">
        <v>567</v>
      </c>
    </row>
    <row r="42" spans="1:9" x14ac:dyDescent="0.3">
      <c r="A42" s="6"/>
      <c r="B42" s="10" t="s">
        <v>568</v>
      </c>
      <c r="C42" s="16">
        <f>C18</f>
        <v>0.33</v>
      </c>
      <c r="D42" s="6"/>
      <c r="E42" s="6"/>
      <c r="F42" s="6"/>
      <c r="G42" s="6"/>
      <c r="H42" s="6"/>
      <c r="I42" s="11"/>
    </row>
    <row r="43" spans="1:9" x14ac:dyDescent="0.3">
      <c r="A43" s="6"/>
      <c r="B43" s="10" t="s">
        <v>569</v>
      </c>
      <c r="C43" s="16">
        <f>1-C42</f>
        <v>0.66999999999999993</v>
      </c>
      <c r="D43" s="6"/>
      <c r="E43" s="6"/>
      <c r="F43" s="6"/>
      <c r="G43" s="6"/>
      <c r="H43" s="6"/>
      <c r="I43" s="11"/>
    </row>
    <row r="44" spans="1:9" x14ac:dyDescent="0.3">
      <c r="A44" s="6"/>
      <c r="B44" s="10" t="s">
        <v>16</v>
      </c>
      <c r="C44" s="57">
        <f>C43*C26+C42*C32</f>
        <v>9.0397496149000001E-2</v>
      </c>
      <c r="D44" s="6"/>
      <c r="E44" s="6"/>
      <c r="F44" s="6"/>
      <c r="G44" s="6"/>
      <c r="H44" s="6"/>
      <c r="I44" s="11" t="s">
        <v>570</v>
      </c>
    </row>
    <row r="45" spans="1:9" x14ac:dyDescent="0.3">
      <c r="A45" s="6"/>
      <c r="B45" s="10" t="s">
        <v>571</v>
      </c>
      <c r="C45" s="18">
        <f>(1-C41)*C26+C41*C32</f>
        <v>8.9882751090100091E-2</v>
      </c>
      <c r="D45" s="6"/>
      <c r="E45" s="6"/>
      <c r="F45" s="6"/>
      <c r="G45" s="6"/>
      <c r="H45" s="6"/>
      <c r="I45" s="11" t="s">
        <v>572</v>
      </c>
    </row>
  </sheetData>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T106"/>
  <sheetViews>
    <sheetView zoomScale="90" zoomScaleNormal="90" workbookViewId="0">
      <pane xSplit="2" ySplit="5" topLeftCell="C6" activePane="bottomRight" state="frozen"/>
      <selection pane="topRight" activeCell="C1" sqref="C1"/>
      <selection pane="bottomLeft" activeCell="A6" sqref="A6"/>
      <selection pane="bottomRight" activeCell="B1" sqref="B1"/>
    </sheetView>
  </sheetViews>
  <sheetFormatPr defaultColWidth="8.6640625" defaultRowHeight="14.4" x14ac:dyDescent="0.3"/>
  <cols>
    <col min="1" max="1" width="2" customWidth="1"/>
    <col min="2" max="2" width="52" customWidth="1"/>
    <col min="3" max="3" width="14" customWidth="1"/>
    <col min="4" max="18" width="11.44140625" customWidth="1"/>
    <col min="19" max="19" width="3" customWidth="1"/>
    <col min="20" max="20" width="60" customWidth="1"/>
  </cols>
  <sheetData>
    <row r="1" spans="1:20" ht="24" customHeight="1" x14ac:dyDescent="0.3">
      <c r="A1" s="2"/>
      <c r="B1" s="4" t="s">
        <v>1010</v>
      </c>
      <c r="C1" s="2"/>
      <c r="D1" s="2"/>
      <c r="E1" s="2"/>
      <c r="F1" s="2"/>
      <c r="G1" s="2"/>
      <c r="H1" s="2"/>
      <c r="I1" s="2"/>
      <c r="J1" s="2"/>
      <c r="K1" s="2"/>
      <c r="L1" s="2"/>
      <c r="M1" s="2"/>
      <c r="N1" s="2"/>
      <c r="O1" s="2"/>
      <c r="P1" s="2"/>
      <c r="Q1" s="2"/>
      <c r="R1" s="2"/>
      <c r="S1" s="2"/>
      <c r="T1" s="2"/>
    </row>
    <row r="2" spans="1:20" x14ac:dyDescent="0.3">
      <c r="A2" s="2"/>
      <c r="B2" s="14" t="s">
        <v>573</v>
      </c>
      <c r="C2" s="2"/>
      <c r="D2" s="2"/>
      <c r="E2" s="2"/>
      <c r="F2" s="2"/>
      <c r="G2" s="2"/>
      <c r="H2" s="2"/>
      <c r="I2" s="2"/>
      <c r="J2" s="2"/>
      <c r="K2" s="2"/>
      <c r="L2" s="2"/>
      <c r="M2" s="2"/>
      <c r="N2" s="2"/>
      <c r="O2" s="2"/>
      <c r="P2" s="2"/>
      <c r="Q2" s="2"/>
      <c r="R2" s="2"/>
      <c r="S2" s="2"/>
      <c r="T2" s="2"/>
    </row>
    <row r="3" spans="1:20" x14ac:dyDescent="0.3">
      <c r="A3" s="6"/>
      <c r="B3" s="7" t="s">
        <v>574</v>
      </c>
      <c r="C3" s="7"/>
      <c r="D3" s="7"/>
      <c r="E3" s="7"/>
      <c r="F3" s="7"/>
      <c r="G3" s="7"/>
      <c r="H3" s="7"/>
      <c r="I3" s="7"/>
      <c r="J3" s="7"/>
      <c r="K3" s="7"/>
      <c r="L3" s="7"/>
      <c r="M3" s="7"/>
      <c r="N3" s="7"/>
      <c r="O3" s="7"/>
      <c r="P3" s="7"/>
      <c r="Q3" s="7"/>
      <c r="R3" s="7"/>
      <c r="S3" s="6"/>
      <c r="T3" s="6"/>
    </row>
    <row r="4" spans="1:20" x14ac:dyDescent="0.3">
      <c r="A4" s="6"/>
      <c r="B4" s="23" t="s">
        <v>230</v>
      </c>
      <c r="C4" s="11" t="s">
        <v>118</v>
      </c>
      <c r="D4" s="6"/>
      <c r="E4" s="6"/>
      <c r="F4" s="6"/>
      <c r="G4" s="6"/>
      <c r="H4" s="6"/>
      <c r="I4" s="58" t="s">
        <v>87</v>
      </c>
      <c r="J4" s="58" t="s">
        <v>88</v>
      </c>
      <c r="K4" s="58" t="s">
        <v>89</v>
      </c>
      <c r="L4" s="58" t="s">
        <v>412</v>
      </c>
      <c r="M4" s="58" t="s">
        <v>90</v>
      </c>
      <c r="N4" s="58" t="s">
        <v>413</v>
      </c>
      <c r="O4" s="58" t="s">
        <v>414</v>
      </c>
      <c r="P4" s="58" t="s">
        <v>415</v>
      </c>
      <c r="Q4" s="58" t="s">
        <v>416</v>
      </c>
      <c r="R4" s="58" t="s">
        <v>91</v>
      </c>
      <c r="S4" s="6"/>
      <c r="T4" s="6"/>
    </row>
    <row r="5" spans="1:20" x14ac:dyDescent="0.3">
      <c r="A5" s="6"/>
      <c r="B5" s="11" t="s">
        <v>575</v>
      </c>
      <c r="C5" s="6"/>
      <c r="D5" s="6"/>
      <c r="E5" s="6"/>
      <c r="F5" s="6"/>
      <c r="G5" s="6"/>
      <c r="H5" s="6"/>
      <c r="I5" s="59">
        <f>Fin_Proj!I5</f>
        <v>1</v>
      </c>
      <c r="J5" s="59">
        <f>Fin_Proj!J5</f>
        <v>2</v>
      </c>
      <c r="K5" s="59">
        <f>Fin_Proj!K5</f>
        <v>3</v>
      </c>
      <c r="L5" s="59">
        <f>Fin_Proj!L5</f>
        <v>4</v>
      </c>
      <c r="M5" s="59">
        <f>Fin_Proj!M5</f>
        <v>5</v>
      </c>
      <c r="N5" s="59">
        <f>Fin_Proj!N5</f>
        <v>6</v>
      </c>
      <c r="O5" s="59">
        <f>Fin_Proj!O5</f>
        <v>7</v>
      </c>
      <c r="P5" s="59">
        <f>Fin_Proj!P5</f>
        <v>8</v>
      </c>
      <c r="Q5" s="59">
        <f>Fin_Proj!Q5</f>
        <v>9</v>
      </c>
      <c r="R5" s="59">
        <f>Fin_Proj!R5</f>
        <v>10</v>
      </c>
      <c r="S5" s="6"/>
      <c r="T5" s="6"/>
    </row>
    <row r="6" spans="1:20" x14ac:dyDescent="0.3">
      <c r="A6" s="6"/>
      <c r="B6" s="10" t="s">
        <v>93</v>
      </c>
      <c r="C6" s="6"/>
      <c r="D6" s="6"/>
      <c r="E6" s="6"/>
      <c r="F6" s="6"/>
      <c r="G6" s="6"/>
      <c r="H6" s="6"/>
      <c r="I6" s="45">
        <f>Fin_Proj!I29</f>
        <v>2776.0208627531651</v>
      </c>
      <c r="J6" s="45">
        <f>Fin_Proj!J29</f>
        <v>3005.6346487717296</v>
      </c>
      <c r="K6" s="45">
        <f>Fin_Proj!K29</f>
        <v>3200.1394055053397</v>
      </c>
      <c r="L6" s="45">
        <f>Fin_Proj!L29</f>
        <v>3360.1463757806073</v>
      </c>
      <c r="M6" s="45">
        <f>Fin_Proj!M29</f>
        <v>3528.1536945696384</v>
      </c>
      <c r="N6" s="45">
        <f>Fin_Proj!N29</f>
        <v>3704.5613792981198</v>
      </c>
      <c r="O6" s="45">
        <f>Fin_Proj!O29</f>
        <v>3889.7894482630263</v>
      </c>
      <c r="P6" s="45">
        <f>Fin_Proj!P29</f>
        <v>4084.2789206761768</v>
      </c>
      <c r="Q6" s="45">
        <f>Fin_Proj!Q29</f>
        <v>4288.4928667099857</v>
      </c>
      <c r="R6" s="45">
        <f>Fin_Proj!R29</f>
        <v>4502.917510045485</v>
      </c>
      <c r="S6" s="6"/>
      <c r="T6" s="6"/>
    </row>
    <row r="7" spans="1:20" x14ac:dyDescent="0.3">
      <c r="A7" s="6"/>
      <c r="B7" s="10" t="s">
        <v>450</v>
      </c>
      <c r="C7" s="6"/>
      <c r="D7" s="6"/>
      <c r="E7" s="6"/>
      <c r="F7" s="6"/>
      <c r="G7" s="6"/>
      <c r="H7" s="6"/>
      <c r="I7" s="45">
        <f>Fin_Proj!I31</f>
        <v>580</v>
      </c>
      <c r="J7" s="45">
        <f>Fin_Proj!J31</f>
        <v>589.17721518987344</v>
      </c>
      <c r="K7" s="45">
        <f>Fin_Proj!K31</f>
        <v>602.4331926863573</v>
      </c>
      <c r="L7" s="45">
        <f>Fin_Proj!L31</f>
        <v>608.45752461322093</v>
      </c>
      <c r="M7" s="45">
        <f>Fin_Proj!M31</f>
        <v>614.54209985935313</v>
      </c>
      <c r="N7" s="45">
        <f>Fin_Proj!N31</f>
        <v>620.68752085794665</v>
      </c>
      <c r="O7" s="45">
        <f>Fin_Proj!O31</f>
        <v>626.89439606652616</v>
      </c>
      <c r="P7" s="45">
        <f>Fin_Proj!P31</f>
        <v>633.16334002719145</v>
      </c>
      <c r="Q7" s="45">
        <f>Fin_Proj!Q31</f>
        <v>639.49497342746338</v>
      </c>
      <c r="R7" s="45">
        <f>Fin_Proj!R31</f>
        <v>645.88992316173801</v>
      </c>
      <c r="S7" s="6"/>
      <c r="T7" s="6"/>
    </row>
    <row r="8" spans="1:20" x14ac:dyDescent="0.3">
      <c r="A8" s="6"/>
      <c r="B8" s="10" t="s">
        <v>451</v>
      </c>
      <c r="C8" s="6"/>
      <c r="D8" s="6"/>
      <c r="E8" s="6"/>
      <c r="F8" s="6"/>
      <c r="G8" s="6"/>
      <c r="H8" s="6"/>
      <c r="I8" s="45">
        <f t="shared" ref="I8:R8" si="0">I6-I7</f>
        <v>2196.0208627531651</v>
      </c>
      <c r="J8" s="45">
        <f t="shared" si="0"/>
        <v>2416.4574335818561</v>
      </c>
      <c r="K8" s="45">
        <f t="shared" si="0"/>
        <v>2597.7062128189823</v>
      </c>
      <c r="L8" s="45">
        <f t="shared" si="0"/>
        <v>2751.6888511673865</v>
      </c>
      <c r="M8" s="45">
        <f t="shared" si="0"/>
        <v>2913.6115947102853</v>
      </c>
      <c r="N8" s="45">
        <f t="shared" si="0"/>
        <v>3083.8738584401731</v>
      </c>
      <c r="O8" s="45">
        <f t="shared" si="0"/>
        <v>3262.8950521965003</v>
      </c>
      <c r="P8" s="45">
        <f t="shared" si="0"/>
        <v>3451.1155806489851</v>
      </c>
      <c r="Q8" s="45">
        <f t="shared" si="0"/>
        <v>3648.9978932825225</v>
      </c>
      <c r="R8" s="45">
        <f t="shared" si="0"/>
        <v>3857.0275868837471</v>
      </c>
      <c r="S8" s="6"/>
      <c r="T8" s="6"/>
    </row>
    <row r="9" spans="1:20" x14ac:dyDescent="0.3">
      <c r="A9" s="6"/>
      <c r="B9" s="10" t="s">
        <v>576</v>
      </c>
      <c r="C9" s="6"/>
      <c r="D9" s="6"/>
      <c r="E9" s="6"/>
      <c r="F9" s="6"/>
      <c r="G9" s="6"/>
      <c r="H9" s="6"/>
      <c r="I9" s="29">
        <f>Fin_Proj!I13</f>
        <v>0.24</v>
      </c>
      <c r="J9" s="29">
        <f>Fin_Proj!J13</f>
        <v>0.25</v>
      </c>
      <c r="K9" s="29">
        <f>Fin_Proj!K13</f>
        <v>0.26</v>
      </c>
      <c r="L9" s="29">
        <f>Fin_Proj!L13</f>
        <v>0.25169999999999998</v>
      </c>
      <c r="M9" s="29">
        <f>Fin_Proj!M13</f>
        <v>0.25169999999999998</v>
      </c>
      <c r="N9" s="29">
        <f>Fin_Proj!N13</f>
        <v>0.25169999999999998</v>
      </c>
      <c r="O9" s="29">
        <f>Fin_Proj!O13</f>
        <v>0.25169999999999998</v>
      </c>
      <c r="P9" s="29">
        <f>Fin_Proj!P13</f>
        <v>0.25169999999999998</v>
      </c>
      <c r="Q9" s="29">
        <f>Fin_Proj!Q13</f>
        <v>0.25169999999999998</v>
      </c>
      <c r="R9" s="29">
        <f>Fin_Proj!R13</f>
        <v>0.25169999999999998</v>
      </c>
      <c r="S9" s="6"/>
      <c r="T9" s="6"/>
    </row>
    <row r="10" spans="1:20" x14ac:dyDescent="0.3">
      <c r="A10" s="6"/>
      <c r="B10" s="10" t="s">
        <v>577</v>
      </c>
      <c r="C10" s="6"/>
      <c r="D10" s="6"/>
      <c r="E10" s="6"/>
      <c r="F10" s="6"/>
      <c r="G10" s="6"/>
      <c r="H10" s="6"/>
      <c r="I10" s="45">
        <f t="shared" ref="I10:R10" si="1">I8*I9</f>
        <v>527.04500706075964</v>
      </c>
      <c r="J10" s="45">
        <f t="shared" si="1"/>
        <v>604.11435839546402</v>
      </c>
      <c r="K10" s="45">
        <f t="shared" si="1"/>
        <v>675.40361533293537</v>
      </c>
      <c r="L10" s="45">
        <f t="shared" si="1"/>
        <v>692.6000838388311</v>
      </c>
      <c r="M10" s="45">
        <f t="shared" si="1"/>
        <v>733.35603838857878</v>
      </c>
      <c r="N10" s="45">
        <f t="shared" si="1"/>
        <v>776.21105016939146</v>
      </c>
      <c r="O10" s="45">
        <f t="shared" si="1"/>
        <v>821.27068463785906</v>
      </c>
      <c r="P10" s="45">
        <f t="shared" si="1"/>
        <v>868.64579164934946</v>
      </c>
      <c r="Q10" s="45">
        <f t="shared" si="1"/>
        <v>918.45276973921079</v>
      </c>
      <c r="R10" s="45">
        <f t="shared" si="1"/>
        <v>970.81384361863911</v>
      </c>
      <c r="S10" s="6"/>
      <c r="T10" s="6"/>
    </row>
    <row r="11" spans="1:20" x14ac:dyDescent="0.3">
      <c r="A11" s="6"/>
      <c r="B11" s="23" t="s">
        <v>578</v>
      </c>
      <c r="C11" s="6"/>
      <c r="D11" s="6"/>
      <c r="E11" s="6"/>
      <c r="F11" s="6"/>
      <c r="G11" s="6"/>
      <c r="H11" s="6"/>
      <c r="I11" s="52">
        <f t="shared" ref="I11:R11" si="2">I8-I10</f>
        <v>1668.9758556924055</v>
      </c>
      <c r="J11" s="52">
        <f t="shared" si="2"/>
        <v>1812.3430751863921</v>
      </c>
      <c r="K11" s="52">
        <f t="shared" si="2"/>
        <v>1922.302597486047</v>
      </c>
      <c r="L11" s="52">
        <f t="shared" si="2"/>
        <v>2059.0887673285552</v>
      </c>
      <c r="M11" s="52">
        <f t="shared" si="2"/>
        <v>2180.2555563217065</v>
      </c>
      <c r="N11" s="52">
        <f t="shared" si="2"/>
        <v>2307.6628082707816</v>
      </c>
      <c r="O11" s="52">
        <f t="shared" si="2"/>
        <v>2441.6243675586411</v>
      </c>
      <c r="P11" s="52">
        <f t="shared" si="2"/>
        <v>2582.4697889996355</v>
      </c>
      <c r="Q11" s="52">
        <f t="shared" si="2"/>
        <v>2730.5451235433115</v>
      </c>
      <c r="R11" s="52">
        <f t="shared" si="2"/>
        <v>2886.213743265108</v>
      </c>
      <c r="S11" s="6"/>
      <c r="T11" s="6"/>
    </row>
    <row r="12" spans="1:20" x14ac:dyDescent="0.3">
      <c r="A12" s="6"/>
      <c r="B12" s="10" t="s">
        <v>579</v>
      </c>
      <c r="C12" s="6"/>
      <c r="D12" s="6"/>
      <c r="E12" s="6"/>
      <c r="F12" s="6"/>
      <c r="G12" s="6"/>
      <c r="H12" s="6"/>
      <c r="I12" s="45">
        <f t="shared" ref="I12:R12" si="3">I7</f>
        <v>580</v>
      </c>
      <c r="J12" s="45">
        <f t="shared" si="3"/>
        <v>589.17721518987344</v>
      </c>
      <c r="K12" s="45">
        <f t="shared" si="3"/>
        <v>602.4331926863573</v>
      </c>
      <c r="L12" s="45">
        <f t="shared" si="3"/>
        <v>608.45752461322093</v>
      </c>
      <c r="M12" s="45">
        <f t="shared" si="3"/>
        <v>614.54209985935313</v>
      </c>
      <c r="N12" s="45">
        <f t="shared" si="3"/>
        <v>620.68752085794665</v>
      </c>
      <c r="O12" s="45">
        <f t="shared" si="3"/>
        <v>626.89439606652616</v>
      </c>
      <c r="P12" s="45">
        <f t="shared" si="3"/>
        <v>633.16334002719145</v>
      </c>
      <c r="Q12" s="45">
        <f t="shared" si="3"/>
        <v>639.49497342746338</v>
      </c>
      <c r="R12" s="45">
        <f t="shared" si="3"/>
        <v>645.88992316173801</v>
      </c>
      <c r="S12" s="6"/>
      <c r="T12" s="6"/>
    </row>
    <row r="13" spans="1:20" x14ac:dyDescent="0.3">
      <c r="A13" s="6"/>
      <c r="B13" s="10" t="s">
        <v>488</v>
      </c>
      <c r="C13" s="6"/>
      <c r="D13" s="6"/>
      <c r="E13" s="6"/>
      <c r="F13" s="6"/>
      <c r="G13" s="6"/>
      <c r="H13" s="6"/>
      <c r="I13" s="45">
        <f>-Fin_Proj!I65</f>
        <v>-68.256</v>
      </c>
      <c r="J13" s="45">
        <f>-Fin_Proj!J65</f>
        <v>-72.456119999999999</v>
      </c>
      <c r="K13" s="45">
        <f>-Fin_Proj!K65</f>
        <v>-77.420204399999989</v>
      </c>
      <c r="L13" s="45">
        <f>-Fin_Proj!L65</f>
        <v>-80.904113597999981</v>
      </c>
      <c r="M13" s="45">
        <f>-Fin_Proj!M65</f>
        <v>-84.544798709909969</v>
      </c>
      <c r="N13" s="45">
        <f>-Fin_Proj!N65</f>
        <v>-88.349314651855906</v>
      </c>
      <c r="O13" s="45">
        <f>-Fin_Proj!O65</f>
        <v>-92.3250338111894</v>
      </c>
      <c r="P13" s="45">
        <f>-Fin_Proj!P65</f>
        <v>-96.47966033269293</v>
      </c>
      <c r="Q13" s="45">
        <f>-Fin_Proj!Q65</f>
        <v>-100.82124504766409</v>
      </c>
      <c r="R13" s="45">
        <f>-Fin_Proj!R65</f>
        <v>-105.35820107480896</v>
      </c>
      <c r="S13" s="6"/>
      <c r="T13" s="6"/>
    </row>
    <row r="14" spans="1:20" x14ac:dyDescent="0.3">
      <c r="A14" s="6"/>
      <c r="B14" s="10" t="s">
        <v>580</v>
      </c>
      <c r="C14" s="6"/>
      <c r="D14" s="6"/>
      <c r="E14" s="6"/>
      <c r="F14" s="6"/>
      <c r="G14" s="6"/>
      <c r="H14" s="6"/>
      <c r="I14" s="45">
        <f>-Fin_Proj!I66</f>
        <v>-146.25</v>
      </c>
      <c r="J14" s="45">
        <f>-Fin_Proj!J66</f>
        <v>-357.5</v>
      </c>
      <c r="K14" s="45">
        <f>-Fin_Proj!K66</f>
        <v>-211.25</v>
      </c>
      <c r="L14" s="45">
        <f>-Fin_Proj!L66</f>
        <v>0</v>
      </c>
      <c r="M14" s="45">
        <f>-Fin_Proj!M66</f>
        <v>0</v>
      </c>
      <c r="N14" s="45">
        <f>-Fin_Proj!N66</f>
        <v>0</v>
      </c>
      <c r="O14" s="45">
        <f>-Fin_Proj!O66</f>
        <v>0</v>
      </c>
      <c r="P14" s="45">
        <f>-Fin_Proj!P66</f>
        <v>0</v>
      </c>
      <c r="Q14" s="45">
        <f>-Fin_Proj!Q66</f>
        <v>0</v>
      </c>
      <c r="R14" s="45">
        <f>-Fin_Proj!R66</f>
        <v>0</v>
      </c>
      <c r="S14" s="6"/>
      <c r="T14" s="6"/>
    </row>
    <row r="15" spans="1:20" x14ac:dyDescent="0.3">
      <c r="A15" s="6"/>
      <c r="B15" s="10" t="s">
        <v>581</v>
      </c>
      <c r="C15" s="6"/>
      <c r="D15" s="6"/>
      <c r="E15" s="6"/>
      <c r="F15" s="6"/>
      <c r="G15" s="6"/>
      <c r="H15" s="6"/>
      <c r="I15" s="45">
        <f>-Fin_Proj!I67</f>
        <v>-150</v>
      </c>
      <c r="J15" s="45">
        <f>-Fin_Proj!J67</f>
        <v>-150</v>
      </c>
      <c r="K15" s="45">
        <f>-Fin_Proj!K67</f>
        <v>-150</v>
      </c>
      <c r="L15" s="45">
        <f>-Fin_Proj!L67</f>
        <v>-100</v>
      </c>
      <c r="M15" s="45">
        <f>-Fin_Proj!M67</f>
        <v>-100</v>
      </c>
      <c r="N15" s="45">
        <f>-Fin_Proj!N67</f>
        <v>-100</v>
      </c>
      <c r="O15" s="45">
        <f>-Fin_Proj!O67</f>
        <v>-100</v>
      </c>
      <c r="P15" s="45">
        <f>-Fin_Proj!P67</f>
        <v>-100</v>
      </c>
      <c r="Q15" s="45">
        <f>-Fin_Proj!Q67</f>
        <v>-100</v>
      </c>
      <c r="R15" s="45">
        <f>-Fin_Proj!R67</f>
        <v>-100</v>
      </c>
      <c r="S15" s="6"/>
      <c r="T15" s="6"/>
    </row>
    <row r="16" spans="1:20" x14ac:dyDescent="0.3">
      <c r="A16" s="6"/>
      <c r="B16" s="10" t="s">
        <v>582</v>
      </c>
      <c r="C16" s="6"/>
      <c r="D16" s="6"/>
      <c r="E16" s="6"/>
      <c r="F16" s="6"/>
      <c r="G16" s="6"/>
      <c r="H16" s="6"/>
      <c r="I16" s="45">
        <f>-Fin_Proj!I70</f>
        <v>48.724075703070582</v>
      </c>
      <c r="J16" s="45">
        <f>-Fin_Proj!J70</f>
        <v>10.344605525675803</v>
      </c>
      <c r="K16" s="45">
        <f>-Fin_Proj!K70</f>
        <v>10.42787390569319</v>
      </c>
      <c r="L16" s="45">
        <f>-Fin_Proj!L70</f>
        <v>10.880475256722008</v>
      </c>
      <c r="M16" s="45">
        <f>-Fin_Proj!M70</f>
        <v>11.424499019558112</v>
      </c>
      <c r="N16" s="45">
        <f>-Fin_Proj!N70</f>
        <v>11.995723970535977</v>
      </c>
      <c r="O16" s="45">
        <f>-Fin_Proj!O70</f>
        <v>12.595510169062806</v>
      </c>
      <c r="P16" s="45">
        <f>-Fin_Proj!P70</f>
        <v>13.225285677515899</v>
      </c>
      <c r="Q16" s="45">
        <f>-Fin_Proj!Q70</f>
        <v>13.886549961391722</v>
      </c>
      <c r="R16" s="45">
        <f>-Fin_Proj!R70</f>
        <v>14.580877459461306</v>
      </c>
      <c r="S16" s="6"/>
      <c r="T16" s="6"/>
    </row>
    <row r="17" spans="1:20" x14ac:dyDescent="0.3">
      <c r="A17" s="6"/>
      <c r="B17" s="19" t="s">
        <v>583</v>
      </c>
      <c r="C17" s="20"/>
      <c r="D17" s="20"/>
      <c r="E17" s="20"/>
      <c r="F17" s="20"/>
      <c r="G17" s="20"/>
      <c r="H17" s="20"/>
      <c r="I17" s="60">
        <f t="shared" ref="I17:R17" si="4">SUM(I11:I16)</f>
        <v>1933.1939313954761</v>
      </c>
      <c r="J17" s="60">
        <f t="shared" si="4"/>
        <v>1831.9087759019417</v>
      </c>
      <c r="K17" s="60">
        <f t="shared" si="4"/>
        <v>2096.4934596780977</v>
      </c>
      <c r="L17" s="60">
        <f t="shared" si="4"/>
        <v>2497.522653600498</v>
      </c>
      <c r="M17" s="60">
        <f t="shared" si="4"/>
        <v>2621.6773564907076</v>
      </c>
      <c r="N17" s="60">
        <f t="shared" si="4"/>
        <v>2751.9967384474085</v>
      </c>
      <c r="O17" s="60">
        <f t="shared" si="4"/>
        <v>2888.7892399830407</v>
      </c>
      <c r="P17" s="60">
        <f t="shared" si="4"/>
        <v>3032.3787543716498</v>
      </c>
      <c r="Q17" s="60">
        <f t="shared" si="4"/>
        <v>3183.1054018845025</v>
      </c>
      <c r="R17" s="60">
        <f t="shared" si="4"/>
        <v>3341.3263428114979</v>
      </c>
      <c r="S17" s="6"/>
      <c r="T17" s="6"/>
    </row>
    <row r="18" spans="1:20" x14ac:dyDescent="0.3">
      <c r="A18" s="6"/>
      <c r="B18" s="10" t="s">
        <v>584</v>
      </c>
      <c r="C18" s="6"/>
      <c r="D18" s="6"/>
      <c r="E18" s="6"/>
      <c r="F18" s="6"/>
      <c r="G18" s="6"/>
      <c r="H18" s="6"/>
      <c r="I18" s="48">
        <f>IF(I5=1,Inputs!$C$9,1)</f>
        <v>0.47123287671232877</v>
      </c>
      <c r="J18" s="48">
        <f>IF(J5=1,Inputs!$C$9,1)</f>
        <v>1</v>
      </c>
      <c r="K18" s="48">
        <f>IF(K5=1,Inputs!$C$9,1)</f>
        <v>1</v>
      </c>
      <c r="L18" s="48">
        <f>IF(L5=1,Inputs!$C$9,1)</f>
        <v>1</v>
      </c>
      <c r="M18" s="48">
        <f>IF(M5=1,Inputs!$C$9,1)</f>
        <v>1</v>
      </c>
      <c r="N18" s="48">
        <f>IF(N5=1,Inputs!$C$9,1)</f>
        <v>1</v>
      </c>
      <c r="O18" s="48">
        <f>IF(O5=1,Inputs!$C$9,1)</f>
        <v>1</v>
      </c>
      <c r="P18" s="48">
        <f>IF(P5=1,Inputs!$C$9,1)</f>
        <v>1</v>
      </c>
      <c r="Q18" s="48">
        <f>IF(Q5=1,Inputs!$C$9,1)</f>
        <v>1</v>
      </c>
      <c r="R18" s="48">
        <f>IF(R5=1,Inputs!$C$9,1)</f>
        <v>1</v>
      </c>
      <c r="S18" s="6"/>
      <c r="T18" s="6"/>
    </row>
    <row r="19" spans="1:20" x14ac:dyDescent="0.3">
      <c r="A19" s="6"/>
      <c r="B19" s="10" t="s">
        <v>585</v>
      </c>
      <c r="C19" s="6"/>
      <c r="D19" s="6"/>
      <c r="E19" s="6"/>
      <c r="F19" s="6"/>
      <c r="G19" s="6"/>
      <c r="H19" s="6"/>
      <c r="I19" s="45">
        <f t="shared" ref="I19:R19" si="5">I17*I18</f>
        <v>910.98453753430658</v>
      </c>
      <c r="J19" s="45">
        <f t="shared" si="5"/>
        <v>1831.9087759019417</v>
      </c>
      <c r="K19" s="45">
        <f t="shared" si="5"/>
        <v>2096.4934596780977</v>
      </c>
      <c r="L19" s="45">
        <f t="shared" si="5"/>
        <v>2497.522653600498</v>
      </c>
      <c r="M19" s="45">
        <f t="shared" si="5"/>
        <v>2621.6773564907076</v>
      </c>
      <c r="N19" s="45">
        <f t="shared" si="5"/>
        <v>2751.9967384474085</v>
      </c>
      <c r="O19" s="45">
        <f t="shared" si="5"/>
        <v>2888.7892399830407</v>
      </c>
      <c r="P19" s="45">
        <f t="shared" si="5"/>
        <v>3032.3787543716498</v>
      </c>
      <c r="Q19" s="45">
        <f t="shared" si="5"/>
        <v>3183.1054018845025</v>
      </c>
      <c r="R19" s="45">
        <f t="shared" si="5"/>
        <v>3341.3263428114979</v>
      </c>
      <c r="S19" s="6"/>
      <c r="T19" s="6"/>
    </row>
    <row r="20" spans="1:20" x14ac:dyDescent="0.3">
      <c r="A20" s="6"/>
      <c r="B20" s="10" t="s">
        <v>586</v>
      </c>
      <c r="C20" s="6"/>
      <c r="D20" s="6"/>
      <c r="E20" s="6"/>
      <c r="F20" s="6"/>
      <c r="G20" s="6"/>
      <c r="H20" s="6"/>
      <c r="I20" s="48">
        <f>IF(I5=1,Inputs!$C$9/2,Inputs!$C$9+I5-1.5)</f>
        <v>0.23561643835616439</v>
      </c>
      <c r="J20" s="48">
        <f>IF(J5=1,Inputs!$C$9/2,Inputs!$C$9+J5-1.5)</f>
        <v>0.97123287671232861</v>
      </c>
      <c r="K20" s="48">
        <f>IF(K5=1,Inputs!$C$9/2,Inputs!$C$9+K5-1.5)</f>
        <v>1.9712328767123286</v>
      </c>
      <c r="L20" s="48">
        <f>IF(L5=1,Inputs!$C$9/2,Inputs!$C$9+L5-1.5)</f>
        <v>2.9712328767123291</v>
      </c>
      <c r="M20" s="48">
        <f>IF(M5=1,Inputs!$C$9/2,Inputs!$C$9+M5-1.5)</f>
        <v>3.9712328767123291</v>
      </c>
      <c r="N20" s="48">
        <f>IF(N5=1,Inputs!$C$9/2,Inputs!$C$9+N5-1.5)</f>
        <v>4.9712328767123291</v>
      </c>
      <c r="O20" s="48">
        <f>IF(O5=1,Inputs!$C$9/2,Inputs!$C$9+O5-1.5)</f>
        <v>5.9712328767123291</v>
      </c>
      <c r="P20" s="48">
        <f>IF(P5=1,Inputs!$C$9/2,Inputs!$C$9+P5-1.5)</f>
        <v>6.9712328767123282</v>
      </c>
      <c r="Q20" s="48">
        <f>IF(Q5=1,Inputs!$C$9/2,Inputs!$C$9+Q5-1.5)</f>
        <v>7.9712328767123282</v>
      </c>
      <c r="R20" s="48">
        <f>IF(R5=1,Inputs!$C$9/2,Inputs!$C$9+R5-1.5)</f>
        <v>8.9712328767123282</v>
      </c>
      <c r="S20" s="6"/>
      <c r="T20" s="6"/>
    </row>
    <row r="21" spans="1:20" x14ac:dyDescent="0.3">
      <c r="A21" s="6"/>
      <c r="B21" s="10" t="s">
        <v>587</v>
      </c>
      <c r="C21" s="6"/>
      <c r="D21" s="6"/>
      <c r="E21" s="6"/>
      <c r="F21" s="6"/>
      <c r="G21" s="6"/>
      <c r="H21" s="6"/>
      <c r="I21" s="48">
        <f t="shared" ref="I21:R21" si="6">1/(1+$C$25)^I20</f>
        <v>0.9798156965961814</v>
      </c>
      <c r="J21" s="48">
        <f t="shared" si="6"/>
        <v>0.91938277395388079</v>
      </c>
      <c r="K21" s="48">
        <f t="shared" si="6"/>
        <v>0.84316295406115793</v>
      </c>
      <c r="L21" s="48">
        <f t="shared" si="6"/>
        <v>0.77326200494681063</v>
      </c>
      <c r="M21" s="48">
        <f t="shared" si="6"/>
        <v>0.70915607168740824</v>
      </c>
      <c r="N21" s="48">
        <f t="shared" si="6"/>
        <v>0.65036472863516548</v>
      </c>
      <c r="O21" s="48">
        <f t="shared" si="6"/>
        <v>0.59644737898984945</v>
      </c>
      <c r="P21" s="48">
        <f t="shared" si="6"/>
        <v>0.54699995285787639</v>
      </c>
      <c r="Q21" s="48">
        <f t="shared" si="6"/>
        <v>0.50165187905304065</v>
      </c>
      <c r="R21" s="48">
        <f t="shared" si="6"/>
        <v>0.46006330794480399</v>
      </c>
      <c r="S21" s="6"/>
      <c r="T21" s="6"/>
    </row>
    <row r="22" spans="1:20" x14ac:dyDescent="0.3">
      <c r="A22" s="6"/>
      <c r="B22" s="23" t="s">
        <v>588</v>
      </c>
      <c r="C22" s="6"/>
      <c r="D22" s="6"/>
      <c r="E22" s="6"/>
      <c r="F22" s="6"/>
      <c r="G22" s="6"/>
      <c r="H22" s="6"/>
      <c r="I22" s="52">
        <f t="shared" ref="I22:R22" si="7">I19*I21</f>
        <v>892.59694923252675</v>
      </c>
      <c r="J22" s="52">
        <f t="shared" si="7"/>
        <v>1684.2253720191852</v>
      </c>
      <c r="K22" s="52">
        <f t="shared" si="7"/>
        <v>1767.685618632082</v>
      </c>
      <c r="L22" s="52">
        <f t="shared" si="7"/>
        <v>1931.2393745231998</v>
      </c>
      <c r="M22" s="52">
        <f t="shared" si="7"/>
        <v>1859.1784153607791</v>
      </c>
      <c r="N22" s="52">
        <f t="shared" si="7"/>
        <v>1789.8016120052093</v>
      </c>
      <c r="O22" s="52">
        <f t="shared" si="7"/>
        <v>1723.0107706419637</v>
      </c>
      <c r="P22" s="52">
        <f t="shared" si="7"/>
        <v>1658.7110356885185</v>
      </c>
      <c r="Q22" s="52">
        <f t="shared" si="7"/>
        <v>1596.8108060792449</v>
      </c>
      <c r="R22" s="52">
        <f t="shared" si="7"/>
        <v>1537.221650196972</v>
      </c>
      <c r="S22" s="6"/>
      <c r="T22" s="6"/>
    </row>
    <row r="23" spans="1:20" x14ac:dyDescent="0.3">
      <c r="A23" s="6"/>
      <c r="B23" s="6"/>
      <c r="C23" s="6"/>
      <c r="D23" s="6"/>
      <c r="E23" s="6"/>
      <c r="F23" s="6"/>
      <c r="G23" s="6"/>
      <c r="H23" s="6"/>
      <c r="I23" s="6"/>
      <c r="J23" s="6"/>
      <c r="K23" s="6"/>
      <c r="L23" s="6"/>
      <c r="M23" s="6"/>
      <c r="N23" s="6"/>
      <c r="O23" s="6"/>
      <c r="P23" s="6"/>
      <c r="Q23" s="6"/>
      <c r="R23" s="6"/>
      <c r="S23" s="6"/>
      <c r="T23" s="6"/>
    </row>
    <row r="24" spans="1:20" x14ac:dyDescent="0.3">
      <c r="A24" s="6"/>
      <c r="B24" s="7" t="s">
        <v>589</v>
      </c>
      <c r="C24" s="7"/>
      <c r="D24" s="7"/>
      <c r="E24" s="7"/>
      <c r="F24" s="6"/>
      <c r="G24" s="6"/>
      <c r="H24" s="6"/>
      <c r="I24" s="6"/>
      <c r="J24" s="6"/>
      <c r="K24" s="6"/>
      <c r="L24" s="6"/>
      <c r="M24" s="6"/>
      <c r="N24" s="6"/>
      <c r="O24" s="6"/>
      <c r="P24" s="6"/>
      <c r="Q24" s="6"/>
      <c r="R24" s="6"/>
      <c r="S24" s="6"/>
      <c r="T24" s="6"/>
    </row>
    <row r="25" spans="1:20" x14ac:dyDescent="0.3">
      <c r="A25" s="6"/>
      <c r="B25" s="10" t="s">
        <v>16</v>
      </c>
      <c r="C25" s="18">
        <f>WACC!$C$44</f>
        <v>9.0397496149000001E-2</v>
      </c>
      <c r="D25" s="11"/>
      <c r="E25" s="6"/>
      <c r="F25" s="6"/>
      <c r="G25" s="6"/>
      <c r="H25" s="6"/>
      <c r="I25" s="6"/>
      <c r="J25" s="6"/>
      <c r="K25" s="6"/>
      <c r="L25" s="6"/>
      <c r="M25" s="6"/>
      <c r="N25" s="6"/>
      <c r="O25" s="6"/>
      <c r="P25" s="6"/>
      <c r="Q25" s="6"/>
      <c r="R25" s="6"/>
      <c r="S25" s="6"/>
      <c r="T25" s="6"/>
    </row>
    <row r="26" spans="1:20" x14ac:dyDescent="0.3">
      <c r="A26" s="6"/>
      <c r="B26" s="10" t="s">
        <v>590</v>
      </c>
      <c r="C26" s="36">
        <v>0.04</v>
      </c>
      <c r="D26" s="11" t="s">
        <v>591</v>
      </c>
      <c r="E26" s="6"/>
      <c r="F26" s="6"/>
      <c r="G26" s="6"/>
      <c r="H26" s="6"/>
      <c r="I26" s="6"/>
      <c r="J26" s="6"/>
      <c r="K26" s="6"/>
      <c r="L26" s="6"/>
      <c r="M26" s="6"/>
      <c r="N26" s="6"/>
      <c r="O26" s="6"/>
      <c r="P26" s="6"/>
      <c r="Q26" s="6"/>
      <c r="R26" s="6"/>
      <c r="S26" s="6"/>
      <c r="T26" s="6"/>
    </row>
    <row r="27" spans="1:20" x14ac:dyDescent="0.3">
      <c r="A27" s="6"/>
      <c r="B27" s="10" t="s">
        <v>592</v>
      </c>
      <c r="C27" s="16">
        <v>0.08</v>
      </c>
      <c r="D27" s="11" t="s">
        <v>593</v>
      </c>
      <c r="E27" s="6"/>
      <c r="F27" s="6"/>
      <c r="G27" s="6"/>
      <c r="H27" s="6"/>
      <c r="I27" s="6"/>
      <c r="J27" s="6"/>
      <c r="K27" s="6"/>
      <c r="L27" s="6"/>
      <c r="M27" s="6"/>
      <c r="N27" s="6"/>
      <c r="O27" s="6"/>
      <c r="P27" s="6"/>
      <c r="Q27" s="6"/>
      <c r="R27" s="6"/>
      <c r="S27" s="6"/>
      <c r="T27" s="6"/>
    </row>
    <row r="28" spans="1:20" x14ac:dyDescent="0.3">
      <c r="A28" s="6"/>
      <c r="B28" s="10" t="s">
        <v>594</v>
      </c>
      <c r="C28" s="18">
        <f>Inputs!$C$42</f>
        <v>0.25169999999999998</v>
      </c>
      <c r="D28" s="11"/>
      <c r="E28" s="6"/>
      <c r="F28" s="6"/>
      <c r="G28" s="6"/>
      <c r="H28" s="6"/>
      <c r="I28" s="6"/>
      <c r="J28" s="6"/>
      <c r="K28" s="6"/>
      <c r="L28" s="6"/>
      <c r="M28" s="6"/>
      <c r="N28" s="6"/>
      <c r="O28" s="6"/>
      <c r="P28" s="6"/>
      <c r="Q28" s="6"/>
      <c r="R28" s="6"/>
      <c r="S28" s="6"/>
      <c r="T28" s="6"/>
    </row>
    <row r="29" spans="1:20" x14ac:dyDescent="0.3">
      <c r="A29" s="6"/>
      <c r="B29" s="10" t="s">
        <v>595</v>
      </c>
      <c r="C29" s="36">
        <v>7.4999999999999997E-2</v>
      </c>
      <c r="D29" s="11" t="s">
        <v>596</v>
      </c>
      <c r="E29" s="6"/>
      <c r="F29" s="6"/>
      <c r="G29" s="6"/>
      <c r="H29" s="6"/>
      <c r="I29" s="6"/>
      <c r="J29" s="6"/>
      <c r="K29" s="6"/>
      <c r="L29" s="6"/>
      <c r="M29" s="6"/>
      <c r="N29" s="6"/>
      <c r="O29" s="6"/>
      <c r="P29" s="6"/>
      <c r="Q29" s="6"/>
      <c r="R29" s="6"/>
      <c r="S29" s="6"/>
      <c r="T29" s="6"/>
    </row>
    <row r="30" spans="1:20" x14ac:dyDescent="0.3">
      <c r="A30" s="6"/>
      <c r="B30" s="10" t="s">
        <v>597</v>
      </c>
      <c r="C30" s="40">
        <v>1</v>
      </c>
      <c r="D30" s="11" t="s">
        <v>598</v>
      </c>
      <c r="E30" s="6"/>
      <c r="F30" s="6"/>
      <c r="G30" s="6"/>
      <c r="H30" s="6"/>
      <c r="I30" s="6"/>
      <c r="J30" s="6"/>
      <c r="K30" s="6"/>
      <c r="L30" s="6"/>
      <c r="M30" s="6"/>
      <c r="N30" s="6"/>
      <c r="O30" s="6"/>
      <c r="P30" s="6"/>
      <c r="Q30" s="6"/>
      <c r="R30" s="6"/>
      <c r="S30" s="6"/>
      <c r="T30" s="6"/>
    </row>
    <row r="31" spans="1:20" x14ac:dyDescent="0.3">
      <c r="A31" s="6"/>
      <c r="B31" s="6"/>
      <c r="C31" s="6"/>
      <c r="D31" s="6"/>
      <c r="E31" s="6"/>
      <c r="F31" s="6"/>
      <c r="G31" s="6"/>
      <c r="H31" s="6"/>
      <c r="I31" s="6"/>
      <c r="J31" s="6"/>
      <c r="K31" s="6"/>
      <c r="L31" s="6"/>
      <c r="M31" s="6"/>
      <c r="N31" s="6"/>
      <c r="O31" s="6"/>
      <c r="P31" s="6"/>
      <c r="Q31" s="6"/>
      <c r="R31" s="6"/>
      <c r="S31" s="6"/>
      <c r="T31" s="6"/>
    </row>
    <row r="32" spans="1:20" x14ac:dyDescent="0.3">
      <c r="A32" s="6"/>
      <c r="B32" s="10" t="s">
        <v>599</v>
      </c>
      <c r="C32" s="34">
        <f>R6*(1+C26)</f>
        <v>4683.0342104473048</v>
      </c>
      <c r="D32" s="11"/>
      <c r="E32" s="6"/>
      <c r="F32" s="6"/>
      <c r="G32" s="6"/>
      <c r="H32" s="6"/>
      <c r="I32" s="6"/>
      <c r="J32" s="6"/>
      <c r="K32" s="6"/>
      <c r="L32" s="6"/>
      <c r="M32" s="6"/>
      <c r="N32" s="6"/>
      <c r="O32" s="6"/>
      <c r="P32" s="6"/>
      <c r="Q32" s="6"/>
      <c r="R32" s="6"/>
      <c r="S32" s="6"/>
      <c r="T32" s="6"/>
    </row>
    <row r="33" spans="1:20" x14ac:dyDescent="0.3">
      <c r="A33" s="6"/>
      <c r="B33" s="10" t="s">
        <v>600</v>
      </c>
      <c r="C33" s="34">
        <f>C27*C32</f>
        <v>374.64273683578438</v>
      </c>
      <c r="D33" s="11"/>
      <c r="E33" s="6"/>
      <c r="F33" s="6"/>
      <c r="G33" s="6"/>
      <c r="H33" s="6"/>
      <c r="I33" s="6"/>
      <c r="J33" s="6"/>
      <c r="K33" s="6"/>
      <c r="L33" s="6"/>
      <c r="M33" s="6"/>
      <c r="N33" s="6"/>
      <c r="O33" s="6"/>
      <c r="P33" s="6"/>
      <c r="Q33" s="6"/>
      <c r="R33" s="6"/>
      <c r="S33" s="6"/>
      <c r="T33" s="6"/>
    </row>
    <row r="34" spans="1:20" x14ac:dyDescent="0.3">
      <c r="A34" s="6"/>
      <c r="B34" s="10" t="s">
        <v>601</v>
      </c>
      <c r="C34" s="34">
        <f>(C32-C33)*(1-C28)</f>
        <v>3223.9693397035003</v>
      </c>
      <c r="D34" s="11"/>
      <c r="E34" s="6"/>
      <c r="F34" s="6"/>
      <c r="G34" s="6"/>
      <c r="H34" s="6"/>
      <c r="I34" s="6"/>
      <c r="J34" s="6"/>
      <c r="K34" s="6"/>
      <c r="L34" s="6"/>
      <c r="M34" s="6"/>
      <c r="N34" s="6"/>
      <c r="O34" s="6"/>
      <c r="P34" s="6"/>
      <c r="Q34" s="6"/>
      <c r="R34" s="6"/>
      <c r="S34" s="6"/>
      <c r="T34" s="6"/>
    </row>
    <row r="35" spans="1:20" x14ac:dyDescent="0.3">
      <c r="A35" s="6"/>
      <c r="B35" s="10" t="s">
        <v>602</v>
      </c>
      <c r="C35" s="17">
        <f>C34/(C25-C26)</f>
        <v>63970.823672903265</v>
      </c>
      <c r="D35" s="11"/>
      <c r="E35" s="6"/>
      <c r="F35" s="6"/>
      <c r="G35" s="6"/>
      <c r="H35" s="6"/>
      <c r="I35" s="6"/>
      <c r="J35" s="6"/>
      <c r="K35" s="6"/>
      <c r="L35" s="6"/>
      <c r="M35" s="6"/>
      <c r="N35" s="6"/>
      <c r="O35" s="6"/>
      <c r="P35" s="6"/>
      <c r="Q35" s="6"/>
      <c r="R35" s="6"/>
      <c r="S35" s="6"/>
      <c r="T35" s="6"/>
    </row>
    <row r="36" spans="1:20" x14ac:dyDescent="0.3">
      <c r="A36" s="6"/>
      <c r="B36" s="10" t="s">
        <v>603</v>
      </c>
      <c r="C36" s="17">
        <f>C32/C29</f>
        <v>62440.456139297399</v>
      </c>
      <c r="D36" s="11"/>
      <c r="E36" s="6"/>
      <c r="F36" s="6"/>
      <c r="G36" s="6"/>
      <c r="H36" s="6"/>
      <c r="I36" s="6"/>
      <c r="J36" s="6"/>
      <c r="K36" s="6"/>
      <c r="L36" s="6"/>
      <c r="M36" s="6"/>
      <c r="N36" s="6"/>
      <c r="O36" s="6"/>
      <c r="P36" s="6"/>
      <c r="Q36" s="6"/>
      <c r="R36" s="6"/>
      <c r="S36" s="6"/>
      <c r="T36" s="6"/>
    </row>
    <row r="37" spans="1:20" x14ac:dyDescent="0.3">
      <c r="A37" s="6"/>
      <c r="B37" s="10" t="s">
        <v>604</v>
      </c>
      <c r="C37" s="18">
        <f>C32/C35</f>
        <v>7.3205782598527683E-2</v>
      </c>
      <c r="D37" s="11" t="s">
        <v>605</v>
      </c>
      <c r="E37" s="6"/>
      <c r="F37" s="6"/>
      <c r="G37" s="6"/>
      <c r="H37" s="6"/>
      <c r="I37" s="6"/>
      <c r="J37" s="6"/>
      <c r="K37" s="6"/>
      <c r="L37" s="6"/>
      <c r="M37" s="6"/>
      <c r="N37" s="6"/>
      <c r="O37" s="6"/>
      <c r="P37" s="6"/>
      <c r="Q37" s="6"/>
      <c r="R37" s="6"/>
      <c r="S37" s="6"/>
      <c r="T37" s="6"/>
    </row>
    <row r="38" spans="1:20" x14ac:dyDescent="0.3">
      <c r="A38" s="6"/>
      <c r="B38" s="10" t="s">
        <v>606</v>
      </c>
      <c r="C38" s="27">
        <f>C35/C32</f>
        <v>13.660123073667025</v>
      </c>
      <c r="D38" s="11"/>
      <c r="E38" s="6"/>
      <c r="F38" s="6"/>
      <c r="G38" s="6"/>
      <c r="H38" s="6"/>
      <c r="I38" s="6"/>
      <c r="J38" s="6"/>
      <c r="K38" s="6"/>
      <c r="L38" s="6"/>
      <c r="M38" s="6"/>
      <c r="N38" s="6"/>
      <c r="O38" s="6"/>
      <c r="P38" s="6"/>
      <c r="Q38" s="6"/>
      <c r="R38" s="6"/>
      <c r="S38" s="6"/>
      <c r="T38" s="6"/>
    </row>
    <row r="39" spans="1:20" x14ac:dyDescent="0.3">
      <c r="A39" s="6"/>
      <c r="B39" s="10" t="s">
        <v>607</v>
      </c>
      <c r="C39" s="17">
        <f>CHOOSE(C30,C35,C36,AVERAGE(C35,C36))</f>
        <v>63970.823672903265</v>
      </c>
      <c r="D39" s="11"/>
      <c r="E39" s="6"/>
      <c r="F39" s="6"/>
      <c r="G39" s="6"/>
      <c r="H39" s="6"/>
      <c r="I39" s="6"/>
      <c r="J39" s="6"/>
      <c r="K39" s="6"/>
      <c r="L39" s="6"/>
      <c r="M39" s="6"/>
      <c r="N39" s="6"/>
      <c r="O39" s="6"/>
      <c r="P39" s="6"/>
      <c r="Q39" s="6"/>
      <c r="R39" s="6"/>
      <c r="S39" s="6"/>
      <c r="T39" s="6"/>
    </row>
    <row r="40" spans="1:20" x14ac:dyDescent="0.3">
      <c r="A40" s="6"/>
      <c r="B40" s="10" t="s">
        <v>608</v>
      </c>
      <c r="C40" s="33">
        <f>1/(1+C25)^(Inputs!$C$9+9)</f>
        <v>0.44058040212827482</v>
      </c>
      <c r="D40" s="11"/>
      <c r="E40" s="6"/>
      <c r="F40" s="6"/>
      <c r="G40" s="6"/>
      <c r="H40" s="6"/>
      <c r="I40" s="6"/>
      <c r="J40" s="6"/>
      <c r="K40" s="6"/>
      <c r="L40" s="6"/>
      <c r="M40" s="6"/>
      <c r="N40" s="6"/>
      <c r="O40" s="6"/>
      <c r="P40" s="6"/>
      <c r="Q40" s="6"/>
      <c r="R40" s="6"/>
      <c r="S40" s="6"/>
      <c r="T40" s="6"/>
    </row>
    <row r="41" spans="1:20" x14ac:dyDescent="0.3">
      <c r="A41" s="6"/>
      <c r="B41" s="10" t="s">
        <v>609</v>
      </c>
      <c r="C41" s="17">
        <f>C39*C40</f>
        <v>28184.291218284681</v>
      </c>
      <c r="D41" s="11"/>
      <c r="E41" s="6"/>
      <c r="F41" s="6"/>
      <c r="G41" s="6"/>
      <c r="H41" s="6"/>
      <c r="I41" s="6"/>
      <c r="J41" s="6"/>
      <c r="K41" s="6"/>
      <c r="L41" s="6"/>
      <c r="M41" s="6"/>
      <c r="N41" s="6"/>
      <c r="O41" s="6"/>
      <c r="P41" s="6"/>
      <c r="Q41" s="6"/>
      <c r="R41" s="6"/>
      <c r="S41" s="6"/>
      <c r="T41" s="6"/>
    </row>
    <row r="42" spans="1:20" x14ac:dyDescent="0.3">
      <c r="A42" s="6"/>
      <c r="B42" s="10" t="s">
        <v>610</v>
      </c>
      <c r="C42" s="17">
        <f>SUM(I22:R22)</f>
        <v>16440.481604379682</v>
      </c>
      <c r="D42" s="11"/>
      <c r="E42" s="6"/>
      <c r="F42" s="6"/>
      <c r="G42" s="6"/>
      <c r="H42" s="6"/>
      <c r="I42" s="6"/>
      <c r="J42" s="6"/>
      <c r="K42" s="6"/>
      <c r="L42" s="6"/>
      <c r="M42" s="6"/>
      <c r="N42" s="6"/>
      <c r="O42" s="6"/>
      <c r="P42" s="6"/>
      <c r="Q42" s="6"/>
      <c r="R42" s="6"/>
      <c r="S42" s="6"/>
      <c r="T42" s="6"/>
    </row>
    <row r="43" spans="1:20" x14ac:dyDescent="0.3">
      <c r="A43" s="6"/>
      <c r="B43" s="10" t="s">
        <v>611</v>
      </c>
      <c r="C43" s="61">
        <f>C41+C42</f>
        <v>44624.772822664367</v>
      </c>
      <c r="D43" s="11"/>
      <c r="E43" s="6"/>
      <c r="F43" s="6"/>
      <c r="G43" s="6"/>
      <c r="H43" s="6"/>
      <c r="I43" s="6"/>
      <c r="J43" s="6"/>
      <c r="K43" s="6"/>
      <c r="L43" s="6"/>
      <c r="M43" s="6"/>
      <c r="N43" s="6"/>
      <c r="O43" s="6"/>
      <c r="P43" s="6"/>
      <c r="Q43" s="6"/>
      <c r="R43" s="6"/>
      <c r="S43" s="6"/>
      <c r="T43" s="6"/>
    </row>
    <row r="44" spans="1:20" x14ac:dyDescent="0.3">
      <c r="A44" s="6"/>
      <c r="B44" s="10" t="s">
        <v>612</v>
      </c>
      <c r="C44" s="16">
        <f>C41/C43</f>
        <v>0.63158397086495044</v>
      </c>
      <c r="D44" s="11"/>
      <c r="E44" s="6"/>
      <c r="F44" s="6"/>
      <c r="G44" s="6"/>
      <c r="H44" s="6"/>
      <c r="I44" s="6"/>
      <c r="J44" s="6"/>
      <c r="K44" s="6"/>
      <c r="L44" s="6"/>
      <c r="M44" s="6"/>
      <c r="N44" s="6"/>
      <c r="O44" s="6"/>
      <c r="P44" s="6"/>
      <c r="Q44" s="6"/>
      <c r="R44" s="6"/>
      <c r="S44" s="6"/>
      <c r="T44" s="6"/>
    </row>
    <row r="45" spans="1:20" x14ac:dyDescent="0.3">
      <c r="A45" s="6"/>
      <c r="B45" s="6"/>
      <c r="C45" s="6"/>
      <c r="D45" s="6"/>
      <c r="E45" s="6"/>
      <c r="F45" s="6"/>
      <c r="G45" s="6"/>
      <c r="H45" s="6"/>
      <c r="I45" s="6"/>
      <c r="J45" s="6"/>
      <c r="K45" s="6"/>
      <c r="L45" s="6"/>
      <c r="M45" s="6"/>
      <c r="N45" s="6"/>
      <c r="O45" s="6"/>
      <c r="P45" s="6"/>
      <c r="Q45" s="6"/>
      <c r="R45" s="6"/>
      <c r="S45" s="6"/>
      <c r="T45" s="6"/>
    </row>
    <row r="46" spans="1:20" x14ac:dyDescent="0.3">
      <c r="A46" s="6"/>
      <c r="B46" s="7" t="s">
        <v>613</v>
      </c>
      <c r="C46" s="7"/>
      <c r="D46" s="7"/>
      <c r="E46" s="7"/>
      <c r="F46" s="6"/>
      <c r="G46" s="6"/>
      <c r="H46" s="6"/>
      <c r="I46" s="6"/>
      <c r="J46" s="6"/>
      <c r="K46" s="6"/>
      <c r="L46" s="6"/>
      <c r="M46" s="6"/>
      <c r="N46" s="6"/>
      <c r="O46" s="6"/>
      <c r="P46" s="6"/>
      <c r="Q46" s="6"/>
      <c r="R46" s="6"/>
      <c r="S46" s="6"/>
      <c r="T46" s="6"/>
    </row>
    <row r="47" spans="1:20" x14ac:dyDescent="0.3">
      <c r="A47" s="6"/>
      <c r="B47" s="10" t="s">
        <v>614</v>
      </c>
      <c r="C47" s="17">
        <f>C43</f>
        <v>44624.772822664367</v>
      </c>
      <c r="D47" s="11"/>
      <c r="E47" s="6"/>
      <c r="F47" s="6"/>
      <c r="G47" s="6"/>
      <c r="H47" s="6"/>
      <c r="I47" s="6"/>
      <c r="J47" s="6"/>
      <c r="K47" s="6"/>
      <c r="L47" s="6"/>
      <c r="M47" s="6"/>
      <c r="N47" s="6"/>
      <c r="O47" s="6"/>
      <c r="P47" s="6"/>
      <c r="Q47" s="6"/>
      <c r="R47" s="6"/>
      <c r="S47" s="6"/>
      <c r="T47" s="6"/>
    </row>
    <row r="48" spans="1:20" x14ac:dyDescent="0.3">
      <c r="A48" s="6"/>
      <c r="B48" s="10" t="s">
        <v>615</v>
      </c>
      <c r="C48" s="17">
        <f>Inputs!$C$34</f>
        <v>14060.5648</v>
      </c>
      <c r="D48" s="11" t="s">
        <v>616</v>
      </c>
      <c r="E48" s="6"/>
      <c r="F48" s="6"/>
      <c r="G48" s="6"/>
      <c r="H48" s="6"/>
      <c r="I48" s="6"/>
      <c r="J48" s="6"/>
      <c r="K48" s="6"/>
      <c r="L48" s="6"/>
      <c r="M48" s="6"/>
      <c r="N48" s="6"/>
      <c r="O48" s="6"/>
      <c r="P48" s="6"/>
      <c r="Q48" s="6"/>
      <c r="R48" s="6"/>
      <c r="S48" s="6"/>
      <c r="T48" s="6"/>
    </row>
    <row r="49" spans="1:20" x14ac:dyDescent="0.3">
      <c r="A49" s="6"/>
      <c r="B49" s="10" t="s">
        <v>617</v>
      </c>
      <c r="C49" s="17">
        <f>C47-C48</f>
        <v>30564.208022664367</v>
      </c>
      <c r="D49" s="11"/>
      <c r="E49" s="6"/>
      <c r="F49" s="6"/>
      <c r="G49" s="6"/>
      <c r="H49" s="6"/>
      <c r="I49" s="6"/>
      <c r="J49" s="6"/>
      <c r="K49" s="6"/>
      <c r="L49" s="6"/>
      <c r="M49" s="6"/>
      <c r="N49" s="6"/>
      <c r="O49" s="6"/>
      <c r="P49" s="6"/>
      <c r="Q49" s="6"/>
      <c r="R49" s="6"/>
      <c r="S49" s="6"/>
      <c r="T49" s="6"/>
    </row>
    <row r="50" spans="1:20" x14ac:dyDescent="0.3">
      <c r="A50" s="6"/>
      <c r="B50" s="10" t="s">
        <v>618</v>
      </c>
      <c r="C50" s="16">
        <f>Rev_Build!$D$75</f>
        <v>0.20341656783670192</v>
      </c>
      <c r="D50" s="11" t="s">
        <v>619</v>
      </c>
      <c r="E50" s="6"/>
      <c r="F50" s="6"/>
      <c r="G50" s="6"/>
      <c r="H50" s="6"/>
      <c r="I50" s="6"/>
      <c r="J50" s="6"/>
      <c r="K50" s="6"/>
      <c r="L50" s="6"/>
      <c r="M50" s="6"/>
      <c r="N50" s="6"/>
      <c r="O50" s="6"/>
      <c r="P50" s="6"/>
      <c r="Q50" s="6"/>
      <c r="R50" s="6"/>
      <c r="S50" s="6"/>
      <c r="T50" s="6"/>
    </row>
    <row r="51" spans="1:20" x14ac:dyDescent="0.3">
      <c r="A51" s="6"/>
      <c r="B51" s="10" t="s">
        <v>620</v>
      </c>
      <c r="C51" s="17">
        <f>C49*C50</f>
        <v>6217.266294617375</v>
      </c>
      <c r="D51" s="11"/>
      <c r="E51" s="6"/>
      <c r="F51" s="6"/>
      <c r="G51" s="6"/>
      <c r="H51" s="6"/>
      <c r="I51" s="6"/>
      <c r="J51" s="6"/>
      <c r="K51" s="6"/>
      <c r="L51" s="6"/>
      <c r="M51" s="6"/>
      <c r="N51" s="6"/>
      <c r="O51" s="6"/>
      <c r="P51" s="6"/>
      <c r="Q51" s="6"/>
      <c r="R51" s="6"/>
      <c r="S51" s="6"/>
      <c r="T51" s="6"/>
    </row>
    <row r="52" spans="1:20" x14ac:dyDescent="0.3">
      <c r="A52" s="6"/>
      <c r="B52" s="10" t="s">
        <v>621</v>
      </c>
      <c r="C52" s="17">
        <f>Rev_Build!$Z$51*Inputs!$C$49</f>
        <v>667.64948183508079</v>
      </c>
      <c r="D52" s="11"/>
      <c r="E52" s="6"/>
      <c r="F52" s="6"/>
      <c r="G52" s="6"/>
      <c r="H52" s="6"/>
      <c r="I52" s="6"/>
      <c r="J52" s="6"/>
      <c r="K52" s="6"/>
      <c r="L52" s="6"/>
      <c r="M52" s="6"/>
      <c r="N52" s="6"/>
      <c r="O52" s="6"/>
      <c r="P52" s="6"/>
      <c r="Q52" s="6"/>
      <c r="R52" s="6"/>
      <c r="S52" s="6"/>
      <c r="T52" s="6"/>
    </row>
    <row r="53" spans="1:20" x14ac:dyDescent="0.3">
      <c r="A53" s="6"/>
      <c r="B53" s="10" t="s">
        <v>622</v>
      </c>
      <c r="C53" s="36">
        <v>7.7499999999999999E-2</v>
      </c>
      <c r="D53" s="11" t="s">
        <v>623</v>
      </c>
      <c r="E53" s="6"/>
      <c r="F53" s="6"/>
      <c r="G53" s="6"/>
      <c r="H53" s="6"/>
      <c r="I53" s="6"/>
      <c r="J53" s="6"/>
      <c r="K53" s="6"/>
      <c r="L53" s="6"/>
      <c r="M53" s="6"/>
      <c r="N53" s="6"/>
      <c r="O53" s="6"/>
      <c r="P53" s="6"/>
      <c r="Q53" s="6"/>
      <c r="R53" s="6"/>
      <c r="S53" s="6"/>
      <c r="T53" s="6"/>
    </row>
    <row r="54" spans="1:20" x14ac:dyDescent="0.3">
      <c r="A54" s="6"/>
      <c r="B54" s="10" t="s">
        <v>624</v>
      </c>
      <c r="C54" s="17">
        <f>C52/C53</f>
        <v>8614.8320236784621</v>
      </c>
      <c r="D54" s="11"/>
      <c r="E54" s="6"/>
      <c r="F54" s="6"/>
      <c r="G54" s="6"/>
      <c r="H54" s="6"/>
      <c r="I54" s="6"/>
      <c r="J54" s="6"/>
      <c r="K54" s="6"/>
      <c r="L54" s="6"/>
      <c r="M54" s="6"/>
      <c r="N54" s="6"/>
      <c r="O54" s="6"/>
      <c r="P54" s="6"/>
      <c r="Q54" s="6"/>
      <c r="R54" s="6"/>
      <c r="S54" s="6"/>
      <c r="T54" s="6"/>
    </row>
    <row r="55" spans="1:20" x14ac:dyDescent="0.3">
      <c r="A55" s="6"/>
      <c r="B55" s="10" t="s">
        <v>625</v>
      </c>
      <c r="C55" s="17">
        <f>Inputs!$C$35</f>
        <v>3400</v>
      </c>
      <c r="D55" s="11"/>
      <c r="E55" s="6"/>
      <c r="F55" s="6"/>
      <c r="G55" s="6"/>
      <c r="H55" s="6"/>
      <c r="I55" s="6"/>
      <c r="J55" s="6"/>
      <c r="K55" s="6"/>
      <c r="L55" s="6"/>
      <c r="M55" s="6"/>
      <c r="N55" s="6"/>
      <c r="O55" s="6"/>
      <c r="P55" s="6"/>
      <c r="Q55" s="6"/>
      <c r="R55" s="6"/>
      <c r="S55" s="6"/>
      <c r="T55" s="6"/>
    </row>
    <row r="56" spans="1:20" x14ac:dyDescent="0.3">
      <c r="A56" s="6"/>
      <c r="B56" s="10" t="s">
        <v>626</v>
      </c>
      <c r="C56" s="17">
        <f>C54-C55</f>
        <v>5214.8320236784621</v>
      </c>
      <c r="D56" s="11"/>
      <c r="E56" s="6"/>
      <c r="F56" s="6"/>
      <c r="G56" s="6"/>
      <c r="H56" s="6"/>
      <c r="I56" s="6"/>
      <c r="J56" s="6"/>
      <c r="K56" s="6"/>
      <c r="L56" s="6"/>
      <c r="M56" s="6"/>
      <c r="N56" s="6"/>
      <c r="O56" s="6"/>
      <c r="P56" s="6"/>
      <c r="Q56" s="6"/>
      <c r="R56" s="6"/>
      <c r="S56" s="6"/>
      <c r="T56" s="6"/>
    </row>
    <row r="57" spans="1:20" x14ac:dyDescent="0.3">
      <c r="A57" s="6"/>
      <c r="B57" s="10" t="s">
        <v>627</v>
      </c>
      <c r="C57" s="17">
        <f>C56*Inputs!$C$36*(1-Inputs!$C$37)</f>
        <v>2346.6744106553078</v>
      </c>
      <c r="D57" s="11"/>
      <c r="E57" s="6"/>
      <c r="F57" s="6"/>
      <c r="G57" s="6"/>
      <c r="H57" s="6"/>
      <c r="I57" s="6"/>
      <c r="J57" s="6"/>
      <c r="K57" s="6"/>
      <c r="L57" s="6"/>
      <c r="M57" s="6"/>
      <c r="N57" s="6"/>
      <c r="O57" s="6"/>
      <c r="P57" s="6"/>
      <c r="Q57" s="6"/>
      <c r="R57" s="6"/>
      <c r="S57" s="6"/>
      <c r="T57" s="6"/>
    </row>
    <row r="58" spans="1:20" x14ac:dyDescent="0.3">
      <c r="A58" s="6"/>
      <c r="B58" s="10" t="s">
        <v>628</v>
      </c>
      <c r="C58" s="17">
        <f>Inputs!$C$32</f>
        <v>850</v>
      </c>
      <c r="D58" s="11" t="s">
        <v>629</v>
      </c>
      <c r="E58" s="6"/>
      <c r="F58" s="6"/>
      <c r="G58" s="6"/>
      <c r="H58" s="6"/>
      <c r="I58" s="6"/>
      <c r="J58" s="6"/>
      <c r="K58" s="6"/>
      <c r="L58" s="6"/>
      <c r="M58" s="6"/>
      <c r="N58" s="6"/>
      <c r="O58" s="6"/>
      <c r="P58" s="6"/>
      <c r="Q58" s="6"/>
      <c r="R58" s="6"/>
      <c r="S58" s="6"/>
      <c r="T58" s="6"/>
    </row>
    <row r="59" spans="1:20" x14ac:dyDescent="0.3">
      <c r="A59" s="6"/>
      <c r="B59" s="10" t="s">
        <v>630</v>
      </c>
      <c r="C59" s="61">
        <f>C49-C51+C57+C58</f>
        <v>27543.616138702302</v>
      </c>
      <c r="D59" s="11"/>
      <c r="E59" s="6"/>
      <c r="F59" s="6"/>
      <c r="G59" s="6"/>
      <c r="H59" s="6"/>
      <c r="I59" s="6"/>
      <c r="J59" s="6"/>
      <c r="K59" s="6"/>
      <c r="L59" s="6"/>
      <c r="M59" s="6"/>
      <c r="N59" s="6"/>
      <c r="O59" s="6"/>
      <c r="P59" s="6"/>
      <c r="Q59" s="6"/>
      <c r="R59" s="6"/>
      <c r="S59" s="6"/>
      <c r="T59" s="6"/>
    </row>
    <row r="60" spans="1:20" x14ac:dyDescent="0.3">
      <c r="A60" s="6"/>
      <c r="B60" s="10" t="s">
        <v>631</v>
      </c>
      <c r="C60" s="33">
        <f>Inputs!$C$11</f>
        <v>82.988086899999999</v>
      </c>
      <c r="D60" s="11"/>
      <c r="E60" s="6"/>
      <c r="F60" s="6"/>
      <c r="G60" s="6"/>
      <c r="H60" s="6"/>
      <c r="I60" s="6"/>
      <c r="J60" s="6"/>
      <c r="K60" s="6"/>
      <c r="L60" s="6"/>
      <c r="M60" s="6"/>
      <c r="N60" s="6"/>
      <c r="O60" s="6"/>
      <c r="P60" s="6"/>
      <c r="Q60" s="6"/>
      <c r="R60" s="6"/>
      <c r="S60" s="6"/>
      <c r="T60" s="6"/>
    </row>
    <row r="61" spans="1:20" x14ac:dyDescent="0.3">
      <c r="A61" s="6"/>
      <c r="B61" s="10" t="s">
        <v>632</v>
      </c>
      <c r="C61" s="62">
        <f>C59/C60</f>
        <v>331.89843467402915</v>
      </c>
      <c r="D61" s="11"/>
      <c r="E61" s="6"/>
      <c r="F61" s="6"/>
      <c r="G61" s="6"/>
      <c r="H61" s="6"/>
      <c r="I61" s="6"/>
      <c r="J61" s="6"/>
      <c r="K61" s="6"/>
      <c r="L61" s="6"/>
      <c r="M61" s="6"/>
      <c r="N61" s="6"/>
      <c r="O61" s="6"/>
      <c r="P61" s="6"/>
      <c r="Q61" s="6"/>
      <c r="R61" s="6"/>
      <c r="S61" s="6"/>
      <c r="T61" s="6"/>
    </row>
    <row r="62" spans="1:20" x14ac:dyDescent="0.3">
      <c r="A62" s="6"/>
      <c r="B62" s="10" t="s">
        <v>633</v>
      </c>
      <c r="C62" s="16">
        <f>C61/Inputs!$C$10-1</f>
        <v>9.423463120526554E-3</v>
      </c>
      <c r="D62" s="11"/>
      <c r="E62" s="6"/>
      <c r="F62" s="6"/>
      <c r="G62" s="6"/>
      <c r="H62" s="6"/>
      <c r="I62" s="6"/>
      <c r="J62" s="6"/>
      <c r="K62" s="6"/>
      <c r="L62" s="6"/>
      <c r="M62" s="6"/>
      <c r="N62" s="6"/>
      <c r="O62" s="6"/>
      <c r="P62" s="6"/>
      <c r="Q62" s="6"/>
      <c r="R62" s="6"/>
      <c r="S62" s="6"/>
      <c r="T62" s="6"/>
    </row>
    <row r="63" spans="1:20" x14ac:dyDescent="0.3">
      <c r="A63" s="6"/>
      <c r="B63" s="6"/>
      <c r="C63" s="6"/>
      <c r="D63" s="6"/>
      <c r="E63" s="6"/>
      <c r="F63" s="6"/>
      <c r="G63" s="6"/>
      <c r="H63" s="6"/>
      <c r="I63" s="6"/>
      <c r="J63" s="6"/>
      <c r="K63" s="6"/>
      <c r="L63" s="6"/>
      <c r="M63" s="6"/>
      <c r="N63" s="6"/>
      <c r="O63" s="6"/>
      <c r="P63" s="6"/>
      <c r="Q63" s="6"/>
      <c r="R63" s="6"/>
      <c r="S63" s="6"/>
      <c r="T63" s="6"/>
    </row>
    <row r="64" spans="1:20" x14ac:dyDescent="0.3">
      <c r="A64" s="6"/>
      <c r="B64" s="7" t="s">
        <v>634</v>
      </c>
      <c r="C64" s="7"/>
      <c r="D64" s="7"/>
      <c r="E64" s="7"/>
      <c r="F64" s="6"/>
      <c r="G64" s="6"/>
      <c r="H64" s="6"/>
      <c r="I64" s="6"/>
      <c r="J64" s="6"/>
      <c r="K64" s="6"/>
      <c r="L64" s="6"/>
      <c r="M64" s="6"/>
      <c r="N64" s="6"/>
      <c r="O64" s="6"/>
      <c r="P64" s="6"/>
      <c r="Q64" s="6"/>
      <c r="R64" s="6"/>
      <c r="S64" s="6"/>
      <c r="T64" s="6"/>
    </row>
    <row r="65" spans="1:20" x14ac:dyDescent="0.3">
      <c r="A65" s="6"/>
      <c r="B65" s="10" t="s">
        <v>635</v>
      </c>
      <c r="C65" s="27">
        <f>C43/I6</f>
        <v>16.075085537508173</v>
      </c>
      <c r="D65" s="11"/>
      <c r="E65" s="6"/>
      <c r="F65" s="6"/>
      <c r="G65" s="6"/>
      <c r="H65" s="6"/>
      <c r="I65" s="6"/>
      <c r="J65" s="6"/>
      <c r="K65" s="6"/>
      <c r="L65" s="6"/>
      <c r="M65" s="6"/>
      <c r="N65" s="6"/>
      <c r="O65" s="6"/>
      <c r="P65" s="6"/>
      <c r="Q65" s="6"/>
      <c r="R65" s="6"/>
      <c r="S65" s="6"/>
      <c r="T65" s="6"/>
    </row>
    <row r="66" spans="1:20" x14ac:dyDescent="0.3">
      <c r="A66" s="6"/>
      <c r="B66" s="10" t="s">
        <v>636</v>
      </c>
      <c r="C66" s="27">
        <f>C43/(Rev_Build!$Z$52*Inputs!$C$50)</f>
        <v>13.896104516541495</v>
      </c>
      <c r="D66" s="11"/>
      <c r="E66" s="6"/>
      <c r="F66" s="6"/>
      <c r="G66" s="6"/>
      <c r="H66" s="6"/>
      <c r="I66" s="6"/>
      <c r="J66" s="6"/>
      <c r="K66" s="6"/>
      <c r="L66" s="6"/>
      <c r="M66" s="6"/>
      <c r="N66" s="6"/>
      <c r="O66" s="6"/>
      <c r="P66" s="6"/>
      <c r="Q66" s="6"/>
      <c r="R66" s="6"/>
      <c r="S66" s="6"/>
      <c r="T66" s="6"/>
    </row>
    <row r="67" spans="1:20" x14ac:dyDescent="0.3">
      <c r="A67" s="6"/>
      <c r="B67" s="10" t="s">
        <v>637</v>
      </c>
      <c r="C67" s="18">
        <f>Rev_Build!$Z$52*Inputs!$C$50/C43</f>
        <v>7.1962613609420592E-2</v>
      </c>
      <c r="D67" s="11"/>
      <c r="E67" s="6"/>
      <c r="F67" s="6"/>
      <c r="G67" s="6"/>
      <c r="H67" s="6"/>
      <c r="I67" s="6"/>
      <c r="J67" s="6"/>
      <c r="K67" s="6"/>
      <c r="L67" s="6"/>
      <c r="M67" s="6"/>
      <c r="N67" s="6"/>
      <c r="O67" s="6"/>
      <c r="P67" s="6"/>
      <c r="Q67" s="6"/>
      <c r="R67" s="6"/>
      <c r="S67" s="6"/>
      <c r="T67" s="6"/>
    </row>
    <row r="68" spans="1:20" x14ac:dyDescent="0.3">
      <c r="A68" s="6"/>
      <c r="B68" s="10" t="s">
        <v>638</v>
      </c>
      <c r="C68" s="17">
        <f>I11/C25</f>
        <v>18462.633665665617</v>
      </c>
      <c r="D68" s="11" t="s">
        <v>639</v>
      </c>
      <c r="E68" s="6"/>
      <c r="F68" s="6"/>
      <c r="G68" s="6"/>
      <c r="H68" s="6"/>
      <c r="I68" s="6"/>
      <c r="J68" s="6"/>
      <c r="K68" s="6"/>
      <c r="L68" s="6"/>
      <c r="M68" s="6"/>
      <c r="N68" s="6"/>
      <c r="O68" s="6"/>
      <c r="P68" s="6"/>
      <c r="Q68" s="6"/>
      <c r="R68" s="6"/>
      <c r="S68" s="6"/>
      <c r="T68" s="6"/>
    </row>
    <row r="69" spans="1:20" x14ac:dyDescent="0.3">
      <c r="A69" s="6"/>
      <c r="B69" s="10" t="s">
        <v>640</v>
      </c>
      <c r="C69" s="17">
        <f>C43-C68</f>
        <v>26162.13915699875</v>
      </c>
      <c r="D69" s="11"/>
      <c r="E69" s="6"/>
      <c r="F69" s="6"/>
      <c r="G69" s="6"/>
      <c r="H69" s="6"/>
      <c r="I69" s="6"/>
      <c r="J69" s="6"/>
      <c r="K69" s="6"/>
      <c r="L69" s="6"/>
      <c r="M69" s="6"/>
      <c r="N69" s="6"/>
      <c r="O69" s="6"/>
      <c r="P69" s="6"/>
      <c r="Q69" s="6"/>
      <c r="R69" s="6"/>
      <c r="S69" s="6"/>
      <c r="T69" s="6"/>
    </row>
    <row r="70" spans="1:20" x14ac:dyDescent="0.3">
      <c r="A70" s="6"/>
      <c r="B70" s="10" t="s">
        <v>641</v>
      </c>
      <c r="C70" s="16">
        <f>C69/C43</f>
        <v>0.58626940827161644</v>
      </c>
      <c r="D70" s="11"/>
      <c r="E70" s="6"/>
      <c r="F70" s="6"/>
      <c r="G70" s="6"/>
      <c r="H70" s="6"/>
      <c r="I70" s="6"/>
      <c r="J70" s="6"/>
      <c r="K70" s="6"/>
      <c r="L70" s="6"/>
      <c r="M70" s="6"/>
      <c r="N70" s="6"/>
      <c r="O70" s="6"/>
      <c r="P70" s="6"/>
      <c r="Q70" s="6"/>
      <c r="R70" s="6"/>
      <c r="S70" s="6"/>
      <c r="T70" s="6"/>
    </row>
    <row r="71" spans="1:20" x14ac:dyDescent="0.3">
      <c r="A71" s="6"/>
      <c r="B71" s="10" t="s">
        <v>642</v>
      </c>
      <c r="C71" s="16">
        <f>(-SUM(I13:K16)-SUM(I12:K12))/SUM(I11:K11)</f>
        <v>-8.4753278186982001E-2</v>
      </c>
      <c r="D71" s="11" t="s">
        <v>643</v>
      </c>
      <c r="E71" s="6"/>
      <c r="F71" s="6"/>
      <c r="G71" s="6"/>
      <c r="H71" s="6"/>
      <c r="I71" s="6"/>
      <c r="J71" s="6"/>
      <c r="K71" s="6"/>
      <c r="L71" s="6"/>
      <c r="M71" s="6"/>
      <c r="N71" s="6"/>
      <c r="O71" s="6"/>
      <c r="P71" s="6"/>
      <c r="Q71" s="6"/>
      <c r="R71" s="6"/>
      <c r="S71" s="6"/>
      <c r="T71" s="6"/>
    </row>
    <row r="72" spans="1:20" x14ac:dyDescent="0.3">
      <c r="A72" s="6"/>
      <c r="B72" s="10" t="s">
        <v>644</v>
      </c>
      <c r="C72" s="18">
        <f>C26-WACC!$C$8</f>
        <v>-1.3600000000000001E-2</v>
      </c>
      <c r="D72" s="11" t="s">
        <v>645</v>
      </c>
      <c r="E72" s="6"/>
      <c r="F72" s="6"/>
      <c r="G72" s="6"/>
      <c r="H72" s="6"/>
      <c r="I72" s="6"/>
      <c r="J72" s="6"/>
      <c r="K72" s="6"/>
      <c r="L72" s="6"/>
      <c r="M72" s="6"/>
      <c r="N72" s="6"/>
      <c r="O72" s="6"/>
      <c r="P72" s="6"/>
      <c r="Q72" s="6"/>
      <c r="R72" s="6"/>
      <c r="S72" s="6"/>
      <c r="T72" s="6"/>
    </row>
    <row r="73" spans="1:20" x14ac:dyDescent="0.3">
      <c r="A73" s="6"/>
      <c r="B73" s="6"/>
      <c r="C73" s="6"/>
      <c r="D73" s="6"/>
      <c r="E73" s="6"/>
      <c r="F73" s="6"/>
      <c r="G73" s="6"/>
      <c r="H73" s="6"/>
      <c r="I73" s="6"/>
      <c r="J73" s="6"/>
      <c r="K73" s="6"/>
      <c r="L73" s="6"/>
      <c r="M73" s="6"/>
      <c r="N73" s="6"/>
      <c r="O73" s="6"/>
      <c r="P73" s="6"/>
      <c r="Q73" s="6"/>
      <c r="R73" s="6"/>
      <c r="S73" s="6"/>
      <c r="T73" s="6"/>
    </row>
    <row r="74" spans="1:20" x14ac:dyDescent="0.3">
      <c r="A74" s="6"/>
      <c r="B74" s="7" t="s">
        <v>646</v>
      </c>
      <c r="C74" s="7"/>
      <c r="D74" s="7"/>
      <c r="E74" s="7"/>
      <c r="F74" s="7"/>
      <c r="G74" s="7"/>
      <c r="H74" s="7"/>
      <c r="I74" s="7"/>
      <c r="J74" s="7"/>
      <c r="K74" s="6"/>
      <c r="L74" s="6"/>
      <c r="M74" s="6"/>
      <c r="N74" s="6"/>
      <c r="O74" s="6"/>
      <c r="P74" s="6"/>
      <c r="Q74" s="6"/>
      <c r="R74" s="6"/>
      <c r="S74" s="6"/>
      <c r="T74" s="6"/>
    </row>
    <row r="75" spans="1:20" x14ac:dyDescent="0.3">
      <c r="A75" s="6"/>
      <c r="B75" s="11" t="s">
        <v>647</v>
      </c>
      <c r="C75" s="63">
        <f>$C$26+(-0.01)</f>
        <v>0.03</v>
      </c>
      <c r="D75" s="63">
        <f>$C$26+(-0.005)</f>
        <v>3.5000000000000003E-2</v>
      </c>
      <c r="E75" s="63">
        <f>$C$26+(0)</f>
        <v>0.04</v>
      </c>
      <c r="F75" s="63">
        <f>$C$26+(0.005)</f>
        <v>4.4999999999999998E-2</v>
      </c>
      <c r="G75" s="63">
        <f>$C$26+(0.01)</f>
        <v>0.05</v>
      </c>
      <c r="H75" s="6"/>
      <c r="I75" s="6"/>
      <c r="J75" s="6"/>
      <c r="K75" s="6"/>
      <c r="L75" s="6"/>
      <c r="M75" s="6"/>
      <c r="N75" s="6"/>
      <c r="O75" s="6"/>
      <c r="P75" s="6"/>
      <c r="Q75" s="6"/>
      <c r="R75" s="6"/>
      <c r="S75" s="6"/>
      <c r="T75" s="6"/>
    </row>
    <row r="76" spans="1:20" x14ac:dyDescent="0.3">
      <c r="A76" s="6"/>
      <c r="B76" s="64">
        <f>$C$25+(-0.01)</f>
        <v>8.0397496149000006E-2</v>
      </c>
      <c r="C76" s="17">
        <f>(((SUMPRODUCT($I$19:$R$19*(1+$B76)^(-$I$20:$R$20))+($R$6*(1+C$75)*(1-$C$27)*(1-$C$28)/($B76-C$75))*(1+$B76)^(-(Inputs!$C$9+9)))-$C$48)*(1-$C$50)+$C$57+$C$58)/$C$60</f>
        <v>360.61826719907697</v>
      </c>
      <c r="D76" s="17">
        <f>(((SUMPRODUCT($I$19:$R$19*(1+$B76)^(-$I$20:$R$20))+($R$6*(1+D$75)*(1-$C$27)*(1-$C$28)/($B76-D$75))*(1+$B76)^(-(Inputs!$C$9+9)))-$C$48)*(1-$C$50)+$C$57+$C$58)/$C$60</f>
        <v>394.39424958960501</v>
      </c>
      <c r="E76" s="17">
        <f>(((SUMPRODUCT($I$19:$R$19*(1+$B76)^(-$I$20:$R$20))+($R$6*(1+E$75)*(1-$C$27)*(1-$C$28)/($B76-E$75))*(1+$B76)^(-(Inputs!$C$9+9)))-$C$48)*(1-$C$50)+$C$57+$C$58)/$C$60</f>
        <v>436.53114184096955</v>
      </c>
      <c r="F76" s="17">
        <f>(((SUMPRODUCT($I$19:$R$19*(1+$B76)^(-$I$20:$R$20))+($R$6*(1+F$75)*(1-$C$27)*(1-$C$28)/($B76-F$75))*(1+$B76)^(-(Inputs!$C$9+9)))-$C$48)*(1-$C$50)+$C$57+$C$58)/$C$60</f>
        <v>490.57195296670756</v>
      </c>
      <c r="G76" s="17">
        <f>(((SUMPRODUCT($I$19:$R$19*(1+$B76)^(-$I$20:$R$20))+($R$6*(1+G$75)*(1-$C$27)*(1-$C$28)/($B76-G$75))*(1+$B76)^(-(Inputs!$C$9+9)))-$C$48)*(1-$C$50)+$C$57+$C$58)/$C$60</f>
        <v>562.39081096211055</v>
      </c>
      <c r="H76" s="6"/>
      <c r="I76" s="6"/>
      <c r="J76" s="6"/>
      <c r="K76" s="6"/>
      <c r="L76" s="6"/>
      <c r="M76" s="6"/>
      <c r="N76" s="6"/>
      <c r="O76" s="6"/>
      <c r="P76" s="6"/>
      <c r="Q76" s="6"/>
      <c r="R76" s="6"/>
      <c r="S76" s="6"/>
      <c r="T76" s="6"/>
    </row>
    <row r="77" spans="1:20" x14ac:dyDescent="0.3">
      <c r="A77" s="6"/>
      <c r="B77" s="64">
        <f>$C$25+(-0.005)</f>
        <v>8.5397496148999996E-2</v>
      </c>
      <c r="C77" s="17">
        <f>(((SUMPRODUCT($I$19:$R$19*(1+$B77)^(-$I$20:$R$20))+($R$6*(1+C$75)*(1-$C$27)*(1-$C$28)/($B77-C$75))*(1+$B77)^(-(Inputs!$C$9+9)))-$C$48)*(1-$C$50)+$C$57+$C$58)/$C$60</f>
        <v>319.34744106998198</v>
      </c>
      <c r="D77" s="17">
        <f>(((SUMPRODUCT($I$19:$R$19*(1+$B77)^(-$I$20:$R$20))+($R$6*(1+D$75)*(1-$C$27)*(1-$C$28)/($B77-D$75))*(1+$B77)^(-(Inputs!$C$9+9)))-$C$48)*(1-$C$50)+$C$57+$C$58)/$C$60</f>
        <v>345.96467031868906</v>
      </c>
      <c r="E77" s="17">
        <f>(((SUMPRODUCT($I$19:$R$19*(1+$B77)^(-$I$20:$R$20))+($R$6*(1+E$75)*(1-$C$27)*(1-$C$28)/($B77-E$75))*(1+$B77)^(-(Inputs!$C$9+9)))-$C$48)*(1-$C$50)+$C$57+$C$58)/$C$60</f>
        <v>378.44504875107515</v>
      </c>
      <c r="F77" s="17">
        <f>(((SUMPRODUCT($I$19:$R$19*(1+$B77)^(-$I$20:$R$20))+($R$6*(1+F$75)*(1-$C$27)*(1-$C$28)/($B77-F$75))*(1+$B77)^(-(Inputs!$C$9+9)))-$C$48)*(1-$C$50)+$C$57+$C$58)/$C$60</f>
        <v>418.96562311852279</v>
      </c>
      <c r="G77" s="17">
        <f>(((SUMPRODUCT($I$19:$R$19*(1+$B77)^(-$I$20:$R$20))+($R$6*(1+G$75)*(1-$C$27)*(1-$C$28)/($B77-G$75))*(1+$B77)^(-(Inputs!$C$9+9)))-$C$48)*(1-$C$50)+$C$57+$C$58)/$C$60</f>
        <v>470.933497090689</v>
      </c>
      <c r="H77" s="6"/>
      <c r="I77" s="6"/>
      <c r="J77" s="6"/>
      <c r="K77" s="6"/>
      <c r="L77" s="6"/>
      <c r="M77" s="6"/>
      <c r="N77" s="6"/>
      <c r="O77" s="6"/>
      <c r="P77" s="6"/>
      <c r="Q77" s="6"/>
      <c r="R77" s="6"/>
      <c r="S77" s="6"/>
      <c r="T77" s="6"/>
    </row>
    <row r="78" spans="1:20" x14ac:dyDescent="0.3">
      <c r="A78" s="6"/>
      <c r="B78" s="64">
        <f>$C$25+(0)</f>
        <v>9.0397496149000001E-2</v>
      </c>
      <c r="C78" s="17">
        <f>(((SUMPRODUCT($I$19:$R$19*(1+$B78)^(-$I$20:$R$20))+($R$6*(1+C$75)*(1-$C$27)*(1-$C$28)/($B78-C$75))*(1+$B78)^(-(Inputs!$C$9+9)))-$C$48)*(1-$C$50)+$C$57+$C$58)/$C$60</f>
        <v>284.93550241105481</v>
      </c>
      <c r="D78" s="17">
        <f>(((SUMPRODUCT($I$19:$R$19*(1+$B78)^(-$I$20:$R$20))+($R$6*(1+D$75)*(1-$C$27)*(1-$C$28)/($B78-D$75))*(1+$B78)^(-(Inputs!$C$9+9)))-$C$48)*(1-$C$50)+$C$57+$C$58)/$C$60</f>
        <v>306.2976068598108</v>
      </c>
      <c r="E78" s="61">
        <f>(((SUMPRODUCT($I$19:$R$19*(1+$B78)^(-$I$20:$R$20))+($R$6*(1+E$75)*(1-$C$27)*(1-$C$28)/($B78-E$75))*(1+$B78)^(-(Inputs!$C$9+9)))-$C$48)*(1-$C$50)+$C$57+$C$58)/$C$60</f>
        <v>331.89843467402909</v>
      </c>
      <c r="F78" s="17">
        <f>(((SUMPRODUCT($I$19:$R$19*(1+$B78)^(-$I$20:$R$20))+($R$6*(1+F$75)*(1-$C$27)*(1-$C$28)/($B78-F$75))*(1+$B78)^(-(Inputs!$C$9+9)))-$C$48)*(1-$C$50)+$C$57+$C$58)/$C$60</f>
        <v>363.13852235627917</v>
      </c>
      <c r="G78" s="17">
        <f>(((SUMPRODUCT($I$19:$R$19*(1+$B78)^(-$I$20:$R$20))+($R$6*(1+G$75)*(1-$C$27)*(1-$C$28)/($B78-G$75))*(1+$B78)^(-(Inputs!$C$9+9)))-$C$48)*(1-$C$50)+$C$57+$C$58)/$C$60</f>
        <v>402.11178428453343</v>
      </c>
      <c r="H78" s="6"/>
      <c r="I78" s="6"/>
      <c r="J78" s="6"/>
      <c r="K78" s="6"/>
      <c r="L78" s="6"/>
      <c r="M78" s="6"/>
      <c r="N78" s="6"/>
      <c r="O78" s="6"/>
      <c r="P78" s="6"/>
      <c r="Q78" s="6"/>
      <c r="R78" s="6"/>
      <c r="S78" s="6"/>
      <c r="T78" s="6"/>
    </row>
    <row r="79" spans="1:20" x14ac:dyDescent="0.3">
      <c r="A79" s="6"/>
      <c r="B79" s="64">
        <f>$C$25+(0.005)</f>
        <v>9.5397496149000005E-2</v>
      </c>
      <c r="C79" s="17">
        <f>(((SUMPRODUCT($I$19:$R$19*(1+$B79)^(-$I$20:$R$20))+($R$6*(1+C$75)*(1-$C$27)*(1-$C$28)/($B79-C$75))*(1+$B79)^(-(Inputs!$C$9+9)))-$C$48)*(1-$C$50)+$C$57+$C$58)/$C$60</f>
        <v>255.80752605846479</v>
      </c>
      <c r="D79" s="17">
        <f>(((SUMPRODUCT($I$19:$R$19*(1+$B79)^(-$I$20:$R$20))+($R$6*(1+D$75)*(1-$C$27)*(1-$C$28)/($B79-D$75))*(1+$B79)^(-(Inputs!$C$9+9)))-$C$48)*(1-$C$50)+$C$57+$C$58)/$C$60</f>
        <v>273.21523316455944</v>
      </c>
      <c r="E79" s="17">
        <f>(((SUMPRODUCT($I$19:$R$19*(1+$B79)^(-$I$20:$R$20))+($R$6*(1+E$75)*(1-$C$27)*(1-$C$28)/($B79-E$75))*(1+$B79)^(-(Inputs!$C$9+9)))-$C$48)*(1-$C$50)+$C$57+$C$58)/$C$60</f>
        <v>293.76526768907644</v>
      </c>
      <c r="F79" s="17">
        <f>(((SUMPRODUCT($I$19:$R$19*(1+$B79)^(-$I$20:$R$20))+($R$6*(1+F$75)*(1-$C$27)*(1-$C$28)/($B79-F$75))*(1+$B79)^(-(Inputs!$C$9+9)))-$C$48)*(1-$C$50)+$C$57+$C$58)/$C$60</f>
        <v>318.3928925890678</v>
      </c>
      <c r="G79" s="17">
        <f>(((SUMPRODUCT($I$19:$R$19*(1+$B79)^(-$I$20:$R$20))+($R$6*(1+G$75)*(1-$C$27)*(1-$C$28)/($B79-G$75))*(1+$B79)^(-(Inputs!$C$9+9)))-$C$48)*(1-$C$50)+$C$57+$C$58)/$C$60</f>
        <v>348.44540365880761</v>
      </c>
      <c r="H79" s="6"/>
      <c r="I79" s="6"/>
      <c r="J79" s="6"/>
      <c r="K79" s="6"/>
      <c r="L79" s="6"/>
      <c r="M79" s="6"/>
      <c r="N79" s="6"/>
      <c r="O79" s="6"/>
      <c r="P79" s="6"/>
      <c r="Q79" s="6"/>
      <c r="R79" s="6"/>
      <c r="S79" s="6"/>
      <c r="T79" s="6"/>
    </row>
    <row r="80" spans="1:20" x14ac:dyDescent="0.3">
      <c r="A80" s="6"/>
      <c r="B80" s="64">
        <f>$C$25+(0.01)</f>
        <v>0.100397496149</v>
      </c>
      <c r="C80" s="17">
        <f>(((SUMPRODUCT($I$19:$R$19*(1+$B80)^(-$I$20:$R$20))+($R$6*(1+C$75)*(1-$C$27)*(1-$C$28)/($B80-C$75))*(1+$B80)^(-(Inputs!$C$9+9)))-$C$48)*(1-$C$50)+$C$57+$C$58)/$C$60</f>
        <v>230.83614554508981</v>
      </c>
      <c r="D80" s="17">
        <f>(((SUMPRODUCT($I$19:$R$19*(1+$B80)^(-$I$20:$R$20))+($R$6*(1+D$75)*(1-$C$27)*(1-$C$28)/($B80-D$75))*(1+$B80)^(-(Inputs!$C$9+9)))-$C$48)*(1-$C$50)+$C$57+$C$58)/$C$60</f>
        <v>245.20587091357669</v>
      </c>
      <c r="E80" s="17">
        <f>(((SUMPRODUCT($I$19:$R$19*(1+$B80)^(-$I$20:$R$20))+($R$6*(1+E$75)*(1-$C$27)*(1-$C$28)/($B80-E$75))*(1+$B80)^(-(Inputs!$C$9+9)))-$C$48)*(1-$C$50)+$C$57+$C$58)/$C$60</f>
        <v>261.95478851431062</v>
      </c>
      <c r="F80" s="17">
        <f>(((SUMPRODUCT($I$19:$R$19*(1+$B80)^(-$I$20:$R$20))+($R$6*(1+F$75)*(1-$C$27)*(1-$C$28)/($B80-F$75))*(1+$B80)^(-(Inputs!$C$9+9)))-$C$48)*(1-$C$50)+$C$57+$C$58)/$C$60</f>
        <v>281.72711308558439</v>
      </c>
      <c r="G80" s="17">
        <f>(((SUMPRODUCT($I$19:$R$19*(1+$B80)^(-$I$20:$R$20))+($R$6*(1+G$75)*(1-$C$27)*(1-$C$28)/($B80-G$75))*(1+$B80)^(-(Inputs!$C$9+9)))-$C$48)*(1-$C$50)+$C$57+$C$58)/$C$60</f>
        <v>305.4227128356124</v>
      </c>
      <c r="H80" s="6"/>
      <c r="I80" s="6"/>
      <c r="J80" s="6"/>
      <c r="K80" s="6"/>
      <c r="L80" s="6"/>
      <c r="M80" s="6"/>
      <c r="N80" s="6"/>
      <c r="O80" s="6"/>
      <c r="P80" s="6"/>
      <c r="Q80" s="6"/>
      <c r="R80" s="6"/>
      <c r="S80" s="6"/>
      <c r="T80" s="6"/>
    </row>
    <row r="81" spans="1:20" x14ac:dyDescent="0.3">
      <c r="A81" s="6"/>
      <c r="B81" s="6"/>
      <c r="C81" s="6"/>
      <c r="D81" s="6"/>
      <c r="E81" s="6"/>
      <c r="F81" s="6"/>
      <c r="G81" s="6"/>
      <c r="H81" s="6"/>
      <c r="I81" s="6"/>
      <c r="J81" s="6"/>
      <c r="K81" s="6"/>
      <c r="L81" s="6"/>
      <c r="M81" s="6"/>
      <c r="N81" s="6"/>
      <c r="O81" s="6"/>
      <c r="P81" s="6"/>
      <c r="Q81" s="6"/>
      <c r="R81" s="6"/>
      <c r="S81" s="6"/>
      <c r="T81" s="6"/>
    </row>
    <row r="82" spans="1:20" x14ac:dyDescent="0.3">
      <c r="A82" s="6"/>
      <c r="B82" s="7" t="s">
        <v>648</v>
      </c>
      <c r="C82" s="7"/>
      <c r="D82" s="7"/>
      <c r="E82" s="7"/>
      <c r="F82" s="7"/>
      <c r="G82" s="7"/>
      <c r="H82" s="7"/>
      <c r="I82" s="7"/>
      <c r="J82" s="7"/>
      <c r="K82" s="6"/>
      <c r="L82" s="6"/>
      <c r="M82" s="6"/>
      <c r="N82" s="6"/>
      <c r="O82" s="6"/>
      <c r="P82" s="6"/>
      <c r="Q82" s="6"/>
      <c r="R82" s="6"/>
      <c r="S82" s="6"/>
      <c r="T82" s="6"/>
    </row>
    <row r="83" spans="1:20" x14ac:dyDescent="0.3">
      <c r="A83" s="6"/>
      <c r="B83" s="11" t="s">
        <v>649</v>
      </c>
      <c r="C83" s="16">
        <v>0.04</v>
      </c>
      <c r="D83" s="16">
        <v>0.06</v>
      </c>
      <c r="E83" s="16">
        <v>0.08</v>
      </c>
      <c r="F83" s="16">
        <v>0.1</v>
      </c>
      <c r="G83" s="16">
        <v>0.12</v>
      </c>
      <c r="H83" s="6"/>
      <c r="I83" s="6"/>
      <c r="J83" s="6"/>
      <c r="K83" s="6"/>
      <c r="L83" s="6"/>
      <c r="M83" s="6"/>
      <c r="N83" s="6"/>
      <c r="O83" s="6"/>
      <c r="P83" s="6"/>
      <c r="Q83" s="6"/>
      <c r="R83" s="6"/>
      <c r="S83" s="6"/>
      <c r="T83" s="6"/>
    </row>
    <row r="84" spans="1:20" x14ac:dyDescent="0.3">
      <c r="A84" s="6"/>
      <c r="B84" s="64">
        <f>$C$25+(-0.01)</f>
        <v>8.0397496149000006E-2</v>
      </c>
      <c r="C84" s="17">
        <f>(((SUMPRODUCT($I$19:$R$19*(1+$B84)^(-$I$20:$R$20))+($R$6*(1+$C$26)*(1-C$83)*(1-$C$28)/($B84-$C$26))*(1+$B84)^(-(Inputs!$C$9+9)))-$C$48)*(1-$C$50)+$C$57+$C$58)/$C$60</f>
        <v>452.54316951517831</v>
      </c>
      <c r="D84" s="17">
        <f>(((SUMPRODUCT($I$19:$R$19*(1+$B84)^(-$I$20:$R$20))+($R$6*(1+$C$26)*(1-D$83)*(1-$C$28)/($B84-$C$26))*(1+$B84)^(-(Inputs!$C$9+9)))-$C$48)*(1-$C$50)+$C$57+$C$58)/$C$60</f>
        <v>444.53715567807399</v>
      </c>
      <c r="E84" s="17">
        <f>(((SUMPRODUCT($I$19:$R$19*(1+$B84)^(-$I$20:$R$20))+($R$6*(1+$C$26)*(1-E$83)*(1-$C$28)/($B84-$C$26))*(1+$B84)^(-(Inputs!$C$9+9)))-$C$48)*(1-$C$50)+$C$57+$C$58)/$C$60</f>
        <v>436.53114184096955</v>
      </c>
      <c r="F84" s="17">
        <f>(((SUMPRODUCT($I$19:$R$19*(1+$B84)^(-$I$20:$R$20))+($R$6*(1+$C$26)*(1-F$83)*(1-$C$28)/($B84-$C$26))*(1+$B84)^(-(Inputs!$C$9+9)))-$C$48)*(1-$C$50)+$C$57+$C$58)/$C$60</f>
        <v>428.52512800386501</v>
      </c>
      <c r="G84" s="17">
        <f>(((SUMPRODUCT($I$19:$R$19*(1+$B84)^(-$I$20:$R$20))+($R$6*(1+$C$26)*(1-G$83)*(1-$C$28)/($B84-$C$26))*(1+$B84)^(-(Inputs!$C$9+9)))-$C$48)*(1-$C$50)+$C$57+$C$58)/$C$60</f>
        <v>420.51911416676069</v>
      </c>
      <c r="H84" s="6"/>
      <c r="I84" s="6"/>
      <c r="J84" s="6"/>
      <c r="K84" s="6"/>
      <c r="L84" s="6"/>
      <c r="M84" s="6"/>
      <c r="N84" s="6"/>
      <c r="O84" s="6"/>
      <c r="P84" s="6"/>
      <c r="Q84" s="6"/>
      <c r="R84" s="6"/>
      <c r="S84" s="6"/>
      <c r="T84" s="6"/>
    </row>
    <row r="85" spans="1:20" x14ac:dyDescent="0.3">
      <c r="A85" s="6"/>
      <c r="B85" s="64">
        <f>$C$25+(-0.005)</f>
        <v>8.5397496148999996E-2</v>
      </c>
      <c r="C85" s="17">
        <f>(((SUMPRODUCT($I$19:$R$19*(1+$B85)^(-$I$20:$R$20))+($R$6*(1+$C$26)*(1-C$83)*(1-$C$28)/($B85-$C$26))*(1+$B85)^(-(Inputs!$C$9+9)))-$C$48)*(1-$C$50)+$C$57+$C$58)/$C$60</f>
        <v>392.08386645036489</v>
      </c>
      <c r="D85" s="17">
        <f>(((SUMPRODUCT($I$19:$R$19*(1+$B85)^(-$I$20:$R$20))+($R$6*(1+$C$26)*(1-D$83)*(1-$C$28)/($B85-$C$26))*(1+$B85)^(-(Inputs!$C$9+9)))-$C$48)*(1-$C$50)+$C$57+$C$58)/$C$60</f>
        <v>385.26445760072005</v>
      </c>
      <c r="E85" s="17">
        <f>(((SUMPRODUCT($I$19:$R$19*(1+$B85)^(-$I$20:$R$20))+($R$6*(1+$C$26)*(1-E$83)*(1-$C$28)/($B85-$C$26))*(1+$B85)^(-(Inputs!$C$9+9)))-$C$48)*(1-$C$50)+$C$57+$C$58)/$C$60</f>
        <v>378.44504875107515</v>
      </c>
      <c r="F85" s="17">
        <f>(((SUMPRODUCT($I$19:$R$19*(1+$B85)^(-$I$20:$R$20))+($R$6*(1+$C$26)*(1-F$83)*(1-$C$28)/($B85-$C$26))*(1+$B85)^(-(Inputs!$C$9+9)))-$C$48)*(1-$C$50)+$C$57+$C$58)/$C$60</f>
        <v>371.62563990143019</v>
      </c>
      <c r="G85" s="17">
        <f>(((SUMPRODUCT($I$19:$R$19*(1+$B85)^(-$I$20:$R$20))+($R$6*(1+$C$26)*(1-G$83)*(1-$C$28)/($B85-$C$26))*(1+$B85)^(-(Inputs!$C$9+9)))-$C$48)*(1-$C$50)+$C$57+$C$58)/$C$60</f>
        <v>364.8062310517854</v>
      </c>
      <c r="H85" s="6"/>
      <c r="I85" s="6"/>
      <c r="J85" s="6"/>
      <c r="K85" s="6"/>
      <c r="L85" s="6"/>
      <c r="M85" s="6"/>
      <c r="N85" s="6"/>
      <c r="O85" s="6"/>
      <c r="P85" s="6"/>
      <c r="Q85" s="6"/>
      <c r="R85" s="6"/>
      <c r="S85" s="6"/>
      <c r="T85" s="6"/>
    </row>
    <row r="86" spans="1:20" x14ac:dyDescent="0.3">
      <c r="A86" s="6"/>
      <c r="B86" s="64">
        <f>$C$25+(0)</f>
        <v>9.0397496149000001E-2</v>
      </c>
      <c r="C86" s="17">
        <f>(((SUMPRODUCT($I$19:$R$19*(1+$B86)^(-$I$20:$R$20))+($R$6*(1+$C$26)*(1-C$83)*(1-$C$28)/($B86-$C$26))*(1+$B86)^(-(Inputs!$C$9+9)))-$C$48)*(1-$C$50)+$C$57+$C$58)/$C$60</f>
        <v>343.66080362957439</v>
      </c>
      <c r="D86" s="17">
        <f>(((SUMPRODUCT($I$19:$R$19*(1+$B86)^(-$I$20:$R$20))+($R$6*(1+$C$26)*(1-D$83)*(1-$C$28)/($B86-$C$26))*(1+$B86)^(-(Inputs!$C$9+9)))-$C$48)*(1-$C$50)+$C$57+$C$58)/$C$60</f>
        <v>337.7796191518018</v>
      </c>
      <c r="E86" s="17">
        <f>(((SUMPRODUCT($I$19:$R$19*(1+$B86)^(-$I$20:$R$20))+($R$6*(1+$C$26)*(1-E$83)*(1-$C$28)/($B86-$C$26))*(1+$B86)^(-(Inputs!$C$9+9)))-$C$48)*(1-$C$50)+$C$57+$C$58)/$C$60</f>
        <v>331.89843467402909</v>
      </c>
      <c r="F86" s="17">
        <f>(((SUMPRODUCT($I$19:$R$19*(1+$B86)^(-$I$20:$R$20))+($R$6*(1+$C$26)*(1-F$83)*(1-$C$28)/($B86-$C$26))*(1+$B86)^(-(Inputs!$C$9+9)))-$C$48)*(1-$C$50)+$C$57+$C$58)/$C$60</f>
        <v>326.01725019625644</v>
      </c>
      <c r="G86" s="17">
        <f>(((SUMPRODUCT($I$19:$R$19*(1+$B86)^(-$I$20:$R$20))+($R$6*(1+$C$26)*(1-G$83)*(1-$C$28)/($B86-$C$26))*(1+$B86)^(-(Inputs!$C$9+9)))-$C$48)*(1-$C$50)+$C$57+$C$58)/$C$60</f>
        <v>320.13606571848374</v>
      </c>
      <c r="H86" s="6"/>
      <c r="I86" s="6"/>
      <c r="J86" s="6"/>
      <c r="K86" s="6"/>
      <c r="L86" s="6"/>
      <c r="M86" s="6"/>
      <c r="N86" s="6"/>
      <c r="O86" s="6"/>
      <c r="P86" s="6"/>
      <c r="Q86" s="6"/>
      <c r="R86" s="6"/>
      <c r="S86" s="6"/>
      <c r="T86" s="6"/>
    </row>
    <row r="87" spans="1:20" x14ac:dyDescent="0.3">
      <c r="A87" s="6"/>
      <c r="B87" s="64">
        <f>$C$25+(0.005)</f>
        <v>9.5397496149000005E-2</v>
      </c>
      <c r="C87" s="17">
        <f>(((SUMPRODUCT($I$19:$R$19*(1+$B87)^(-$I$20:$R$20))+($R$6*(1+$C$26)*(1-C$83)*(1-$C$28)/($B87-$C$26))*(1+$B87)^(-(Inputs!$C$9+9)))-$C$48)*(1-$C$50)+$C$57+$C$58)/$C$60</f>
        <v>304.01223252097424</v>
      </c>
      <c r="D87" s="17">
        <f>(((SUMPRODUCT($I$19:$R$19*(1+$B87)^(-$I$20:$R$20))+($R$6*(1+$C$26)*(1-D$83)*(1-$C$28)/($B87-$C$26))*(1+$B87)^(-(Inputs!$C$9+9)))-$C$48)*(1-$C$50)+$C$57+$C$58)/$C$60</f>
        <v>298.88875010502539</v>
      </c>
      <c r="E87" s="17">
        <f>(((SUMPRODUCT($I$19:$R$19*(1+$B87)^(-$I$20:$R$20))+($R$6*(1+$C$26)*(1-E$83)*(1-$C$28)/($B87-$C$26))*(1+$B87)^(-(Inputs!$C$9+9)))-$C$48)*(1-$C$50)+$C$57+$C$58)/$C$60</f>
        <v>293.76526768907644</v>
      </c>
      <c r="F87" s="17">
        <f>(((SUMPRODUCT($I$19:$R$19*(1+$B87)^(-$I$20:$R$20))+($R$6*(1+$C$26)*(1-F$83)*(1-$C$28)/($B87-$C$26))*(1+$B87)^(-(Inputs!$C$9+9)))-$C$48)*(1-$C$50)+$C$57+$C$58)/$C$60</f>
        <v>288.6417852731276</v>
      </c>
      <c r="G87" s="17">
        <f>(((SUMPRODUCT($I$19:$R$19*(1+$B87)^(-$I$20:$R$20))+($R$6*(1+$C$26)*(1-G$83)*(1-$C$28)/($B87-$C$26))*(1+$B87)^(-(Inputs!$C$9+9)))-$C$48)*(1-$C$50)+$C$57+$C$58)/$C$60</f>
        <v>283.51830285717864</v>
      </c>
      <c r="H87" s="6"/>
      <c r="I87" s="6"/>
      <c r="J87" s="6"/>
      <c r="K87" s="6"/>
      <c r="L87" s="6"/>
      <c r="M87" s="6"/>
      <c r="N87" s="6"/>
      <c r="O87" s="6"/>
      <c r="P87" s="6"/>
      <c r="Q87" s="6"/>
      <c r="R87" s="6"/>
      <c r="S87" s="6"/>
      <c r="T87" s="6"/>
    </row>
    <row r="88" spans="1:20" x14ac:dyDescent="0.3">
      <c r="A88" s="6"/>
      <c r="B88" s="64">
        <f>$C$25+(0.01)</f>
        <v>0.100397496149</v>
      </c>
      <c r="C88" s="17">
        <f>(((SUMPRODUCT($I$19:$R$19*(1+$B88)^(-$I$20:$R$20))+($R$6*(1+$C$26)*(1-C$83)*(1-$C$28)/($B88-$C$26))*(1+$B88)^(-(Inputs!$C$9+9)))-$C$48)*(1-$C$50)+$C$57+$C$58)/$C$60</f>
        <v>270.9566799790436</v>
      </c>
      <c r="D88" s="17">
        <f>(((SUMPRODUCT($I$19:$R$19*(1+$B88)^(-$I$20:$R$20))+($R$6*(1+$C$26)*(1-D$83)*(1-$C$28)/($B88-$C$26))*(1+$B88)^(-(Inputs!$C$9+9)))-$C$48)*(1-$C$50)+$C$57+$C$58)/$C$60</f>
        <v>266.45573424667714</v>
      </c>
      <c r="E88" s="17">
        <f>(((SUMPRODUCT($I$19:$R$19*(1+$B88)^(-$I$20:$R$20))+($R$6*(1+$C$26)*(1-E$83)*(1-$C$28)/($B88-$C$26))*(1+$B88)^(-(Inputs!$C$9+9)))-$C$48)*(1-$C$50)+$C$57+$C$58)/$C$60</f>
        <v>261.95478851431062</v>
      </c>
      <c r="F88" s="17">
        <f>(((SUMPRODUCT($I$19:$R$19*(1+$B88)^(-$I$20:$R$20))+($R$6*(1+$C$26)*(1-F$83)*(1-$C$28)/($B88-$C$26))*(1+$B88)^(-(Inputs!$C$9+9)))-$C$48)*(1-$C$50)+$C$57+$C$58)/$C$60</f>
        <v>257.45384278194422</v>
      </c>
      <c r="G88" s="17">
        <f>(((SUMPRODUCT($I$19:$R$19*(1+$B88)^(-$I$20:$R$20))+($R$6*(1+$C$26)*(1-G$83)*(1-$C$28)/($B88-$C$26))*(1+$B88)^(-(Inputs!$C$9+9)))-$C$48)*(1-$C$50)+$C$57+$C$58)/$C$60</f>
        <v>252.95289704957779</v>
      </c>
      <c r="H88" s="6"/>
      <c r="I88" s="6"/>
      <c r="J88" s="6"/>
      <c r="K88" s="6"/>
      <c r="L88" s="6"/>
      <c r="M88" s="6"/>
      <c r="N88" s="6"/>
      <c r="O88" s="6"/>
      <c r="P88" s="6"/>
      <c r="Q88" s="6"/>
      <c r="R88" s="6"/>
      <c r="S88" s="6"/>
      <c r="T88" s="6"/>
    </row>
    <row r="89" spans="1:20" x14ac:dyDescent="0.3">
      <c r="A89" s="6"/>
      <c r="B89" s="6"/>
      <c r="C89" s="6"/>
      <c r="D89" s="6"/>
      <c r="E89" s="6"/>
      <c r="F89" s="6"/>
      <c r="G89" s="6"/>
      <c r="H89" s="6"/>
      <c r="I89" s="6"/>
      <c r="J89" s="6"/>
      <c r="K89" s="6"/>
      <c r="L89" s="6"/>
      <c r="M89" s="6"/>
      <c r="N89" s="6"/>
      <c r="O89" s="6"/>
      <c r="P89" s="6"/>
      <c r="Q89" s="6"/>
      <c r="R89" s="6"/>
      <c r="S89" s="6"/>
      <c r="T89" s="6"/>
    </row>
    <row r="90" spans="1:20" x14ac:dyDescent="0.3">
      <c r="A90" s="6"/>
      <c r="B90" s="7" t="s">
        <v>650</v>
      </c>
      <c r="C90" s="7"/>
      <c r="D90" s="7"/>
      <c r="E90" s="7"/>
      <c r="F90" s="7"/>
      <c r="G90" s="7"/>
      <c r="H90" s="7"/>
      <c r="I90" s="7"/>
      <c r="J90" s="7"/>
      <c r="K90" s="6"/>
      <c r="L90" s="6"/>
      <c r="M90" s="6"/>
      <c r="N90" s="6"/>
      <c r="O90" s="6"/>
      <c r="P90" s="6"/>
      <c r="Q90" s="6"/>
      <c r="R90" s="6"/>
      <c r="S90" s="6"/>
      <c r="T90" s="6"/>
    </row>
    <row r="91" spans="1:20" ht="26.4" x14ac:dyDescent="0.3">
      <c r="A91" s="6"/>
      <c r="B91" s="8" t="s">
        <v>16</v>
      </c>
      <c r="C91" s="8" t="s">
        <v>52</v>
      </c>
      <c r="D91" s="6"/>
      <c r="E91" s="6"/>
      <c r="F91" s="6"/>
      <c r="G91" s="6"/>
      <c r="H91" s="6"/>
      <c r="I91" s="6"/>
      <c r="J91" s="6"/>
      <c r="K91" s="6"/>
      <c r="L91" s="6"/>
      <c r="M91" s="6"/>
      <c r="N91" s="6"/>
      <c r="O91" s="6"/>
      <c r="P91" s="6"/>
      <c r="Q91" s="6"/>
      <c r="R91" s="6"/>
      <c r="S91" s="6"/>
      <c r="T91" s="6"/>
    </row>
    <row r="92" spans="1:20" x14ac:dyDescent="0.3">
      <c r="A92" s="6"/>
      <c r="B92" s="18">
        <v>7.0000000000000007E-2</v>
      </c>
      <c r="C92" s="17">
        <f>(((SUMPRODUCT($I$19:$R$19*(1+$B92)^(-$I$20:$R$20))+($R$6*(1+$C$26)*(1-$C$27)*(1-$C$28)/($B92-$C$26))*(1+$B92)^(-(Inputs!$C$9+9)))-$C$48)*(1-$C$50)+$C$57+$C$58)/$C$60</f>
        <v>619.40467702920625</v>
      </c>
      <c r="D92" s="6"/>
      <c r="E92" s="6"/>
      <c r="F92" s="6"/>
      <c r="G92" s="6"/>
      <c r="H92" s="6"/>
      <c r="I92" s="6"/>
      <c r="J92" s="6"/>
      <c r="K92" s="6"/>
      <c r="L92" s="6"/>
      <c r="M92" s="6"/>
      <c r="N92" s="6"/>
      <c r="O92" s="6"/>
      <c r="P92" s="6"/>
      <c r="Q92" s="6"/>
      <c r="R92" s="6"/>
      <c r="S92" s="6"/>
      <c r="T92" s="6"/>
    </row>
    <row r="93" spans="1:20" x14ac:dyDescent="0.3">
      <c r="A93" s="6"/>
      <c r="B93" s="18">
        <v>7.4999999999999997E-2</v>
      </c>
      <c r="C93" s="17">
        <f>(((SUMPRODUCT($I$19:$R$19*(1+$B93)^(-$I$20:$R$20))+($R$6*(1+$C$26)*(1-$C$27)*(1-$C$28)/($B93-$C$26))*(1+$B93)^(-(Inputs!$C$9+9)))-$C$48)*(1-$C$50)+$C$57+$C$58)/$C$60</f>
        <v>517.88797737419782</v>
      </c>
      <c r="D93" s="6"/>
      <c r="E93" s="6"/>
      <c r="F93" s="6"/>
      <c r="G93" s="6"/>
      <c r="H93" s="6"/>
      <c r="I93" s="6"/>
      <c r="J93" s="6"/>
      <c r="K93" s="6"/>
      <c r="L93" s="6"/>
      <c r="M93" s="6"/>
      <c r="N93" s="6"/>
      <c r="O93" s="6"/>
      <c r="P93" s="6"/>
      <c r="Q93" s="6"/>
      <c r="R93" s="6"/>
      <c r="S93" s="6"/>
      <c r="T93" s="6"/>
    </row>
    <row r="94" spans="1:20" x14ac:dyDescent="0.3">
      <c r="A94" s="6"/>
      <c r="B94" s="18">
        <v>0.08</v>
      </c>
      <c r="C94" s="17">
        <f>(((SUMPRODUCT($I$19:$R$19*(1+$B94)^(-$I$20:$R$20))+($R$6*(1+$C$26)*(1-$C$27)*(1-$C$28)/($B94-$C$26))*(1+$B94)^(-(Inputs!$C$9+9)))-$C$48)*(1-$C$50)+$C$57+$C$58)/$C$60</f>
        <v>441.77287175895066</v>
      </c>
      <c r="D94" s="6"/>
      <c r="E94" s="6"/>
      <c r="F94" s="6"/>
      <c r="G94" s="6"/>
      <c r="H94" s="6"/>
      <c r="I94" s="6"/>
      <c r="J94" s="6"/>
      <c r="K94" s="6"/>
      <c r="L94" s="6"/>
      <c r="M94" s="6"/>
      <c r="N94" s="6"/>
      <c r="O94" s="6"/>
      <c r="P94" s="6"/>
      <c r="Q94" s="6"/>
      <c r="R94" s="6"/>
      <c r="S94" s="6"/>
      <c r="T94" s="6"/>
    </row>
    <row r="95" spans="1:20" x14ac:dyDescent="0.3">
      <c r="A95" s="6"/>
      <c r="B95" s="18">
        <v>8.5000000000000006E-2</v>
      </c>
      <c r="C95" s="17">
        <f>(((SUMPRODUCT($I$19:$R$19*(1+$B95)^(-$I$20:$R$20))+($R$6*(1+$C$26)*(1-$C$27)*(1-$C$28)/($B95-$C$26))*(1+$B95)^(-(Inputs!$C$9+9)))-$C$48)*(1-$C$50)+$C$57+$C$58)/$C$60</f>
        <v>382.58995543061957</v>
      </c>
      <c r="D95" s="6"/>
      <c r="E95" s="6"/>
      <c r="F95" s="6"/>
      <c r="G95" s="6"/>
      <c r="H95" s="6"/>
      <c r="I95" s="6"/>
      <c r="J95" s="6"/>
      <c r="K95" s="6"/>
      <c r="L95" s="6"/>
      <c r="M95" s="6"/>
      <c r="N95" s="6"/>
      <c r="O95" s="6"/>
      <c r="P95" s="6"/>
      <c r="Q95" s="6"/>
      <c r="R95" s="6"/>
      <c r="S95" s="6"/>
      <c r="T95" s="6"/>
    </row>
    <row r="96" spans="1:20" x14ac:dyDescent="0.3">
      <c r="A96" s="6"/>
      <c r="B96" s="18">
        <v>0.09</v>
      </c>
      <c r="C96" s="17">
        <f>(((SUMPRODUCT($I$19:$R$19*(1+$B96)^(-$I$20:$R$20))+($R$6*(1+$C$26)*(1-$C$27)*(1-$C$28)/($B96-$C$26))*(1+$B96)^(-(Inputs!$C$9+9)))-$C$48)*(1-$C$50)+$C$57+$C$58)/$C$60</f>
        <v>335.25775794048741</v>
      </c>
      <c r="D96" s="6"/>
      <c r="E96" s="6"/>
      <c r="F96" s="6"/>
      <c r="G96" s="6"/>
      <c r="H96" s="6"/>
      <c r="I96" s="6"/>
      <c r="J96" s="6"/>
      <c r="K96" s="6"/>
      <c r="L96" s="6"/>
      <c r="M96" s="6"/>
      <c r="N96" s="6"/>
      <c r="O96" s="6"/>
      <c r="P96" s="6"/>
      <c r="Q96" s="6"/>
      <c r="R96" s="6"/>
      <c r="S96" s="6"/>
      <c r="T96" s="6"/>
    </row>
    <row r="97" spans="1:20" x14ac:dyDescent="0.3">
      <c r="A97" s="6"/>
      <c r="B97" s="18">
        <v>9.5000000000000001E-2</v>
      </c>
      <c r="C97" s="17">
        <f>(((SUMPRODUCT($I$19:$R$19*(1+$B97)^(-$I$20:$R$20))+($R$6*(1+$C$26)*(1-$C$27)*(1-$C$28)/($B97-$C$26))*(1+$B97)^(-(Inputs!$C$9+9)))-$C$48)*(1-$C$50)+$C$57+$C$58)/$C$60</f>
        <v>296.54276036914291</v>
      </c>
      <c r="D97" s="6"/>
      <c r="E97" s="6"/>
      <c r="F97" s="6"/>
      <c r="G97" s="6"/>
      <c r="H97" s="6"/>
      <c r="I97" s="6"/>
      <c r="J97" s="6"/>
      <c r="K97" s="6"/>
      <c r="L97" s="6"/>
      <c r="M97" s="6"/>
      <c r="N97" s="6"/>
      <c r="O97" s="6"/>
      <c r="P97" s="6"/>
      <c r="Q97" s="6"/>
      <c r="R97" s="6"/>
      <c r="S97" s="6"/>
      <c r="T97" s="6"/>
    </row>
    <row r="98" spans="1:20" x14ac:dyDescent="0.3">
      <c r="A98" s="6"/>
      <c r="B98" s="18">
        <v>0.1</v>
      </c>
      <c r="C98" s="17">
        <f>(((SUMPRODUCT($I$19:$R$19*(1+$B98)^(-$I$20:$R$20))+($R$6*(1+$C$26)*(1-$C$27)*(1-$C$28)/($B98-$C$26))*(1+$B98)^(-(Inputs!$C$9+9)))-$C$48)*(1-$C$50)+$C$57+$C$58)/$C$60</f>
        <v>264.28940486067734</v>
      </c>
      <c r="D98" s="6"/>
      <c r="E98" s="6"/>
      <c r="F98" s="6"/>
      <c r="G98" s="6"/>
      <c r="H98" s="6"/>
      <c r="I98" s="6"/>
      <c r="J98" s="6"/>
      <c r="K98" s="6"/>
      <c r="L98" s="6"/>
      <c r="M98" s="6"/>
      <c r="N98" s="6"/>
      <c r="O98" s="6"/>
      <c r="P98" s="6"/>
      <c r="Q98" s="6"/>
      <c r="R98" s="6"/>
      <c r="S98" s="6"/>
      <c r="T98" s="6"/>
    </row>
    <row r="99" spans="1:20" x14ac:dyDescent="0.3">
      <c r="A99" s="6"/>
      <c r="B99" s="18">
        <v>0.105</v>
      </c>
      <c r="C99" s="17">
        <f>(((SUMPRODUCT($I$19:$R$19*(1+$B99)^(-$I$20:$R$20))+($R$6*(1+$C$26)*(1-$C$27)*(1-$C$28)/($B99-$C$26))*(1+$B99)^(-(Inputs!$C$9+9)))-$C$48)*(1-$C$50)+$C$57+$C$58)/$C$60</f>
        <v>237.00548515402215</v>
      </c>
      <c r="D99" s="6"/>
      <c r="E99" s="6"/>
      <c r="F99" s="6"/>
      <c r="G99" s="6"/>
      <c r="H99" s="6"/>
      <c r="I99" s="6"/>
      <c r="J99" s="6"/>
      <c r="K99" s="6"/>
      <c r="L99" s="6"/>
      <c r="M99" s="6"/>
      <c r="N99" s="6"/>
      <c r="O99" s="6"/>
      <c r="P99" s="6"/>
      <c r="Q99" s="6"/>
      <c r="R99" s="6"/>
      <c r="S99" s="6"/>
      <c r="T99" s="6"/>
    </row>
    <row r="100" spans="1:20" x14ac:dyDescent="0.3">
      <c r="A100" s="6"/>
      <c r="B100" s="18">
        <v>0.11</v>
      </c>
      <c r="C100" s="17">
        <f>(((SUMPRODUCT($I$19:$R$19*(1+$B100)^(-$I$20:$R$20))+($R$6*(1+$C$26)*(1-$C$27)*(1-$C$28)/($B100-$C$26))*(1+$B100)^(-(Inputs!$C$9+9)))-$C$48)*(1-$C$50)+$C$57+$C$58)/$C$60</f>
        <v>213.62522755442873</v>
      </c>
      <c r="D100" s="6"/>
      <c r="E100" s="6"/>
      <c r="F100" s="6"/>
      <c r="G100" s="6"/>
      <c r="H100" s="6"/>
      <c r="I100" s="6"/>
      <c r="J100" s="6"/>
      <c r="K100" s="6"/>
      <c r="L100" s="6"/>
      <c r="M100" s="6"/>
      <c r="N100" s="6"/>
      <c r="O100" s="6"/>
      <c r="P100" s="6"/>
      <c r="Q100" s="6"/>
      <c r="R100" s="6"/>
      <c r="S100" s="6"/>
      <c r="T100" s="6"/>
    </row>
    <row r="101" spans="1:20" x14ac:dyDescent="0.3">
      <c r="A101" s="6"/>
      <c r="B101" s="18">
        <v>0.115</v>
      </c>
      <c r="C101" s="17">
        <f>(((SUMPRODUCT($I$19:$R$19*(1+$B101)^(-$I$20:$R$20))+($R$6*(1+$C$26)*(1-$C$27)*(1-$C$28)/($B101-$C$26))*(1+$B101)^(-(Inputs!$C$9+9)))-$C$48)*(1-$C$50)+$C$57+$C$58)/$C$60</f>
        <v>193.3671400896832</v>
      </c>
      <c r="D101" s="6"/>
      <c r="E101" s="6"/>
      <c r="F101" s="6"/>
      <c r="G101" s="6"/>
      <c r="H101" s="6"/>
      <c r="I101" s="6"/>
      <c r="J101" s="6"/>
      <c r="K101" s="6"/>
      <c r="L101" s="6"/>
      <c r="M101" s="6"/>
      <c r="N101" s="6"/>
      <c r="O101" s="6"/>
      <c r="P101" s="6"/>
      <c r="Q101" s="6"/>
      <c r="R101" s="6"/>
      <c r="S101" s="6"/>
      <c r="T101" s="6"/>
    </row>
    <row r="102" spans="1:20" x14ac:dyDescent="0.3">
      <c r="A102" s="6"/>
      <c r="B102" s="18">
        <v>0.12</v>
      </c>
      <c r="C102" s="17">
        <f>(((SUMPRODUCT($I$19:$R$19*(1+$B102)^(-$I$20:$R$20))+($R$6*(1+$C$26)*(1-$C$27)*(1-$C$28)/($B102-$C$26))*(1+$B102)^(-(Inputs!$C$9+9)))-$C$48)*(1-$C$50)+$C$57+$C$58)/$C$60</f>
        <v>175.64516872718053</v>
      </c>
      <c r="D102" s="6"/>
      <c r="E102" s="6"/>
      <c r="F102" s="6"/>
      <c r="G102" s="6"/>
      <c r="H102" s="6"/>
      <c r="I102" s="6"/>
      <c r="J102" s="6"/>
      <c r="K102" s="6"/>
      <c r="L102" s="6"/>
      <c r="M102" s="6"/>
      <c r="N102" s="6"/>
      <c r="O102" s="6"/>
      <c r="P102" s="6"/>
      <c r="Q102" s="6"/>
      <c r="R102" s="6"/>
      <c r="S102" s="6"/>
      <c r="T102" s="6"/>
    </row>
    <row r="103" spans="1:20" x14ac:dyDescent="0.3">
      <c r="A103" s="6"/>
      <c r="B103" s="18">
        <v>0.125</v>
      </c>
      <c r="C103" s="17">
        <f>(((SUMPRODUCT($I$19:$R$19*(1+$B103)^(-$I$20:$R$20))+($R$6*(1+$C$26)*(1-$C$27)*(1-$C$28)/($B103-$C$26))*(1+$B103)^(-(Inputs!$C$9+9)))-$C$48)*(1-$C$50)+$C$57+$C$58)/$C$60</f>
        <v>160.0112106484458</v>
      </c>
      <c r="D103" s="6"/>
      <c r="E103" s="6"/>
      <c r="F103" s="6"/>
      <c r="G103" s="6"/>
      <c r="H103" s="6"/>
      <c r="I103" s="6"/>
      <c r="J103" s="6"/>
      <c r="K103" s="6"/>
      <c r="L103" s="6"/>
      <c r="M103" s="6"/>
      <c r="N103" s="6"/>
      <c r="O103" s="6"/>
      <c r="P103" s="6"/>
      <c r="Q103" s="6"/>
      <c r="R103" s="6"/>
      <c r="S103" s="6"/>
      <c r="T103" s="6"/>
    </row>
    <row r="104" spans="1:20" x14ac:dyDescent="0.3">
      <c r="A104" s="6"/>
      <c r="B104" s="18">
        <v>0.13</v>
      </c>
      <c r="C104" s="17">
        <f>(((SUMPRODUCT($I$19:$R$19*(1+$B104)^(-$I$20:$R$20))+($R$6*(1+$C$26)*(1-$C$27)*(1-$C$28)/($B104-$C$26))*(1+$B104)^(-(Inputs!$C$9+9)))-$C$48)*(1-$C$50)+$C$57+$C$58)/$C$60</f>
        <v>146.11679013761176</v>
      </c>
      <c r="D104" s="6"/>
      <c r="E104" s="6"/>
      <c r="F104" s="6"/>
      <c r="G104" s="6"/>
      <c r="H104" s="6"/>
      <c r="I104" s="6"/>
      <c r="J104" s="6"/>
      <c r="K104" s="6"/>
      <c r="L104" s="6"/>
      <c r="M104" s="6"/>
      <c r="N104" s="6"/>
      <c r="O104" s="6"/>
      <c r="P104" s="6"/>
      <c r="Q104" s="6"/>
      <c r="R104" s="6"/>
      <c r="S104" s="6"/>
      <c r="T104" s="6"/>
    </row>
    <row r="105" spans="1:20" x14ac:dyDescent="0.3">
      <c r="A105" s="6"/>
      <c r="B105" s="6"/>
      <c r="C105" s="6"/>
      <c r="D105" s="6"/>
      <c r="E105" s="6"/>
      <c r="F105" s="6"/>
      <c r="G105" s="6"/>
      <c r="H105" s="6"/>
      <c r="I105" s="6"/>
      <c r="J105" s="6"/>
      <c r="K105" s="6"/>
      <c r="L105" s="6"/>
      <c r="M105" s="6"/>
      <c r="N105" s="6"/>
      <c r="O105" s="6"/>
      <c r="P105" s="6"/>
      <c r="Q105" s="6"/>
      <c r="R105" s="6"/>
      <c r="S105" s="6"/>
      <c r="T105" s="6"/>
    </row>
    <row r="106" spans="1:20" x14ac:dyDescent="0.3">
      <c r="A106" s="6"/>
      <c r="B106" s="23" t="s">
        <v>651</v>
      </c>
      <c r="C106" s="53">
        <f>INDEX(B92:B104,MATCH(Inputs!$C$10,C92:C104,-1))+(INDEX(C92:C104,MATCH(Inputs!$C$10,C92:C104,-1))-Inputs!$C$10)/(INDEX(C92:C104,MATCH(Inputs!$C$10,C92:C104,-1))-INDEX(C92:C104,MATCH(Inputs!$C$10,C92:C104,-1)+1))*0.005</f>
        <v>9.0834012442928214E-2</v>
      </c>
      <c r="D106" s="11" t="s">
        <v>652</v>
      </c>
      <c r="E106" s="6"/>
      <c r="F106" s="6"/>
      <c r="G106" s="6"/>
      <c r="H106" s="6"/>
      <c r="I106" s="6"/>
      <c r="J106" s="6"/>
      <c r="K106" s="6"/>
      <c r="L106" s="6"/>
      <c r="M106" s="6"/>
      <c r="N106" s="6"/>
      <c r="O106" s="6"/>
      <c r="P106" s="6"/>
      <c r="Q106" s="6"/>
      <c r="R106" s="6"/>
      <c r="S106" s="6"/>
      <c r="T106" s="6"/>
    </row>
  </sheetData>
  <pageMargins left="0.75" right="0.75" top="1" bottom="1"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T31"/>
  <sheetViews>
    <sheetView zoomScale="90" zoomScaleNormal="90" workbookViewId="0">
      <pane xSplit="2" ySplit="4" topLeftCell="C5" activePane="bottomRight" state="frozen"/>
      <selection pane="topRight" activeCell="C1" sqref="C1"/>
      <selection pane="bottomLeft" activeCell="A5" sqref="A5"/>
      <selection pane="bottomRight" activeCell="B1" sqref="B1"/>
    </sheetView>
  </sheetViews>
  <sheetFormatPr defaultColWidth="8.6640625" defaultRowHeight="14.4" x14ac:dyDescent="0.3"/>
  <cols>
    <col min="1" max="1" width="2" customWidth="1"/>
    <col min="2" max="2" width="52" customWidth="1"/>
    <col min="3" max="3" width="14" customWidth="1"/>
    <col min="4" max="18" width="11.44140625" customWidth="1"/>
    <col min="19" max="19" width="3" customWidth="1"/>
    <col min="20" max="20" width="60" customWidth="1"/>
  </cols>
  <sheetData>
    <row r="1" spans="1:20" ht="24" customHeight="1" x14ac:dyDescent="0.3">
      <c r="A1" s="2"/>
      <c r="B1" s="4" t="s">
        <v>1013</v>
      </c>
      <c r="C1" s="2"/>
      <c r="D1" s="2"/>
      <c r="E1" s="2"/>
      <c r="F1" s="2"/>
      <c r="G1" s="2"/>
      <c r="H1" s="2"/>
      <c r="I1" s="2"/>
      <c r="J1" s="2"/>
      <c r="K1" s="2"/>
      <c r="L1" s="2"/>
      <c r="M1" s="2"/>
      <c r="N1" s="2"/>
      <c r="O1" s="2"/>
      <c r="P1" s="2"/>
      <c r="Q1" s="2"/>
      <c r="R1" s="2"/>
      <c r="S1" s="2"/>
      <c r="T1" s="2"/>
    </row>
    <row r="2" spans="1:20" x14ac:dyDescent="0.3">
      <c r="A2" s="2"/>
      <c r="B2" s="14" t="s">
        <v>653</v>
      </c>
      <c r="C2" s="2"/>
      <c r="D2" s="2"/>
      <c r="E2" s="2"/>
      <c r="F2" s="2"/>
      <c r="G2" s="2"/>
      <c r="H2" s="2"/>
      <c r="I2" s="2"/>
      <c r="J2" s="2"/>
      <c r="K2" s="2"/>
      <c r="L2" s="2"/>
      <c r="M2" s="2"/>
      <c r="N2" s="2"/>
      <c r="O2" s="2"/>
      <c r="P2" s="2"/>
      <c r="Q2" s="2"/>
      <c r="R2" s="2"/>
      <c r="S2" s="2"/>
      <c r="T2" s="2"/>
    </row>
    <row r="3" spans="1:20" x14ac:dyDescent="0.3">
      <c r="A3" s="6"/>
      <c r="B3" s="7" t="s">
        <v>654</v>
      </c>
      <c r="C3" s="7"/>
      <c r="D3" s="7"/>
      <c r="E3" s="7"/>
      <c r="F3" s="7"/>
      <c r="G3" s="7"/>
      <c r="H3" s="7"/>
      <c r="I3" s="7"/>
      <c r="J3" s="7"/>
      <c r="K3" s="7"/>
      <c r="L3" s="7"/>
      <c r="M3" s="7"/>
      <c r="N3" s="7"/>
      <c r="O3" s="7"/>
      <c r="P3" s="7"/>
      <c r="Q3" s="7"/>
      <c r="R3" s="7"/>
      <c r="S3" s="6"/>
      <c r="T3" s="6"/>
    </row>
    <row r="4" spans="1:20" x14ac:dyDescent="0.3">
      <c r="A4" s="6"/>
      <c r="B4" s="6"/>
      <c r="C4" s="6"/>
      <c r="D4" s="6"/>
      <c r="E4" s="6"/>
      <c r="F4" s="6"/>
      <c r="G4" s="6"/>
      <c r="H4" s="6"/>
      <c r="I4" s="58" t="s">
        <v>87</v>
      </c>
      <c r="J4" s="58" t="s">
        <v>88</v>
      </c>
      <c r="K4" s="58" t="s">
        <v>89</v>
      </c>
      <c r="L4" s="58" t="s">
        <v>412</v>
      </c>
      <c r="M4" s="58" t="s">
        <v>90</v>
      </c>
      <c r="N4" s="58" t="s">
        <v>413</v>
      </c>
      <c r="O4" s="58" t="s">
        <v>414</v>
      </c>
      <c r="P4" s="58" t="s">
        <v>415</v>
      </c>
      <c r="Q4" s="58" t="s">
        <v>416</v>
      </c>
      <c r="R4" s="58" t="s">
        <v>91</v>
      </c>
      <c r="S4" s="6"/>
      <c r="T4" s="6"/>
    </row>
    <row r="5" spans="1:20" x14ac:dyDescent="0.3">
      <c r="A5" s="6"/>
      <c r="B5" s="23" t="s">
        <v>96</v>
      </c>
      <c r="C5" s="6"/>
      <c r="D5" s="6"/>
      <c r="E5" s="6"/>
      <c r="F5" s="6"/>
      <c r="G5" s="6"/>
      <c r="H5" s="6"/>
      <c r="I5" s="55">
        <f>Fin_Proj!I86</f>
        <v>22.6</v>
      </c>
      <c r="J5" s="55">
        <f>Fin_Proj!J86</f>
        <v>24.586688742371226</v>
      </c>
      <c r="K5" s="55">
        <f>Fin_Proj!K86</f>
        <v>25.886528805942834</v>
      </c>
      <c r="L5" s="55">
        <f>Fin_Proj!L86</f>
        <v>27.051180523678354</v>
      </c>
      <c r="M5" s="55">
        <f>Fin_Proj!M86</f>
        <v>28.248720595942739</v>
      </c>
      <c r="N5" s="55">
        <f>Fin_Proj!N86</f>
        <v>29.444848730019746</v>
      </c>
      <c r="O5" s="55">
        <f>Fin_Proj!O86</f>
        <v>30.63679996536246</v>
      </c>
      <c r="P5" s="55">
        <f>Fin_Proj!P86</f>
        <v>31.821550079602414</v>
      </c>
      <c r="Q5" s="55">
        <f>Fin_Proj!Q86</f>
        <v>33.671082455756213</v>
      </c>
      <c r="R5" s="55">
        <f>Fin_Proj!R86</f>
        <v>35.615166961951324</v>
      </c>
      <c r="S5" s="6"/>
      <c r="T5" s="6"/>
    </row>
    <row r="6" spans="1:20" x14ac:dyDescent="0.3">
      <c r="A6" s="6"/>
      <c r="B6" s="10" t="s">
        <v>655</v>
      </c>
      <c r="C6" s="6"/>
      <c r="D6" s="6"/>
      <c r="E6" s="6"/>
      <c r="F6" s="6"/>
      <c r="G6" s="6"/>
      <c r="H6" s="6"/>
      <c r="I6" s="30">
        <f>I5-Inputs!$C$16</f>
        <v>17</v>
      </c>
      <c r="J6" s="30">
        <f t="shared" ref="J6:R6" si="0">J5</f>
        <v>24.586688742371226</v>
      </c>
      <c r="K6" s="30">
        <f t="shared" si="0"/>
        <v>25.886528805942834</v>
      </c>
      <c r="L6" s="30">
        <f t="shared" si="0"/>
        <v>27.051180523678354</v>
      </c>
      <c r="M6" s="30">
        <f t="shared" si="0"/>
        <v>28.248720595942739</v>
      </c>
      <c r="N6" s="30">
        <f t="shared" si="0"/>
        <v>29.444848730019746</v>
      </c>
      <c r="O6" s="30">
        <f t="shared" si="0"/>
        <v>30.63679996536246</v>
      </c>
      <c r="P6" s="30">
        <f t="shared" si="0"/>
        <v>31.821550079602414</v>
      </c>
      <c r="Q6" s="30">
        <f t="shared" si="0"/>
        <v>33.671082455756213</v>
      </c>
      <c r="R6" s="30">
        <f t="shared" si="0"/>
        <v>35.615166961951324</v>
      </c>
      <c r="S6" s="6"/>
      <c r="T6" s="6"/>
    </row>
    <row r="7" spans="1:20" x14ac:dyDescent="0.3">
      <c r="A7" s="6"/>
      <c r="B7" s="10" t="s">
        <v>586</v>
      </c>
      <c r="C7" s="6"/>
      <c r="D7" s="6"/>
      <c r="E7" s="6"/>
      <c r="F7" s="6"/>
      <c r="G7" s="6"/>
      <c r="H7" s="6"/>
      <c r="I7" s="48">
        <f>DCF_FCFF!I20</f>
        <v>0.23561643835616439</v>
      </c>
      <c r="J7" s="48">
        <f>DCF_FCFF!J20</f>
        <v>0.97123287671232861</v>
      </c>
      <c r="K7" s="48">
        <f>DCF_FCFF!K20</f>
        <v>1.9712328767123286</v>
      </c>
      <c r="L7" s="48">
        <f>DCF_FCFF!L20</f>
        <v>2.9712328767123291</v>
      </c>
      <c r="M7" s="48">
        <f>DCF_FCFF!M20</f>
        <v>3.9712328767123291</v>
      </c>
      <c r="N7" s="48">
        <f>DCF_FCFF!N20</f>
        <v>4.9712328767123291</v>
      </c>
      <c r="O7" s="48">
        <f>DCF_FCFF!O20</f>
        <v>5.9712328767123291</v>
      </c>
      <c r="P7" s="48">
        <f>DCF_FCFF!P20</f>
        <v>6.9712328767123282</v>
      </c>
      <c r="Q7" s="48">
        <f>DCF_FCFF!Q20</f>
        <v>7.9712328767123282</v>
      </c>
      <c r="R7" s="48">
        <f>DCF_FCFF!R20</f>
        <v>8.9712328767123282</v>
      </c>
      <c r="S7" s="6"/>
      <c r="T7" s="6"/>
    </row>
    <row r="8" spans="1:20" x14ac:dyDescent="0.3">
      <c r="A8" s="6"/>
      <c r="B8" s="10" t="s">
        <v>656</v>
      </c>
      <c r="C8" s="6"/>
      <c r="D8" s="6"/>
      <c r="E8" s="6"/>
      <c r="F8" s="6"/>
      <c r="G8" s="6"/>
      <c r="H8" s="6"/>
      <c r="I8" s="48">
        <f t="shared" ref="I8:R8" si="1">1/(1+$C$13)^I7</f>
        <v>0.9762752711833943</v>
      </c>
      <c r="J8" s="48">
        <f t="shared" si="1"/>
        <v>0.90576597979491957</v>
      </c>
      <c r="K8" s="48">
        <f t="shared" si="1"/>
        <v>0.81801046300393421</v>
      </c>
      <c r="L8" s="48">
        <f t="shared" si="1"/>
        <v>0.73875717625806114</v>
      </c>
      <c r="M8" s="48">
        <f t="shared" si="1"/>
        <v>0.66718237743391695</v>
      </c>
      <c r="N8" s="48">
        <f t="shared" si="1"/>
        <v>0.60254213300918369</v>
      </c>
      <c r="O8" s="48">
        <f t="shared" si="1"/>
        <v>0.54416458577282611</v>
      </c>
      <c r="P8" s="48">
        <f t="shared" si="1"/>
        <v>0.49144297168144796</v>
      </c>
      <c r="Q8" s="48">
        <f t="shared" si="1"/>
        <v>0.44382931328044722</v>
      </c>
      <c r="R8" s="48">
        <f t="shared" si="1"/>
        <v>0.40082872414070891</v>
      </c>
      <c r="S8" s="6"/>
      <c r="T8" s="6"/>
    </row>
    <row r="9" spans="1:20" x14ac:dyDescent="0.3">
      <c r="A9" s="6"/>
      <c r="B9" s="23" t="s">
        <v>657</v>
      </c>
      <c r="C9" s="6"/>
      <c r="D9" s="6"/>
      <c r="E9" s="6"/>
      <c r="F9" s="6"/>
      <c r="G9" s="6"/>
      <c r="H9" s="6"/>
      <c r="I9" s="55">
        <f t="shared" ref="I9:R9" si="2">I6*I8</f>
        <v>16.596679610117704</v>
      </c>
      <c r="J9" s="55">
        <f t="shared" si="2"/>
        <v>22.269786218646594</v>
      </c>
      <c r="K9" s="55">
        <f t="shared" si="2"/>
        <v>21.175451414113979</v>
      </c>
      <c r="L9" s="55">
        <f t="shared" si="2"/>
        <v>19.98425373811968</v>
      </c>
      <c r="M9" s="55">
        <f t="shared" si="2"/>
        <v>18.847048566667532</v>
      </c>
      <c r="N9" s="55">
        <f t="shared" si="2"/>
        <v>17.741761959918851</v>
      </c>
      <c r="O9" s="55">
        <f t="shared" si="2"/>
        <v>16.671461562556395</v>
      </c>
      <c r="P9" s="55">
        <f t="shared" si="2"/>
        <v>15.638477134629827</v>
      </c>
      <c r="Q9" s="55">
        <f t="shared" si="2"/>
        <v>14.944213403747595</v>
      </c>
      <c r="R9" s="55">
        <f t="shared" si="2"/>
        <v>14.275581933417277</v>
      </c>
      <c r="S9" s="6"/>
      <c r="T9" s="6"/>
    </row>
    <row r="10" spans="1:20" x14ac:dyDescent="0.3">
      <c r="A10" s="6"/>
      <c r="B10" s="6"/>
      <c r="C10" s="6"/>
      <c r="D10" s="6"/>
      <c r="E10" s="6"/>
      <c r="F10" s="6"/>
      <c r="G10" s="6"/>
      <c r="H10" s="6"/>
      <c r="I10" s="6"/>
      <c r="J10" s="6"/>
      <c r="K10" s="6"/>
      <c r="L10" s="6"/>
      <c r="M10" s="6"/>
      <c r="N10" s="6"/>
      <c r="O10" s="6"/>
      <c r="P10" s="6"/>
      <c r="Q10" s="6"/>
      <c r="R10" s="6"/>
      <c r="S10" s="6"/>
      <c r="T10" s="6"/>
    </row>
    <row r="11" spans="1:20" x14ac:dyDescent="0.3">
      <c r="A11" s="6"/>
      <c r="B11" s="7" t="s">
        <v>658</v>
      </c>
      <c r="C11" s="7"/>
      <c r="D11" s="7"/>
      <c r="E11" s="7"/>
      <c r="F11" s="6"/>
      <c r="G11" s="6"/>
      <c r="H11" s="6"/>
      <c r="I11" s="6"/>
      <c r="J11" s="6"/>
      <c r="K11" s="6"/>
      <c r="L11" s="6"/>
      <c r="M11" s="6"/>
      <c r="N11" s="6"/>
      <c r="O11" s="6"/>
      <c r="P11" s="6"/>
      <c r="Q11" s="6"/>
      <c r="R11" s="6"/>
      <c r="S11" s="6"/>
      <c r="T11" s="6"/>
    </row>
    <row r="12" spans="1:20" x14ac:dyDescent="0.3">
      <c r="A12" s="6"/>
      <c r="B12" s="6"/>
      <c r="C12" s="6"/>
      <c r="D12" s="6"/>
      <c r="E12" s="6"/>
      <c r="F12" s="6"/>
      <c r="G12" s="6"/>
      <c r="H12" s="6"/>
      <c r="I12" s="6"/>
      <c r="J12" s="6"/>
      <c r="K12" s="6"/>
      <c r="L12" s="6"/>
      <c r="M12" s="6"/>
      <c r="N12" s="6"/>
      <c r="O12" s="6"/>
      <c r="P12" s="6"/>
      <c r="Q12" s="6"/>
      <c r="R12" s="6"/>
      <c r="S12" s="6"/>
      <c r="T12" s="6"/>
    </row>
    <row r="13" spans="1:20" x14ac:dyDescent="0.3">
      <c r="A13" s="6"/>
      <c r="B13" s="10" t="s">
        <v>66</v>
      </c>
      <c r="C13" s="18">
        <f>WACC!$C$26</f>
        <v>0.10727921067014926</v>
      </c>
      <c r="D13" s="11" t="s">
        <v>659</v>
      </c>
      <c r="E13" s="6"/>
      <c r="F13" s="6"/>
      <c r="G13" s="6"/>
      <c r="H13" s="6"/>
      <c r="I13" s="6"/>
      <c r="J13" s="6"/>
      <c r="K13" s="6"/>
      <c r="L13" s="6"/>
      <c r="M13" s="6"/>
      <c r="N13" s="6"/>
      <c r="O13" s="6"/>
      <c r="P13" s="6"/>
      <c r="Q13" s="6"/>
      <c r="R13" s="6"/>
      <c r="S13" s="6"/>
      <c r="T13" s="6"/>
    </row>
    <row r="14" spans="1:20" x14ac:dyDescent="0.3">
      <c r="A14" s="6"/>
      <c r="B14" s="10" t="s">
        <v>660</v>
      </c>
      <c r="C14" s="36">
        <v>0.04</v>
      </c>
      <c r="D14" s="11" t="s">
        <v>661</v>
      </c>
      <c r="E14" s="6"/>
      <c r="F14" s="6"/>
      <c r="G14" s="6"/>
      <c r="H14" s="6"/>
      <c r="I14" s="6"/>
      <c r="J14" s="6"/>
      <c r="K14" s="6"/>
      <c r="L14" s="6"/>
      <c r="M14" s="6"/>
      <c r="N14" s="6"/>
      <c r="O14" s="6"/>
      <c r="P14" s="6"/>
      <c r="Q14" s="6"/>
      <c r="R14" s="6"/>
      <c r="S14" s="6"/>
      <c r="T14" s="6"/>
    </row>
    <row r="15" spans="1:20" x14ac:dyDescent="0.3">
      <c r="A15" s="6"/>
      <c r="B15" s="10" t="s">
        <v>662</v>
      </c>
      <c r="C15" s="15">
        <f>R5*(1+C14)/(C13-C14)</f>
        <v>550.53817176935695</v>
      </c>
      <c r="D15" s="11"/>
      <c r="E15" s="6"/>
      <c r="F15" s="6"/>
      <c r="G15" s="6"/>
      <c r="H15" s="6"/>
      <c r="I15" s="6"/>
      <c r="J15" s="6"/>
      <c r="K15" s="6"/>
      <c r="L15" s="6"/>
      <c r="M15" s="6"/>
      <c r="N15" s="6"/>
      <c r="O15" s="6"/>
      <c r="P15" s="6"/>
      <c r="Q15" s="6"/>
      <c r="R15" s="6"/>
      <c r="S15" s="6"/>
      <c r="T15" s="6"/>
    </row>
    <row r="16" spans="1:20" x14ac:dyDescent="0.3">
      <c r="A16" s="6"/>
      <c r="B16" s="10" t="s">
        <v>663</v>
      </c>
      <c r="C16" s="15">
        <f>C15/(1+C13)^(Inputs!$C$9+9)</f>
        <v>209.70930436350127</v>
      </c>
      <c r="D16" s="11"/>
      <c r="E16" s="6"/>
      <c r="F16" s="6"/>
      <c r="G16" s="6"/>
      <c r="H16" s="6"/>
      <c r="I16" s="6"/>
      <c r="J16" s="6"/>
      <c r="K16" s="6"/>
      <c r="L16" s="6"/>
      <c r="M16" s="6"/>
      <c r="N16" s="6"/>
      <c r="O16" s="6"/>
      <c r="P16" s="6"/>
      <c r="Q16" s="6"/>
      <c r="R16" s="6"/>
      <c r="S16" s="6"/>
      <c r="T16" s="6"/>
    </row>
    <row r="17" spans="1:20" x14ac:dyDescent="0.3">
      <c r="A17" s="6"/>
      <c r="B17" s="10" t="s">
        <v>664</v>
      </c>
      <c r="C17" s="15">
        <f>SUM(I9:R9)</f>
        <v>178.14471554193543</v>
      </c>
      <c r="D17" s="11"/>
      <c r="E17" s="6"/>
      <c r="F17" s="6"/>
      <c r="G17" s="6"/>
      <c r="H17" s="6"/>
      <c r="I17" s="6"/>
      <c r="J17" s="6"/>
      <c r="K17" s="6"/>
      <c r="L17" s="6"/>
      <c r="M17" s="6"/>
      <c r="N17" s="6"/>
      <c r="O17" s="6"/>
      <c r="P17" s="6"/>
      <c r="Q17" s="6"/>
      <c r="R17" s="6"/>
      <c r="S17" s="6"/>
      <c r="T17" s="6"/>
    </row>
    <row r="18" spans="1:20" x14ac:dyDescent="0.3">
      <c r="A18" s="6"/>
      <c r="B18" s="10" t="s">
        <v>665</v>
      </c>
      <c r="C18" s="62">
        <f>C16+C17</f>
        <v>387.8540199054367</v>
      </c>
      <c r="D18" s="11"/>
      <c r="E18" s="6"/>
      <c r="F18" s="6"/>
      <c r="G18" s="6"/>
      <c r="H18" s="6"/>
      <c r="I18" s="6"/>
      <c r="J18" s="6"/>
      <c r="K18" s="6"/>
      <c r="L18" s="6"/>
      <c r="M18" s="6"/>
      <c r="N18" s="6"/>
      <c r="O18" s="6"/>
      <c r="P18" s="6"/>
      <c r="Q18" s="6"/>
      <c r="R18" s="6"/>
      <c r="S18" s="6"/>
      <c r="T18" s="6"/>
    </row>
    <row r="19" spans="1:20" x14ac:dyDescent="0.3">
      <c r="A19" s="6"/>
      <c r="B19" s="10" t="s">
        <v>633</v>
      </c>
      <c r="C19" s="16">
        <f>C18/Inputs!$C$10-1</f>
        <v>0.17960468341069546</v>
      </c>
      <c r="D19" s="11"/>
      <c r="E19" s="6"/>
      <c r="F19" s="6"/>
      <c r="G19" s="6"/>
      <c r="H19" s="6"/>
      <c r="I19" s="6"/>
      <c r="J19" s="6"/>
      <c r="K19" s="6"/>
      <c r="L19" s="6"/>
      <c r="M19" s="6"/>
      <c r="N19" s="6"/>
      <c r="O19" s="6"/>
      <c r="P19" s="6"/>
      <c r="Q19" s="6"/>
      <c r="R19" s="6"/>
      <c r="S19" s="6"/>
      <c r="T19" s="6"/>
    </row>
    <row r="20" spans="1:20" x14ac:dyDescent="0.3">
      <c r="A20" s="6"/>
      <c r="B20" s="10" t="s">
        <v>666</v>
      </c>
      <c r="C20" s="16">
        <f>C16/C18</f>
        <v>0.54069132611963344</v>
      </c>
      <c r="D20" s="11"/>
      <c r="E20" s="6"/>
      <c r="F20" s="6"/>
      <c r="G20" s="6"/>
      <c r="H20" s="6"/>
      <c r="I20" s="6"/>
      <c r="J20" s="6"/>
      <c r="K20" s="6"/>
      <c r="L20" s="6"/>
      <c r="M20" s="6"/>
      <c r="N20" s="6"/>
      <c r="O20" s="6"/>
      <c r="P20" s="6"/>
      <c r="Q20" s="6"/>
      <c r="R20" s="6"/>
      <c r="S20" s="6"/>
      <c r="T20" s="6"/>
    </row>
    <row r="21" spans="1:20" x14ac:dyDescent="0.3">
      <c r="A21" s="6"/>
      <c r="B21" s="10" t="s">
        <v>667</v>
      </c>
      <c r="C21" s="15">
        <f>Inputs!$C$17*(1+C14)/(C13-C14)</f>
        <v>346.25852128696386</v>
      </c>
      <c r="D21" s="11" t="s">
        <v>668</v>
      </c>
      <c r="E21" s="6"/>
      <c r="F21" s="6"/>
      <c r="G21" s="6"/>
      <c r="H21" s="6"/>
      <c r="I21" s="6"/>
      <c r="J21" s="6"/>
      <c r="K21" s="6"/>
      <c r="L21" s="6"/>
      <c r="M21" s="6"/>
      <c r="N21" s="6"/>
      <c r="O21" s="6"/>
      <c r="P21" s="6"/>
      <c r="Q21" s="6"/>
      <c r="R21" s="6"/>
      <c r="S21" s="6"/>
      <c r="T21" s="6"/>
    </row>
    <row r="22" spans="1:20" x14ac:dyDescent="0.3">
      <c r="A22" s="6"/>
      <c r="B22" s="10" t="s">
        <v>669</v>
      </c>
      <c r="C22" s="18">
        <f>Fin_Proj!I86/C18</f>
        <v>5.8269345785071772E-2</v>
      </c>
      <c r="D22" s="11"/>
      <c r="E22" s="6"/>
      <c r="F22" s="6"/>
      <c r="G22" s="6"/>
      <c r="H22" s="6"/>
      <c r="I22" s="6"/>
      <c r="J22" s="6"/>
      <c r="K22" s="6"/>
      <c r="L22" s="6"/>
      <c r="M22" s="6"/>
      <c r="N22" s="6"/>
      <c r="O22" s="6"/>
      <c r="P22" s="6"/>
      <c r="Q22" s="6"/>
      <c r="R22" s="6"/>
      <c r="S22" s="6"/>
      <c r="T22" s="6"/>
    </row>
    <row r="23" spans="1:20" x14ac:dyDescent="0.3">
      <c r="A23" s="6"/>
      <c r="B23" s="10" t="s">
        <v>670</v>
      </c>
      <c r="C23" s="34">
        <f>0</f>
        <v>0</v>
      </c>
      <c r="D23" s="11" t="s">
        <v>671</v>
      </c>
      <c r="E23" s="6"/>
      <c r="F23" s="6"/>
      <c r="G23" s="6"/>
      <c r="H23" s="6"/>
      <c r="I23" s="6"/>
      <c r="J23" s="6"/>
      <c r="K23" s="6"/>
      <c r="L23" s="6"/>
      <c r="M23" s="6"/>
      <c r="N23" s="6"/>
      <c r="O23" s="6"/>
      <c r="P23" s="6"/>
      <c r="Q23" s="6"/>
      <c r="R23" s="6"/>
      <c r="S23" s="6"/>
      <c r="T23" s="6"/>
    </row>
    <row r="24" spans="1:20" x14ac:dyDescent="0.3">
      <c r="A24" s="6"/>
      <c r="B24" s="6"/>
      <c r="C24" s="6"/>
      <c r="D24" s="6"/>
      <c r="E24" s="6"/>
      <c r="F24" s="6"/>
      <c r="G24" s="6"/>
      <c r="H24" s="6"/>
      <c r="I24" s="6"/>
      <c r="J24" s="6"/>
      <c r="K24" s="6"/>
      <c r="L24" s="6"/>
      <c r="M24" s="6"/>
      <c r="N24" s="6"/>
      <c r="O24" s="6"/>
      <c r="P24" s="6"/>
      <c r="Q24" s="6"/>
      <c r="R24" s="6"/>
      <c r="S24" s="6"/>
      <c r="T24" s="6"/>
    </row>
    <row r="25" spans="1:20" x14ac:dyDescent="0.3">
      <c r="A25" s="6"/>
      <c r="B25" s="7" t="s">
        <v>672</v>
      </c>
      <c r="C25" s="7"/>
      <c r="D25" s="7"/>
      <c r="E25" s="7"/>
      <c r="F25" s="7"/>
      <c r="G25" s="7"/>
      <c r="H25" s="7"/>
      <c r="I25" s="7"/>
      <c r="J25" s="7"/>
      <c r="K25" s="6"/>
      <c r="L25" s="6"/>
      <c r="M25" s="6"/>
      <c r="N25" s="6"/>
      <c r="O25" s="6"/>
      <c r="P25" s="6"/>
      <c r="Q25" s="6"/>
      <c r="R25" s="6"/>
      <c r="S25" s="6"/>
      <c r="T25" s="6"/>
    </row>
    <row r="26" spans="1:20" x14ac:dyDescent="0.3">
      <c r="A26" s="6"/>
      <c r="B26" s="11" t="s">
        <v>673</v>
      </c>
      <c r="C26" s="63">
        <f>$C$14+(-0.01)</f>
        <v>0.03</v>
      </c>
      <c r="D26" s="63">
        <f>$C$14+(-0.005)</f>
        <v>3.5000000000000003E-2</v>
      </c>
      <c r="E26" s="63">
        <f>$C$14+(0)</f>
        <v>0.04</v>
      </c>
      <c r="F26" s="63">
        <f>$C$14+(0.005)</f>
        <v>4.4999999999999998E-2</v>
      </c>
      <c r="G26" s="63">
        <f>$C$14+(0.01)</f>
        <v>0.05</v>
      </c>
      <c r="H26" s="6"/>
      <c r="I26" s="6"/>
      <c r="J26" s="6"/>
      <c r="K26" s="6"/>
      <c r="L26" s="6"/>
      <c r="M26" s="6"/>
      <c r="N26" s="6"/>
      <c r="O26" s="6"/>
      <c r="P26" s="6"/>
      <c r="Q26" s="6"/>
      <c r="R26" s="6"/>
      <c r="S26" s="6"/>
      <c r="T26" s="6"/>
    </row>
    <row r="27" spans="1:20" x14ac:dyDescent="0.3">
      <c r="A27" s="6"/>
      <c r="B27" s="64">
        <f>$C$13+(-0.01)</f>
        <v>9.727921067014926E-2</v>
      </c>
      <c r="C27" s="17">
        <f>SUMPRODUCT($I$6:$R$6*(1+$B27)^(-$I$7:$R$7))+$R$5*(1+C$26)/($B27-C$26)*(1+$B27)^(-(Inputs!$C$9+9))</f>
        <v>411.42347974681195</v>
      </c>
      <c r="D27" s="17">
        <f>SUMPRODUCT($I$6:$R$6*(1+$B27)^(-$I$7:$R$7))+$R$5*(1+D$26)/($B27-D$26)*(1+$B27)^(-(Inputs!$C$9+9))</f>
        <v>430.78079069476189</v>
      </c>
      <c r="E27" s="17">
        <f>SUMPRODUCT($I$6:$R$6*(1+$B27)^(-$I$7:$R$7))+$R$5*(1+E$26)/($B27-E$26)*(1+$B27)^(-(Inputs!$C$9+9))</f>
        <v>453.51756702316584</v>
      </c>
      <c r="F27" s="17">
        <f>SUMPRODUCT($I$6:$R$6*(1+$B27)^(-$I$7:$R$7))+$R$5*(1+F$26)/($B27-F$26)*(1+$B27)^(-(Inputs!$C$9+9))</f>
        <v>480.60344809836079</v>
      </c>
      <c r="G27" s="17">
        <f>SUMPRODUCT($I$6:$R$6*(1+$B27)^(-$I$7:$R$7))+$R$5*(1+G$26)/($B27-G$26)*(1+$B27)^(-(Inputs!$C$9+9))</f>
        <v>513.41824907117518</v>
      </c>
      <c r="H27" s="6"/>
      <c r="I27" s="6"/>
      <c r="J27" s="6"/>
      <c r="K27" s="6"/>
      <c r="L27" s="6"/>
      <c r="M27" s="6"/>
      <c r="N27" s="6"/>
      <c r="O27" s="6"/>
      <c r="P27" s="6"/>
      <c r="Q27" s="6"/>
      <c r="R27" s="6"/>
      <c r="S27" s="6"/>
      <c r="T27" s="6"/>
    </row>
    <row r="28" spans="1:20" x14ac:dyDescent="0.3">
      <c r="A28" s="6"/>
      <c r="B28" s="64">
        <f>$C$13+(-0.005)</f>
        <v>0.10227921067014925</v>
      </c>
      <c r="C28" s="17">
        <f>SUMPRODUCT($I$6:$R$6*(1+$B28)^(-$I$7:$R$7))+$R$5*(1+C$26)/($B28-C$26)*(1+$B28)^(-(Inputs!$C$9+9))</f>
        <v>383.35731240272668</v>
      </c>
      <c r="D28" s="17">
        <f>SUMPRODUCT($I$6:$R$6*(1+$B28)^(-$I$7:$R$7))+$R$5*(1+D$26)/($B28-D$26)*(1+$B28)^(-(Inputs!$C$9+9))</f>
        <v>399.40633422452709</v>
      </c>
      <c r="E28" s="17">
        <f>SUMPRODUCT($I$6:$R$6*(1+$B28)^(-$I$7:$R$7))+$R$5*(1+E$26)/($B28-E$26)*(1+$B28)^(-(Inputs!$C$9+9))</f>
        <v>418.03230293584431</v>
      </c>
      <c r="F28" s="17">
        <f>SUMPRODUCT($I$6:$R$6*(1+$B28)^(-$I$7:$R$7))+$R$5*(1+F$26)/($B28-F$26)*(1+$B28)^(-(Inputs!$C$9+9))</f>
        <v>439.9100568050572</v>
      </c>
      <c r="G28" s="17">
        <f>SUMPRODUCT($I$6:$R$6*(1+$B28)^(-$I$7:$R$7))+$R$5*(1+G$26)/($B28-G$26)*(1+$B28)^(-(Inputs!$C$9+9))</f>
        <v>465.97260106968162</v>
      </c>
      <c r="H28" s="6"/>
      <c r="I28" s="6"/>
      <c r="J28" s="6"/>
      <c r="K28" s="6"/>
      <c r="L28" s="6"/>
      <c r="M28" s="6"/>
      <c r="N28" s="6"/>
      <c r="O28" s="6"/>
      <c r="P28" s="6"/>
      <c r="Q28" s="6"/>
      <c r="R28" s="6"/>
      <c r="S28" s="6"/>
      <c r="T28" s="6"/>
    </row>
    <row r="29" spans="1:20" x14ac:dyDescent="0.3">
      <c r="A29" s="6"/>
      <c r="B29" s="64">
        <f>$C$13+(0)</f>
        <v>0.10727921067014926</v>
      </c>
      <c r="C29" s="17">
        <f>SUMPRODUCT($I$6:$R$6*(1+$B29)^(-$I$7:$R$7))+$R$5*(1+C$26)/($B29-C$26)*(1+$B29)^(-(Inputs!$C$9+9))</f>
        <v>358.96193856715161</v>
      </c>
      <c r="D29" s="17">
        <f>SUMPRODUCT($I$6:$R$6*(1+$B29)^(-$I$7:$R$7))+$R$5*(1+D$26)/($B29-D$26)*(1+$B29)^(-(Inputs!$C$9+9))</f>
        <v>372.40865726423579</v>
      </c>
      <c r="E29" s="61">
        <f>SUMPRODUCT($I$6:$R$6*(1+$B29)^(-$I$7:$R$7))+$R$5*(1+E$26)/($B29-E$26)*(1+$B29)^(-(Inputs!$C$9+9))</f>
        <v>387.8540199054367</v>
      </c>
      <c r="F29" s="17">
        <f>SUMPRODUCT($I$6:$R$6*(1+$B29)^(-$I$7:$R$7))+$R$5*(1+F$26)/($B29-F$26)*(1+$B29)^(-(Inputs!$C$9+9))</f>
        <v>405.77940155699469</v>
      </c>
      <c r="G29" s="17">
        <f>SUMPRODUCT($I$6:$R$6*(1+$B29)^(-$I$7:$R$7))+$R$5*(1+G$26)/($B29-G$26)*(1+$B29)^(-(Inputs!$C$9+9))</f>
        <v>426.8342574875864</v>
      </c>
      <c r="H29" s="6"/>
      <c r="I29" s="6"/>
      <c r="J29" s="6"/>
      <c r="K29" s="6"/>
      <c r="L29" s="6"/>
      <c r="M29" s="6"/>
      <c r="N29" s="6"/>
      <c r="O29" s="6"/>
      <c r="P29" s="6"/>
      <c r="Q29" s="6"/>
      <c r="R29" s="6"/>
      <c r="S29" s="6"/>
      <c r="T29" s="6"/>
    </row>
    <row r="30" spans="1:20" x14ac:dyDescent="0.3">
      <c r="A30" s="6"/>
      <c r="B30" s="64">
        <f>$C$13+(0.005)</f>
        <v>0.11227921067014926</v>
      </c>
      <c r="C30" s="17">
        <f>SUMPRODUCT($I$6:$R$6*(1+$B30)^(-$I$7:$R$7))+$R$5*(1+C$26)/($B30-C$26)*(1+$B30)^(-(Inputs!$C$9+9))</f>
        <v>337.565710465807</v>
      </c>
      <c r="D30" s="17">
        <f>SUMPRODUCT($I$6:$R$6*(1+$B30)^(-$I$7:$R$7))+$R$5*(1+D$26)/($B30-D$26)*(1+$B30)^(-(Inputs!$C$9+9))</f>
        <v>348.93580729690467</v>
      </c>
      <c r="E30" s="17">
        <f>SUMPRODUCT($I$6:$R$6*(1+$B30)^(-$I$7:$R$7))+$R$5*(1+E$26)/($B30-E$26)*(1+$B30)^(-(Inputs!$C$9+9))</f>
        <v>361.8789839563068</v>
      </c>
      <c r="F30" s="17">
        <f>SUMPRODUCT($I$6:$R$6*(1+$B30)^(-$I$7:$R$7))+$R$5*(1+F$26)/($B30-F$26)*(1+$B30)^(-(Inputs!$C$9+9))</f>
        <v>376.74596092942812</v>
      </c>
      <c r="G30" s="17">
        <f>SUMPRODUCT($I$6:$R$6*(1+$B30)^(-$I$7:$R$7))+$R$5*(1+G$26)/($B30-G$26)*(1+$B30)^(-(Inputs!$C$9+9))</f>
        <v>394.00008713150521</v>
      </c>
      <c r="H30" s="6"/>
      <c r="I30" s="6"/>
      <c r="J30" s="6"/>
      <c r="K30" s="6"/>
      <c r="L30" s="6"/>
      <c r="M30" s="6"/>
      <c r="N30" s="6"/>
      <c r="O30" s="6"/>
      <c r="P30" s="6"/>
      <c r="Q30" s="6"/>
      <c r="R30" s="6"/>
      <c r="S30" s="6"/>
      <c r="T30" s="6"/>
    </row>
    <row r="31" spans="1:20" x14ac:dyDescent="0.3">
      <c r="A31" s="6"/>
      <c r="B31" s="64">
        <f>$C$13+(0.01)</f>
        <v>0.11727921067014925</v>
      </c>
      <c r="C31" s="17">
        <f>SUMPRODUCT($I$6:$R$6*(1+$B31)^(-$I$7:$R$7))+$R$5*(1+C$26)/($B31-C$26)*(1+$B31)^(-(Inputs!$C$9+9))</f>
        <v>318.65104054621992</v>
      </c>
      <c r="D31" s="17">
        <f>SUMPRODUCT($I$6:$R$6*(1+$B31)^(-$I$7:$R$7))+$R$5*(1+D$26)/($B31-D$26)*(1+$B31)^(-(Inputs!$C$9+9))</f>
        <v>328.3430746669685</v>
      </c>
      <c r="E31" s="17">
        <f>SUMPRODUCT($I$6:$R$6*(1+$B31)^(-$I$7:$R$7))+$R$5*(1+E$26)/($B31-E$26)*(1+$B31)^(-(Inputs!$C$9+9))</f>
        <v>339.28926679951633</v>
      </c>
      <c r="F31" s="17">
        <f>SUMPRODUCT($I$6:$R$6*(1+$B31)^(-$I$7:$R$7))+$R$5*(1+F$26)/($B31-F$26)*(1+$B31)^(-(Inputs!$C$9+9))</f>
        <v>351.7498905412445</v>
      </c>
      <c r="G31" s="17">
        <f>SUMPRODUCT($I$6:$R$6*(1+$B31)^(-$I$7:$R$7))+$R$5*(1+G$26)/($B31-G$26)*(1+$B31)^(-(Inputs!$C$9+9))</f>
        <v>366.06259066995926</v>
      </c>
      <c r="H31" s="6"/>
      <c r="I31" s="6"/>
      <c r="J31" s="6"/>
      <c r="K31" s="6"/>
      <c r="L31" s="6"/>
      <c r="M31" s="6"/>
      <c r="N31" s="6"/>
      <c r="O31" s="6"/>
      <c r="P31" s="6"/>
      <c r="Q31" s="6"/>
      <c r="R31" s="6"/>
      <c r="S31" s="6"/>
      <c r="T31" s="6"/>
    </row>
  </sheetData>
  <pageMargins left="0.75" right="0.75" top="1" bottom="1"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O31"/>
  <sheetViews>
    <sheetView zoomScale="90" zoomScaleNormal="90" workbookViewId="0">
      <selection activeCell="B1" sqref="B1"/>
    </sheetView>
  </sheetViews>
  <sheetFormatPr defaultColWidth="8.6640625" defaultRowHeight="14.4" x14ac:dyDescent="0.3"/>
  <cols>
    <col min="1" max="1" width="2" customWidth="1"/>
    <col min="2" max="2" width="36" customWidth="1"/>
    <col min="3" max="6" width="11" customWidth="1"/>
    <col min="7" max="8" width="12" customWidth="1"/>
    <col min="9" max="9" width="11" customWidth="1"/>
    <col min="10" max="11" width="13" customWidth="1"/>
    <col min="12" max="14" width="11" customWidth="1"/>
    <col min="15" max="15" width="80" customWidth="1"/>
  </cols>
  <sheetData>
    <row r="1" spans="1:15" ht="24" customHeight="1" x14ac:dyDescent="0.3">
      <c r="A1" s="2"/>
      <c r="B1" s="4" t="s">
        <v>1014</v>
      </c>
      <c r="C1" s="2"/>
      <c r="D1" s="2"/>
      <c r="E1" s="2"/>
      <c r="F1" s="2"/>
      <c r="G1" s="2"/>
      <c r="H1" s="2"/>
      <c r="I1" s="2"/>
      <c r="J1" s="2"/>
      <c r="K1" s="2"/>
      <c r="L1" s="2"/>
      <c r="M1" s="2"/>
      <c r="N1" s="2"/>
      <c r="O1" s="2"/>
    </row>
    <row r="2" spans="1:15" x14ac:dyDescent="0.3">
      <c r="A2" s="2"/>
      <c r="B2" s="14" t="s">
        <v>674</v>
      </c>
      <c r="C2" s="2"/>
      <c r="D2" s="2"/>
      <c r="E2" s="2"/>
      <c r="F2" s="2"/>
      <c r="G2" s="2"/>
      <c r="H2" s="2"/>
      <c r="I2" s="2"/>
      <c r="J2" s="2"/>
      <c r="K2" s="2"/>
      <c r="L2" s="2"/>
      <c r="M2" s="2"/>
      <c r="N2" s="2"/>
      <c r="O2" s="2"/>
    </row>
    <row r="3" spans="1:15" x14ac:dyDescent="0.3">
      <c r="A3" s="6"/>
      <c r="B3" s="6"/>
      <c r="C3" s="6"/>
      <c r="D3" s="6"/>
      <c r="E3" s="6"/>
      <c r="F3" s="6"/>
      <c r="G3" s="6"/>
      <c r="H3" s="6"/>
      <c r="I3" s="6"/>
      <c r="J3" s="6"/>
      <c r="K3" s="6"/>
      <c r="L3" s="6"/>
      <c r="M3" s="6"/>
      <c r="N3" s="6"/>
      <c r="O3" s="6"/>
    </row>
    <row r="4" spans="1:15" x14ac:dyDescent="0.3">
      <c r="A4" s="6"/>
      <c r="B4" s="6"/>
      <c r="C4" s="6"/>
      <c r="D4" s="6"/>
      <c r="E4" s="6"/>
      <c r="F4" s="6"/>
      <c r="G4" s="6"/>
      <c r="H4" s="6"/>
      <c r="I4" s="6"/>
      <c r="J4" s="6"/>
      <c r="K4" s="6"/>
      <c r="L4" s="6"/>
      <c r="M4" s="6"/>
      <c r="N4" s="6"/>
      <c r="O4" s="6"/>
    </row>
    <row r="5" spans="1:15" x14ac:dyDescent="0.3">
      <c r="A5" s="6"/>
      <c r="B5" s="6"/>
      <c r="C5" s="6"/>
      <c r="D5" s="6"/>
      <c r="E5" s="6"/>
      <c r="F5" s="6"/>
      <c r="G5" s="6"/>
      <c r="H5" s="6"/>
      <c r="I5" s="6"/>
      <c r="J5" s="6"/>
      <c r="K5" s="6"/>
      <c r="L5" s="6"/>
      <c r="M5" s="6"/>
      <c r="N5" s="6"/>
      <c r="O5" s="6"/>
    </row>
    <row r="6" spans="1:15" ht="30" customHeight="1" x14ac:dyDescent="0.3">
      <c r="A6" s="6"/>
      <c r="B6" s="8" t="s">
        <v>675</v>
      </c>
      <c r="C6" s="8" t="s">
        <v>676</v>
      </c>
      <c r="D6" s="8" t="s">
        <v>677</v>
      </c>
      <c r="E6" s="8" t="s">
        <v>678</v>
      </c>
      <c r="F6" s="8" t="s">
        <v>679</v>
      </c>
      <c r="G6" s="8" t="s">
        <v>680</v>
      </c>
      <c r="H6" s="8" t="s">
        <v>681</v>
      </c>
      <c r="I6" s="8" t="s">
        <v>682</v>
      </c>
      <c r="J6" s="8" t="s">
        <v>58</v>
      </c>
      <c r="K6" s="8" t="s">
        <v>683</v>
      </c>
      <c r="L6" s="8" t="s">
        <v>684</v>
      </c>
      <c r="M6" s="8" t="s">
        <v>685</v>
      </c>
      <c r="N6" s="8" t="s">
        <v>686</v>
      </c>
      <c r="O6" s="8" t="s">
        <v>119</v>
      </c>
    </row>
    <row r="7" spans="1:15" x14ac:dyDescent="0.3">
      <c r="A7" s="6"/>
      <c r="B7" s="10" t="s">
        <v>687</v>
      </c>
      <c r="C7" s="15">
        <v>438</v>
      </c>
      <c r="D7" s="15">
        <v>94.79</v>
      </c>
      <c r="E7" s="15">
        <v>491.62</v>
      </c>
      <c r="F7" s="34">
        <v>1020.48</v>
      </c>
      <c r="G7" s="17">
        <f>F7*4</f>
        <v>4081.92</v>
      </c>
      <c r="H7" s="17">
        <v>21879</v>
      </c>
      <c r="I7" s="15">
        <v>6.31</v>
      </c>
      <c r="J7" s="17">
        <f>C7*D7</f>
        <v>41518.020000000004</v>
      </c>
      <c r="K7" s="17">
        <f>J7+H7</f>
        <v>63397.020000000004</v>
      </c>
      <c r="L7" s="27">
        <f>K7/G7</f>
        <v>15.531176505174036</v>
      </c>
      <c r="M7" s="15">
        <f>C7/E7</f>
        <v>0.89093202066636834</v>
      </c>
      <c r="N7" s="18">
        <f>I7*4/C7</f>
        <v>5.7625570776255707E-2</v>
      </c>
      <c r="O7" s="11" t="s">
        <v>688</v>
      </c>
    </row>
    <row r="8" spans="1:15" x14ac:dyDescent="0.3">
      <c r="A8" s="6"/>
      <c r="B8" s="10" t="s">
        <v>689</v>
      </c>
      <c r="C8" s="15">
        <v>508</v>
      </c>
      <c r="D8" s="15">
        <v>66.2</v>
      </c>
      <c r="E8" s="15">
        <v>527</v>
      </c>
      <c r="F8" s="34">
        <v>788</v>
      </c>
      <c r="G8" s="17">
        <f>F8*4</f>
        <v>3152</v>
      </c>
      <c r="H8" s="17">
        <v>15411</v>
      </c>
      <c r="I8" s="15">
        <v>6.67</v>
      </c>
      <c r="J8" s="17">
        <f>C8*D8</f>
        <v>33629.599999999999</v>
      </c>
      <c r="K8" s="17">
        <f>J8+H8</f>
        <v>49040.6</v>
      </c>
      <c r="L8" s="27">
        <f>K8/G8</f>
        <v>15.558565989847715</v>
      </c>
      <c r="M8" s="15">
        <f>C8/E8</f>
        <v>0.96394686907020877</v>
      </c>
      <c r="N8" s="18">
        <f>I8*4/C8</f>
        <v>5.251968503937008E-2</v>
      </c>
      <c r="O8" s="11" t="s">
        <v>690</v>
      </c>
    </row>
    <row r="9" spans="1:15" x14ac:dyDescent="0.3">
      <c r="A9" s="6"/>
      <c r="B9" s="10" t="s">
        <v>691</v>
      </c>
      <c r="C9" s="15">
        <v>113</v>
      </c>
      <c r="D9" s="15">
        <v>443.43</v>
      </c>
      <c r="E9" s="15">
        <v>123.61</v>
      </c>
      <c r="F9" s="34">
        <v>1111.7</v>
      </c>
      <c r="G9" s="17">
        <f>F9*4</f>
        <v>4446.8</v>
      </c>
      <c r="H9" s="17">
        <v>12031</v>
      </c>
      <c r="I9" s="15">
        <v>1.6950000000000001</v>
      </c>
      <c r="J9" s="17">
        <f>C9*D9</f>
        <v>50107.590000000004</v>
      </c>
      <c r="K9" s="17">
        <f>J9+H9</f>
        <v>62138.590000000004</v>
      </c>
      <c r="L9" s="27">
        <f>K9/G9</f>
        <v>13.973776648376361</v>
      </c>
      <c r="M9" s="15">
        <f>C9/E9</f>
        <v>0.91416552058894907</v>
      </c>
      <c r="N9" s="18">
        <f>I9*4/C9</f>
        <v>6.0000000000000005E-2</v>
      </c>
      <c r="O9" s="11" t="s">
        <v>692</v>
      </c>
    </row>
    <row r="10" spans="1:15" x14ac:dyDescent="0.3">
      <c r="A10" s="6"/>
      <c r="B10" s="6"/>
      <c r="C10" s="6"/>
      <c r="D10" s="6"/>
      <c r="E10" s="6"/>
      <c r="F10" s="6"/>
      <c r="G10" s="6"/>
      <c r="H10" s="6"/>
      <c r="I10" s="6"/>
      <c r="J10" s="6"/>
      <c r="K10" s="6"/>
      <c r="L10" s="6"/>
      <c r="M10" s="6"/>
      <c r="N10" s="6"/>
      <c r="O10" s="6"/>
    </row>
    <row r="11" spans="1:15" x14ac:dyDescent="0.3">
      <c r="A11" s="6"/>
      <c r="B11" s="19" t="s">
        <v>693</v>
      </c>
      <c r="C11" s="20"/>
      <c r="D11" s="20"/>
      <c r="E11" s="20"/>
      <c r="F11" s="20"/>
      <c r="G11" s="20"/>
      <c r="H11" s="20"/>
      <c r="I11" s="20"/>
      <c r="J11" s="20"/>
      <c r="K11" s="20"/>
      <c r="L11" s="65">
        <f>AVERAGE(L7:L9)</f>
        <v>15.021173047799371</v>
      </c>
      <c r="M11" s="22">
        <f>AVERAGE(M7:M9)</f>
        <v>0.92301480344184206</v>
      </c>
      <c r="N11" s="66">
        <f>AVERAGE(N7:N9)</f>
        <v>5.6715085271875264E-2</v>
      </c>
      <c r="O11" s="6"/>
    </row>
    <row r="12" spans="1:15" x14ac:dyDescent="0.3">
      <c r="A12" s="6"/>
      <c r="B12" s="23" t="s">
        <v>694</v>
      </c>
      <c r="C12" s="6"/>
      <c r="D12" s="6"/>
      <c r="E12" s="6"/>
      <c r="F12" s="6"/>
      <c r="G12" s="6"/>
      <c r="H12" s="6"/>
      <c r="I12" s="6"/>
      <c r="J12" s="6"/>
      <c r="K12" s="6"/>
      <c r="L12" s="67">
        <f>MEDIAN(L7:L9)</f>
        <v>15.531176505174036</v>
      </c>
      <c r="M12" s="68">
        <f>MEDIAN(M7:M9)</f>
        <v>0.91416552058894907</v>
      </c>
      <c r="N12" s="53">
        <f>MEDIAN(N7:N9)</f>
        <v>5.7625570776255707E-2</v>
      </c>
      <c r="O12" s="6"/>
    </row>
    <row r="13" spans="1:15" x14ac:dyDescent="0.3">
      <c r="A13" s="6"/>
      <c r="B13" s="23" t="s">
        <v>695</v>
      </c>
      <c r="C13" s="6"/>
      <c r="D13" s="6"/>
      <c r="E13" s="6"/>
      <c r="F13" s="6"/>
      <c r="G13" s="6"/>
      <c r="H13" s="6"/>
      <c r="I13" s="6"/>
      <c r="J13" s="6"/>
      <c r="K13" s="6"/>
      <c r="L13" s="67">
        <f>MIN(L7:L9)</f>
        <v>13.973776648376361</v>
      </c>
      <c r="M13" s="68">
        <f>MIN(M7:M9)</f>
        <v>0.89093202066636834</v>
      </c>
      <c r="N13" s="53">
        <f>MIN(N7:N9)</f>
        <v>5.251968503937008E-2</v>
      </c>
      <c r="O13" s="6"/>
    </row>
    <row r="14" spans="1:15" x14ac:dyDescent="0.3">
      <c r="A14" s="6"/>
      <c r="B14" s="23" t="s">
        <v>696</v>
      </c>
      <c r="C14" s="6"/>
      <c r="D14" s="6"/>
      <c r="E14" s="6"/>
      <c r="F14" s="6"/>
      <c r="G14" s="6"/>
      <c r="H14" s="6"/>
      <c r="I14" s="6"/>
      <c r="J14" s="6"/>
      <c r="K14" s="6"/>
      <c r="L14" s="67">
        <f>MAX(L7:L9)</f>
        <v>15.558565989847715</v>
      </c>
      <c r="M14" s="68">
        <f>MAX(M7:M9)</f>
        <v>0.96394686907020877</v>
      </c>
      <c r="N14" s="53">
        <f>MAX(N7:N9)</f>
        <v>6.0000000000000005E-2</v>
      </c>
      <c r="O14" s="6"/>
    </row>
    <row r="15" spans="1:15" x14ac:dyDescent="0.3">
      <c r="A15" s="6"/>
      <c r="B15" s="6"/>
      <c r="C15" s="6"/>
      <c r="D15" s="6"/>
      <c r="E15" s="6"/>
      <c r="F15" s="6"/>
      <c r="G15" s="6"/>
      <c r="H15" s="6"/>
      <c r="I15" s="6"/>
      <c r="J15" s="6"/>
      <c r="K15" s="6"/>
      <c r="L15" s="6"/>
      <c r="M15" s="6"/>
      <c r="N15" s="6"/>
      <c r="O15" s="6"/>
    </row>
    <row r="16" spans="1:15" x14ac:dyDescent="0.3">
      <c r="A16" s="6"/>
      <c r="B16" s="23" t="s">
        <v>697</v>
      </c>
      <c r="C16" s="15">
        <f>Inputs!$C$10</f>
        <v>328.8</v>
      </c>
      <c r="D16" s="15">
        <f>Inputs!$C$11</f>
        <v>82.988086899999999</v>
      </c>
      <c r="E16" s="15">
        <f>NAV_Asset!$G$34</f>
        <v>379.85862093926033</v>
      </c>
      <c r="F16" s="34">
        <v>756.56</v>
      </c>
      <c r="G16" s="17">
        <f>F16*4</f>
        <v>3026.24</v>
      </c>
      <c r="H16" s="17">
        <f>Inputs!$C$34</f>
        <v>14060.5648</v>
      </c>
      <c r="I16" s="15">
        <f>Inputs!$C$16</f>
        <v>5.6</v>
      </c>
      <c r="J16" s="17">
        <f>C16*D16</f>
        <v>27286.482972720001</v>
      </c>
      <c r="K16" s="17">
        <f>(J16-DCF_FCFF!C57-DCF_FCFF!C58)/(1-DCF_FCFF!C50)+H16</f>
        <v>44301.977801326808</v>
      </c>
      <c r="L16" s="27">
        <f>K16/G16</f>
        <v>14.639281022432725</v>
      </c>
      <c r="M16" s="15">
        <f>C16/E16</f>
        <v>0.86558519900638342</v>
      </c>
      <c r="N16" s="18">
        <f>I16*4/C16</f>
        <v>6.8126520681265207E-2</v>
      </c>
      <c r="O16" s="11" t="s">
        <v>698</v>
      </c>
    </row>
    <row r="17" spans="1:15" x14ac:dyDescent="0.3">
      <c r="A17" s="6"/>
      <c r="B17" s="10" t="s">
        <v>699</v>
      </c>
      <c r="C17" s="6"/>
      <c r="D17" s="6"/>
      <c r="E17" s="6"/>
      <c r="F17" s="6"/>
      <c r="G17" s="6"/>
      <c r="H17" s="6"/>
      <c r="I17" s="6"/>
      <c r="J17" s="6"/>
      <c r="K17" s="6"/>
      <c r="L17" s="16">
        <f>L16/L12-1</f>
        <v>-5.742613783599626E-2</v>
      </c>
      <c r="M17" s="16">
        <f>M16/M12-1</f>
        <v>-5.314171283912339E-2</v>
      </c>
      <c r="N17" s="16">
        <f>N16/N12-1</f>
        <v>0.182227260633683</v>
      </c>
      <c r="O17" s="6"/>
    </row>
    <row r="18" spans="1:15" x14ac:dyDescent="0.3">
      <c r="A18" s="6"/>
      <c r="B18" s="6"/>
      <c r="C18" s="6"/>
      <c r="D18" s="6"/>
      <c r="E18" s="6"/>
      <c r="F18" s="6"/>
      <c r="G18" s="6"/>
      <c r="H18" s="6"/>
      <c r="I18" s="6"/>
      <c r="J18" s="6"/>
      <c r="K18" s="6"/>
      <c r="L18" s="6"/>
      <c r="M18" s="6"/>
      <c r="N18" s="6"/>
      <c r="O18" s="6"/>
    </row>
    <row r="19" spans="1:15" x14ac:dyDescent="0.3">
      <c r="A19" s="6"/>
      <c r="B19" s="7" t="s">
        <v>700</v>
      </c>
      <c r="C19" s="7"/>
      <c r="D19" s="7"/>
      <c r="E19" s="7"/>
      <c r="F19" s="7"/>
      <c r="G19" s="7"/>
      <c r="H19" s="7"/>
      <c r="I19" s="7"/>
      <c r="J19" s="7"/>
      <c r="K19" s="7"/>
      <c r="L19" s="7"/>
      <c r="M19" s="7"/>
      <c r="N19" s="7"/>
      <c r="O19" s="6"/>
    </row>
    <row r="20" spans="1:15" ht="26.4" x14ac:dyDescent="0.3">
      <c r="A20" s="6"/>
      <c r="B20" s="8" t="s">
        <v>51</v>
      </c>
      <c r="C20" s="8" t="s">
        <v>701</v>
      </c>
      <c r="D20" s="8" t="s">
        <v>694</v>
      </c>
      <c r="E20" s="8" t="s">
        <v>702</v>
      </c>
      <c r="F20" s="8" t="s">
        <v>703</v>
      </c>
      <c r="G20" s="6"/>
      <c r="H20" s="6"/>
      <c r="I20" s="6"/>
      <c r="J20" s="6"/>
      <c r="K20" s="6"/>
      <c r="L20" s="6"/>
      <c r="M20" s="6"/>
      <c r="N20" s="6"/>
      <c r="O20" s="6"/>
    </row>
    <row r="21" spans="1:15" x14ac:dyDescent="0.3">
      <c r="A21" s="6"/>
      <c r="B21" s="10" t="s">
        <v>704</v>
      </c>
      <c r="C21" s="15">
        <f>$E$16*M13</f>
        <v>338.42820872095524</v>
      </c>
      <c r="D21" s="15">
        <f>$E$16*M12</f>
        <v>347.25365396113921</v>
      </c>
      <c r="E21" s="15">
        <f>$E$16*M14</f>
        <v>366.16352834372725</v>
      </c>
      <c r="F21" s="11" t="s">
        <v>705</v>
      </c>
      <c r="G21" s="6"/>
      <c r="H21" s="6"/>
      <c r="I21" s="6"/>
      <c r="J21" s="6"/>
      <c r="K21" s="6"/>
      <c r="L21" s="6"/>
      <c r="M21" s="6"/>
      <c r="N21" s="6"/>
      <c r="O21" s="6"/>
    </row>
    <row r="22" spans="1:15" x14ac:dyDescent="0.3">
      <c r="A22" s="6"/>
      <c r="B22" s="10" t="s">
        <v>706</v>
      </c>
      <c r="C22" s="15">
        <f>(((L13*$G$16)-DCF_FCFF!$C$48)*(1-DCF_FCFF!$C$50)+DCF_FCFF!$C$57+DCF_FCFF!$C$58)/DCF_FCFF!$C$60</f>
        <v>309.46831107927278</v>
      </c>
      <c r="D22" s="15">
        <f>(((L12*$G$16)-DCF_FCFF!$C$48)*(1-DCF_FCFF!$C$50)+DCF_FCFF!$C$57+DCF_FCFF!$C$58)/DCF_FCFF!$C$60</f>
        <v>354.70793794045994</v>
      </c>
      <c r="E22" s="15">
        <f>(((L14*$G$16)-DCF_FCFF!$C$48)*(1-DCF_FCFF!$C$50)+DCF_FCFF!$C$57+DCF_FCFF!$C$58)/DCF_FCFF!$C$60</f>
        <v>355.50355254203379</v>
      </c>
      <c r="F22" s="11" t="s">
        <v>707</v>
      </c>
      <c r="G22" s="6"/>
      <c r="H22" s="6"/>
      <c r="I22" s="6"/>
      <c r="J22" s="6"/>
      <c r="K22" s="6"/>
      <c r="L22" s="6"/>
      <c r="M22" s="6"/>
      <c r="N22" s="6"/>
      <c r="O22" s="6"/>
    </row>
    <row r="23" spans="1:15" x14ac:dyDescent="0.3">
      <c r="A23" s="6"/>
      <c r="B23" s="10" t="s">
        <v>708</v>
      </c>
      <c r="C23" s="15">
        <f>Inputs!$C$17/N14</f>
        <v>373.33333333333326</v>
      </c>
      <c r="D23" s="15">
        <f>Inputs!$C$17/N12</f>
        <v>388.71632329635497</v>
      </c>
      <c r="E23" s="15">
        <f>Inputs!$C$17/N13</f>
        <v>426.50674662668661</v>
      </c>
      <c r="F23" s="11" t="s">
        <v>709</v>
      </c>
      <c r="G23" s="6"/>
      <c r="H23" s="6"/>
      <c r="I23" s="6"/>
      <c r="J23" s="6"/>
      <c r="K23" s="6"/>
      <c r="L23" s="6"/>
      <c r="M23" s="6"/>
      <c r="N23" s="6"/>
      <c r="O23" s="6"/>
    </row>
    <row r="24" spans="1:15" x14ac:dyDescent="0.3">
      <c r="A24" s="6"/>
      <c r="B24" s="23" t="s">
        <v>710</v>
      </c>
      <c r="C24" s="68">
        <f>AVERAGE(C21:C23)</f>
        <v>340.40995104452043</v>
      </c>
      <c r="D24" s="62">
        <f>AVERAGE(D21:D23)</f>
        <v>363.55930506598469</v>
      </c>
      <c r="E24" s="68">
        <f>AVERAGE(E21:E23)</f>
        <v>382.72460917081588</v>
      </c>
      <c r="F24" s="6"/>
      <c r="G24" s="6"/>
      <c r="H24" s="6"/>
      <c r="I24" s="6"/>
      <c r="J24" s="6"/>
      <c r="K24" s="6"/>
      <c r="L24" s="6"/>
      <c r="M24" s="6"/>
      <c r="N24" s="6"/>
      <c r="O24" s="6"/>
    </row>
    <row r="25" spans="1:15" x14ac:dyDescent="0.3">
      <c r="A25" s="6"/>
      <c r="B25" s="10" t="s">
        <v>633</v>
      </c>
      <c r="C25" s="6"/>
      <c r="D25" s="16">
        <f>D24/Inputs!$C$10-1</f>
        <v>0.10571564801090227</v>
      </c>
      <c r="E25" s="6"/>
      <c r="F25" s="6"/>
      <c r="G25" s="6"/>
      <c r="H25" s="6"/>
      <c r="I25" s="6"/>
      <c r="J25" s="6"/>
      <c r="K25" s="6"/>
      <c r="L25" s="6"/>
      <c r="M25" s="6"/>
      <c r="N25" s="6"/>
      <c r="O25" s="6"/>
    </row>
    <row r="26" spans="1:15" x14ac:dyDescent="0.3">
      <c r="A26" s="6"/>
      <c r="B26" s="6"/>
      <c r="C26" s="6"/>
      <c r="D26" s="6"/>
      <c r="E26" s="6"/>
      <c r="F26" s="6"/>
      <c r="G26" s="6"/>
      <c r="H26" s="6"/>
      <c r="I26" s="6"/>
      <c r="J26" s="6"/>
      <c r="K26" s="6"/>
      <c r="L26" s="6"/>
      <c r="M26" s="6"/>
      <c r="N26" s="6"/>
      <c r="O26" s="6"/>
    </row>
    <row r="27" spans="1:15" x14ac:dyDescent="0.3">
      <c r="A27" s="6"/>
      <c r="B27" s="7" t="s">
        <v>711</v>
      </c>
      <c r="C27" s="7"/>
      <c r="D27" s="7"/>
      <c r="E27" s="7"/>
      <c r="F27" s="7"/>
      <c r="G27" s="7"/>
      <c r="H27" s="7"/>
      <c r="I27" s="7"/>
      <c r="J27" s="7"/>
      <c r="K27" s="7"/>
      <c r="L27" s="7"/>
      <c r="M27" s="7"/>
      <c r="N27" s="7"/>
      <c r="O27" s="6"/>
    </row>
    <row r="28" spans="1:15" x14ac:dyDescent="0.3">
      <c r="A28" s="6"/>
      <c r="B28" s="10" t="s">
        <v>712</v>
      </c>
      <c r="C28" s="27">
        <f>DCF_FCFF!C65</f>
        <v>16.075085537508173</v>
      </c>
      <c r="D28" s="6"/>
      <c r="E28" s="6"/>
      <c r="F28" s="6"/>
      <c r="G28" s="6"/>
      <c r="H28" s="6"/>
      <c r="I28" s="6"/>
      <c r="J28" s="6"/>
      <c r="K28" s="6"/>
      <c r="L28" s="6"/>
      <c r="M28" s="6"/>
      <c r="N28" s="6"/>
      <c r="O28" s="6"/>
    </row>
    <row r="29" spans="1:15" x14ac:dyDescent="0.3">
      <c r="A29" s="6"/>
      <c r="B29" s="10" t="s">
        <v>713</v>
      </c>
      <c r="C29" s="27">
        <f>DCF_FCFF!C38</f>
        <v>13.660123073667025</v>
      </c>
      <c r="D29" s="6"/>
      <c r="E29" s="6"/>
      <c r="F29" s="6"/>
      <c r="G29" s="6"/>
      <c r="H29" s="6"/>
      <c r="I29" s="6"/>
      <c r="J29" s="6"/>
      <c r="K29" s="6"/>
      <c r="L29" s="6"/>
      <c r="M29" s="6"/>
      <c r="N29" s="6"/>
      <c r="O29" s="6"/>
    </row>
    <row r="30" spans="1:15" x14ac:dyDescent="0.3">
      <c r="A30" s="6"/>
      <c r="B30" s="10" t="s">
        <v>714</v>
      </c>
      <c r="C30" s="27">
        <f>L12</f>
        <v>15.531176505174036</v>
      </c>
      <c r="D30" s="6"/>
      <c r="E30" s="6"/>
      <c r="F30" s="6"/>
      <c r="G30" s="6"/>
      <c r="H30" s="6"/>
      <c r="I30" s="6"/>
      <c r="J30" s="6"/>
      <c r="K30" s="6"/>
      <c r="L30" s="6"/>
      <c r="M30" s="6"/>
      <c r="N30" s="6"/>
      <c r="O30" s="6"/>
    </row>
    <row r="31" spans="1:15" x14ac:dyDescent="0.3">
      <c r="A31" s="6"/>
      <c r="B31" s="11" t="s">
        <v>715</v>
      </c>
      <c r="C31" s="6"/>
      <c r="D31" s="6"/>
      <c r="E31" s="6"/>
      <c r="F31" s="6"/>
      <c r="G31" s="6"/>
      <c r="H31" s="6"/>
      <c r="I31" s="6"/>
      <c r="J31" s="6"/>
      <c r="K31" s="6"/>
      <c r="L31" s="6"/>
      <c r="M31" s="6"/>
      <c r="N31" s="6"/>
      <c r="O31" s="6"/>
    </row>
  </sheetData>
  <pageMargins left="0.75" right="0.75" top="1" bottom="1" header="0.511811023622047" footer="0.511811023622047"/>
  <pageSetup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L39"/>
  <sheetViews>
    <sheetView zoomScale="90" zoomScaleNormal="90" workbookViewId="0"/>
  </sheetViews>
  <sheetFormatPr defaultColWidth="8.6640625" defaultRowHeight="14.4" x14ac:dyDescent="0.3"/>
  <cols>
    <col min="1" max="1" width="2" customWidth="1"/>
    <col min="2" max="2" width="50" customWidth="1"/>
    <col min="3" max="3" width="11" customWidth="1"/>
    <col min="4" max="5" width="13" customWidth="1"/>
    <col min="6" max="6" width="11" customWidth="1"/>
    <col min="7" max="10" width="13" customWidth="1"/>
    <col min="11" max="11" width="3" customWidth="1"/>
    <col min="12" max="12" width="70" customWidth="1"/>
  </cols>
  <sheetData>
    <row r="1" spans="1:12" ht="24" customHeight="1" x14ac:dyDescent="0.3">
      <c r="A1" s="2"/>
      <c r="B1" s="4" t="s">
        <v>716</v>
      </c>
      <c r="C1" s="2"/>
      <c r="D1" s="2"/>
      <c r="E1" s="2"/>
      <c r="F1" s="2"/>
      <c r="G1" s="2"/>
      <c r="H1" s="2"/>
      <c r="I1" s="2"/>
      <c r="J1" s="2"/>
      <c r="K1" s="2"/>
      <c r="L1" s="2"/>
    </row>
    <row r="2" spans="1:12" x14ac:dyDescent="0.3">
      <c r="A2" s="2"/>
      <c r="B2" s="14" t="s">
        <v>717</v>
      </c>
      <c r="C2" s="2"/>
      <c r="D2" s="2"/>
      <c r="E2" s="2"/>
      <c r="F2" s="2"/>
      <c r="G2" s="2"/>
      <c r="H2" s="2"/>
      <c r="I2" s="2"/>
      <c r="J2" s="2"/>
      <c r="K2" s="2"/>
      <c r="L2" s="2"/>
    </row>
    <row r="3" spans="1:12" x14ac:dyDescent="0.3">
      <c r="A3" s="6"/>
      <c r="B3" s="6"/>
      <c r="C3" s="6"/>
      <c r="D3" s="6"/>
      <c r="E3" s="6"/>
      <c r="F3" s="6"/>
      <c r="G3" s="6"/>
      <c r="H3" s="6"/>
      <c r="I3" s="6"/>
      <c r="J3" s="6"/>
      <c r="K3" s="6"/>
      <c r="L3" s="6"/>
    </row>
    <row r="4" spans="1:12" x14ac:dyDescent="0.3">
      <c r="A4" s="6"/>
      <c r="B4" s="7" t="s">
        <v>718</v>
      </c>
      <c r="C4" s="7"/>
      <c r="D4" s="7"/>
      <c r="E4" s="7"/>
      <c r="F4" s="7"/>
      <c r="G4" s="7"/>
      <c r="H4" s="7"/>
      <c r="I4" s="7"/>
      <c r="J4" s="7"/>
      <c r="K4" s="6"/>
      <c r="L4" s="6"/>
    </row>
    <row r="5" spans="1:12" x14ac:dyDescent="0.3">
      <c r="A5" s="6"/>
      <c r="B5" s="6"/>
      <c r="C5" s="6"/>
      <c r="D5" s="6"/>
      <c r="E5" s="6"/>
      <c r="F5" s="6"/>
      <c r="G5" s="6"/>
      <c r="H5" s="6"/>
      <c r="I5" s="6"/>
      <c r="J5" s="6"/>
      <c r="K5" s="6"/>
      <c r="L5" s="6"/>
    </row>
    <row r="6" spans="1:12" ht="30" customHeight="1" x14ac:dyDescent="0.3">
      <c r="A6" s="6"/>
      <c r="B6" s="8" t="s">
        <v>324</v>
      </c>
      <c r="C6" s="8" t="s">
        <v>325</v>
      </c>
      <c r="D6" s="8" t="s">
        <v>719</v>
      </c>
      <c r="E6" s="8" t="s">
        <v>720</v>
      </c>
      <c r="F6" s="8" t="s">
        <v>721</v>
      </c>
      <c r="G6" s="8" t="s">
        <v>722</v>
      </c>
      <c r="H6" s="8" t="s">
        <v>723</v>
      </c>
      <c r="I6" s="8" t="s">
        <v>724</v>
      </c>
      <c r="J6" s="8" t="s">
        <v>725</v>
      </c>
      <c r="K6" s="6"/>
      <c r="L6" s="6"/>
    </row>
    <row r="7" spans="1:12" x14ac:dyDescent="0.3">
      <c r="A7" s="6"/>
      <c r="B7" s="11" t="s">
        <v>726</v>
      </c>
      <c r="C7" s="6"/>
      <c r="D7" s="6"/>
      <c r="E7" s="6"/>
      <c r="F7" s="6"/>
      <c r="G7" s="36">
        <v>0</v>
      </c>
      <c r="H7" s="36">
        <v>-2.5000000000000001E-3</v>
      </c>
      <c r="I7" s="36">
        <v>2.5000000000000001E-3</v>
      </c>
      <c r="J7" s="36">
        <v>0.01</v>
      </c>
      <c r="K7" s="6"/>
      <c r="L7" s="6"/>
    </row>
    <row r="8" spans="1:12" x14ac:dyDescent="0.3">
      <c r="A8" s="6"/>
      <c r="B8" s="11" t="s">
        <v>727</v>
      </c>
      <c r="C8" s="6"/>
      <c r="D8" s="6"/>
      <c r="E8" s="6"/>
      <c r="F8" s="6"/>
      <c r="G8" s="35">
        <v>0</v>
      </c>
      <c r="H8" s="35">
        <v>0</v>
      </c>
      <c r="I8" s="35">
        <v>0</v>
      </c>
      <c r="J8" s="35">
        <v>0.03</v>
      </c>
      <c r="K8" s="6"/>
      <c r="L8" s="6"/>
    </row>
    <row r="9" spans="1:12" x14ac:dyDescent="0.3">
      <c r="A9" s="6"/>
      <c r="B9" s="11" t="s">
        <v>728</v>
      </c>
      <c r="C9" s="6"/>
      <c r="D9" s="6"/>
      <c r="E9" s="6"/>
      <c r="F9" s="6"/>
      <c r="G9" s="35">
        <v>0</v>
      </c>
      <c r="H9" s="35">
        <v>0</v>
      </c>
      <c r="I9" s="35">
        <v>0</v>
      </c>
      <c r="J9" s="16">
        <f>Inputs!$C$37</f>
        <v>0.1</v>
      </c>
      <c r="K9" s="6"/>
      <c r="L9" s="6"/>
    </row>
    <row r="10" spans="1:12" x14ac:dyDescent="0.3">
      <c r="A10" s="6"/>
      <c r="B10" s="10" t="s">
        <v>344</v>
      </c>
      <c r="C10" s="16">
        <f>Rev_Build!C40</f>
        <v>0.87</v>
      </c>
      <c r="D10" s="28">
        <f>Rev_Build!Z40</f>
        <v>1085.6228043221417</v>
      </c>
      <c r="E10" s="28">
        <f>D10*Inputs!$C$50</f>
        <v>841.35767334965988</v>
      </c>
      <c r="F10" s="36">
        <v>7.2499999999999995E-2</v>
      </c>
      <c r="G10" s="17">
        <f t="shared" ref="G10:J16" si="0">$E10/($F10+G$7)</f>
        <v>11604.93342551255</v>
      </c>
      <c r="H10" s="17">
        <f t="shared" si="0"/>
        <v>12019.39533356657</v>
      </c>
      <c r="I10" s="17">
        <f t="shared" si="0"/>
        <v>11218.102311328799</v>
      </c>
      <c r="J10" s="17">
        <f t="shared" si="0"/>
        <v>10198.274828480728</v>
      </c>
      <c r="K10" s="6"/>
      <c r="L10" s="11" t="s">
        <v>729</v>
      </c>
    </row>
    <row r="11" spans="1:12" x14ac:dyDescent="0.3">
      <c r="A11" s="6"/>
      <c r="B11" s="10" t="s">
        <v>346</v>
      </c>
      <c r="C11" s="16">
        <f>Rev_Build!C41</f>
        <v>0.5</v>
      </c>
      <c r="D11" s="28">
        <f>Rev_Build!Z41</f>
        <v>915.40662331711519</v>
      </c>
      <c r="E11" s="28">
        <f>D11*Inputs!$C$50</f>
        <v>709.44013307076432</v>
      </c>
      <c r="F11" s="36">
        <v>7.2499999999999995E-2</v>
      </c>
      <c r="G11" s="17">
        <f t="shared" si="0"/>
        <v>9785.3811458036471</v>
      </c>
      <c r="H11" s="17">
        <f t="shared" si="0"/>
        <v>10134.859043868062</v>
      </c>
      <c r="I11" s="17">
        <f t="shared" si="0"/>
        <v>9459.2017742768585</v>
      </c>
      <c r="J11" s="17">
        <f t="shared" si="0"/>
        <v>8599.2743402516899</v>
      </c>
      <c r="K11" s="6"/>
      <c r="L11" s="6"/>
    </row>
    <row r="12" spans="1:12" x14ac:dyDescent="0.3">
      <c r="A12" s="6"/>
      <c r="B12" s="10" t="s">
        <v>348</v>
      </c>
      <c r="C12" s="16">
        <f>Rev_Build!C42</f>
        <v>0.5</v>
      </c>
      <c r="D12" s="28">
        <f>Rev_Build!Z42</f>
        <v>488.09850129356238</v>
      </c>
      <c r="E12" s="28">
        <f>D12*Inputs!$C$50</f>
        <v>378.27633850251084</v>
      </c>
      <c r="F12" s="36">
        <v>7.7499999999999999E-2</v>
      </c>
      <c r="G12" s="17">
        <f t="shared" si="0"/>
        <v>4880.9850129356237</v>
      </c>
      <c r="H12" s="17">
        <f t="shared" si="0"/>
        <v>5043.6845133668112</v>
      </c>
      <c r="I12" s="17">
        <f t="shared" si="0"/>
        <v>4728.4542312813855</v>
      </c>
      <c r="J12" s="17">
        <f t="shared" si="0"/>
        <v>4323.1581543144102</v>
      </c>
      <c r="K12" s="6"/>
      <c r="L12" s="6"/>
    </row>
    <row r="13" spans="1:12" x14ac:dyDescent="0.3">
      <c r="A13" s="6"/>
      <c r="B13" s="10" t="s">
        <v>350</v>
      </c>
      <c r="C13" s="16">
        <f>Rev_Build!C43</f>
        <v>1</v>
      </c>
      <c r="D13" s="28">
        <f>Rev_Build!Z43</f>
        <v>600.08281335516108</v>
      </c>
      <c r="E13" s="28">
        <f>D13*Inputs!$C$50</f>
        <v>465.06418035024984</v>
      </c>
      <c r="F13" s="36">
        <v>7.7499999999999999E-2</v>
      </c>
      <c r="G13" s="17">
        <f t="shared" si="0"/>
        <v>6000.8281335516112</v>
      </c>
      <c r="H13" s="17">
        <f t="shared" si="0"/>
        <v>6200.8557380033317</v>
      </c>
      <c r="I13" s="17">
        <f t="shared" si="0"/>
        <v>5813.3022543781226</v>
      </c>
      <c r="J13" s="17">
        <f t="shared" si="0"/>
        <v>5315.019204002856</v>
      </c>
      <c r="K13" s="6"/>
      <c r="L13" s="6"/>
    </row>
    <row r="14" spans="1:12" x14ac:dyDescent="0.3">
      <c r="A14" s="6"/>
      <c r="B14" s="10" t="s">
        <v>352</v>
      </c>
      <c r="C14" s="16">
        <f>Rev_Build!C44</f>
        <v>1</v>
      </c>
      <c r="D14" s="28">
        <f>Rev_Build!Z44</f>
        <v>296.529310964307</v>
      </c>
      <c r="E14" s="28">
        <f>D14*Inputs!$C$50</f>
        <v>229.81021599733793</v>
      </c>
      <c r="F14" s="36">
        <v>7.7499999999999999E-2</v>
      </c>
      <c r="G14" s="17">
        <f t="shared" si="0"/>
        <v>2965.2931096430702</v>
      </c>
      <c r="H14" s="17">
        <f t="shared" si="0"/>
        <v>3064.1362132978393</v>
      </c>
      <c r="I14" s="17">
        <f t="shared" si="0"/>
        <v>2872.6276999667243</v>
      </c>
      <c r="J14" s="17">
        <f t="shared" si="0"/>
        <v>2626.402468541005</v>
      </c>
      <c r="K14" s="6"/>
      <c r="L14" s="6"/>
    </row>
    <row r="15" spans="1:12" x14ac:dyDescent="0.3">
      <c r="A15" s="6"/>
      <c r="B15" s="10" t="s">
        <v>354</v>
      </c>
      <c r="C15" s="16">
        <f>Rev_Build!C45</f>
        <v>1</v>
      </c>
      <c r="D15" s="28">
        <f>Rev_Build!Z45</f>
        <v>470.0058845546593</v>
      </c>
      <c r="E15" s="28">
        <f>D15*Inputs!$C$50</f>
        <v>364.25456052986095</v>
      </c>
      <c r="F15" s="36">
        <v>7.7499999999999999E-2</v>
      </c>
      <c r="G15" s="17">
        <f t="shared" si="0"/>
        <v>4700.0588455465931</v>
      </c>
      <c r="H15" s="17">
        <f t="shared" si="0"/>
        <v>4856.7274737314792</v>
      </c>
      <c r="I15" s="17">
        <f t="shared" si="0"/>
        <v>4553.1820066232622</v>
      </c>
      <c r="J15" s="17">
        <f t="shared" si="0"/>
        <v>4162.9092631984113</v>
      </c>
      <c r="K15" s="6"/>
      <c r="L15" s="6"/>
    </row>
    <row r="16" spans="1:12" x14ac:dyDescent="0.3">
      <c r="A16" s="6"/>
      <c r="B16" s="10" t="s">
        <v>356</v>
      </c>
      <c r="C16" s="16">
        <f>Rev_Build!C46</f>
        <v>1</v>
      </c>
      <c r="D16" s="28">
        <f>Rev_Build!Z46</f>
        <v>287.88668676798187</v>
      </c>
      <c r="E16" s="28">
        <f>D16*Inputs!$C$50</f>
        <v>223.11218224518595</v>
      </c>
      <c r="F16" s="36">
        <v>8.2500000000000004E-2</v>
      </c>
      <c r="G16" s="17">
        <f t="shared" si="0"/>
        <v>2704.3900878204358</v>
      </c>
      <c r="H16" s="17">
        <f t="shared" si="0"/>
        <v>2788.9022780648243</v>
      </c>
      <c r="I16" s="17">
        <f t="shared" si="0"/>
        <v>2624.8492028845403</v>
      </c>
      <c r="J16" s="17">
        <f t="shared" si="0"/>
        <v>2412.023591839848</v>
      </c>
      <c r="K16" s="6"/>
      <c r="L16" s="6"/>
    </row>
    <row r="17" spans="1:12" x14ac:dyDescent="0.3">
      <c r="A17" s="6"/>
      <c r="B17" s="10" t="s">
        <v>730</v>
      </c>
      <c r="C17" s="6"/>
      <c r="D17" s="6"/>
      <c r="E17" s="6"/>
      <c r="F17" s="6"/>
      <c r="G17" s="17">
        <f>600*Inputs!$C$45*0.5/10000</f>
        <v>195</v>
      </c>
      <c r="H17" s="17">
        <f>600*Inputs!$C$45*0.5/10000</f>
        <v>195</v>
      </c>
      <c r="I17" s="17">
        <f>600*Inputs!$C$45*0.5/10000</f>
        <v>195</v>
      </c>
      <c r="J17" s="17">
        <f>600*Inputs!$C$45*0.5/10000</f>
        <v>195</v>
      </c>
      <c r="K17" s="6"/>
      <c r="L17" s="11" t="s">
        <v>731</v>
      </c>
    </row>
    <row r="18" spans="1:12" x14ac:dyDescent="0.3">
      <c r="A18" s="6"/>
      <c r="B18" s="10" t="s">
        <v>732</v>
      </c>
      <c r="C18" s="6"/>
      <c r="D18" s="6"/>
      <c r="E18" s="6"/>
      <c r="F18" s="6"/>
      <c r="G18" s="17">
        <f>4000*300/10000</f>
        <v>120</v>
      </c>
      <c r="H18" s="17">
        <f>4000*300/10000</f>
        <v>120</v>
      </c>
      <c r="I18" s="17">
        <f>4000*300/10000</f>
        <v>120</v>
      </c>
      <c r="J18" s="17">
        <f>4000*300/10000</f>
        <v>120</v>
      </c>
      <c r="K18" s="6"/>
      <c r="L18" s="6"/>
    </row>
    <row r="19" spans="1:12" x14ac:dyDescent="0.3">
      <c r="A19" s="6"/>
      <c r="B19" s="19" t="s">
        <v>733</v>
      </c>
      <c r="C19" s="20"/>
      <c r="D19" s="69">
        <f>SUM(D10:D16)</f>
        <v>4143.6326245749287</v>
      </c>
      <c r="E19" s="69">
        <f>SUM(E10:E16)</f>
        <v>3211.3152840455696</v>
      </c>
      <c r="F19" s="20"/>
      <c r="G19" s="69">
        <f>SUM(G10:G18)*(1-G8)</f>
        <v>42956.869760813534</v>
      </c>
      <c r="H19" s="69">
        <f>SUM(H10:H18)*(1-H8)</f>
        <v>44423.560593898917</v>
      </c>
      <c r="I19" s="69">
        <f>SUM(I10:I18)*(1-I8)</f>
        <v>41584.719480739695</v>
      </c>
      <c r="J19" s="69">
        <f>SUM(J10:J18)*(1-J8)</f>
        <v>36813.499995110076</v>
      </c>
      <c r="K19" s="6"/>
      <c r="L19" s="6"/>
    </row>
    <row r="20" spans="1:12" x14ac:dyDescent="0.3">
      <c r="A20" s="6"/>
      <c r="B20" s="6"/>
      <c r="C20" s="6"/>
      <c r="D20" s="6"/>
      <c r="E20" s="6"/>
      <c r="F20" s="6"/>
      <c r="G20" s="6"/>
      <c r="H20" s="6"/>
      <c r="I20" s="6"/>
      <c r="J20" s="6"/>
      <c r="K20" s="6"/>
      <c r="L20" s="6"/>
    </row>
    <row r="21" spans="1:12" x14ac:dyDescent="0.3">
      <c r="A21" s="6"/>
      <c r="B21" s="7" t="s">
        <v>734</v>
      </c>
      <c r="C21" s="7"/>
      <c r="D21" s="7"/>
      <c r="E21" s="7"/>
      <c r="F21" s="7"/>
      <c r="G21" s="7"/>
      <c r="H21" s="7"/>
      <c r="I21" s="7"/>
      <c r="J21" s="7"/>
      <c r="K21" s="6"/>
      <c r="L21" s="6"/>
    </row>
    <row r="22" spans="1:12" x14ac:dyDescent="0.3">
      <c r="A22" s="6"/>
      <c r="B22" s="10" t="s">
        <v>735</v>
      </c>
      <c r="C22" s="6"/>
      <c r="D22" s="6"/>
      <c r="E22" s="6"/>
      <c r="F22" s="6"/>
      <c r="G22" s="17">
        <f>Rev_Build!$Z$51*Inputs!$C$49</f>
        <v>667.64948183508079</v>
      </c>
      <c r="H22" s="17">
        <f>Rev_Build!$Z$51*Inputs!$C$49</f>
        <v>667.64948183508079</v>
      </c>
      <c r="I22" s="17">
        <f>Rev_Build!$Z$51*Inputs!$C$49</f>
        <v>667.64948183508079</v>
      </c>
      <c r="J22" s="17">
        <f>Rev_Build!$Z$51*Inputs!$C$49</f>
        <v>667.64948183508079</v>
      </c>
      <c r="K22" s="6"/>
      <c r="L22" s="6"/>
    </row>
    <row r="23" spans="1:12" x14ac:dyDescent="0.3">
      <c r="A23" s="6"/>
      <c r="B23" s="10" t="s">
        <v>736</v>
      </c>
      <c r="C23" s="6"/>
      <c r="D23" s="6"/>
      <c r="E23" s="6"/>
      <c r="F23" s="6"/>
      <c r="G23" s="17">
        <f>G22/(DCF_FCFF!$C$53+G$7)*(1-G$8)</f>
        <v>8614.8320236784621</v>
      </c>
      <c r="H23" s="17">
        <f>H22/(DCF_FCFF!$C$53+H$7)*(1-H$8)</f>
        <v>8901.9930911344109</v>
      </c>
      <c r="I23" s="17">
        <f>I22/(DCF_FCFF!$C$53+I$7)*(1-I$8)</f>
        <v>8345.6185229385101</v>
      </c>
      <c r="J23" s="17">
        <f>J22/(DCF_FCFF!$C$53+J$7)*(1-J$8)</f>
        <v>7401.3713986288958</v>
      </c>
      <c r="K23" s="6"/>
      <c r="L23" s="6"/>
    </row>
    <row r="24" spans="1:12" x14ac:dyDescent="0.3">
      <c r="A24" s="6"/>
      <c r="B24" s="6"/>
      <c r="C24" s="6"/>
      <c r="D24" s="6"/>
      <c r="E24" s="6"/>
      <c r="F24" s="6"/>
      <c r="G24" s="6"/>
      <c r="H24" s="6"/>
      <c r="I24" s="6"/>
      <c r="J24" s="6"/>
      <c r="K24" s="6"/>
      <c r="L24" s="6"/>
    </row>
    <row r="25" spans="1:12" x14ac:dyDescent="0.3">
      <c r="A25" s="6"/>
      <c r="B25" s="7" t="s">
        <v>737</v>
      </c>
      <c r="C25" s="7"/>
      <c r="D25" s="7"/>
      <c r="E25" s="7"/>
      <c r="F25" s="7"/>
      <c r="G25" s="7"/>
      <c r="H25" s="7"/>
      <c r="I25" s="7"/>
      <c r="J25" s="7"/>
      <c r="K25" s="6"/>
      <c r="L25" s="6"/>
    </row>
    <row r="26" spans="1:12" x14ac:dyDescent="0.3">
      <c r="A26" s="6"/>
      <c r="B26" s="10" t="s">
        <v>738</v>
      </c>
      <c r="C26" s="6"/>
      <c r="D26" s="6"/>
      <c r="E26" s="6"/>
      <c r="F26" s="6"/>
      <c r="G26" s="17">
        <f>G19</f>
        <v>42956.869760813534</v>
      </c>
      <c r="H26" s="17">
        <f>H19</f>
        <v>44423.560593898917</v>
      </c>
      <c r="I26" s="17">
        <f>I19</f>
        <v>41584.719480739695</v>
      </c>
      <c r="J26" s="17">
        <f>J19</f>
        <v>36813.499995110076</v>
      </c>
      <c r="K26" s="6"/>
      <c r="L26" s="6"/>
    </row>
    <row r="27" spans="1:12" x14ac:dyDescent="0.3">
      <c r="A27" s="6"/>
      <c r="B27" s="10" t="s">
        <v>615</v>
      </c>
      <c r="C27" s="6"/>
      <c r="D27" s="6"/>
      <c r="E27" s="6"/>
      <c r="F27" s="6"/>
      <c r="G27" s="17">
        <f>Inputs!$C$34</f>
        <v>14060.5648</v>
      </c>
      <c r="H27" s="17">
        <f>Inputs!$C$34</f>
        <v>14060.5648</v>
      </c>
      <c r="I27" s="17">
        <f>Inputs!$C$34</f>
        <v>14060.5648</v>
      </c>
      <c r="J27" s="17">
        <f>Inputs!$C$34</f>
        <v>14060.5648</v>
      </c>
      <c r="K27" s="6"/>
      <c r="L27" s="6"/>
    </row>
    <row r="28" spans="1:12" x14ac:dyDescent="0.3">
      <c r="A28" s="6"/>
      <c r="B28" s="10" t="s">
        <v>617</v>
      </c>
      <c r="C28" s="6"/>
      <c r="D28" s="6"/>
      <c r="E28" s="6"/>
      <c r="F28" s="6"/>
      <c r="G28" s="17">
        <f>G26-G27</f>
        <v>28896.304960813533</v>
      </c>
      <c r="H28" s="17">
        <f>H26-H27</f>
        <v>30362.995793898917</v>
      </c>
      <c r="I28" s="17">
        <f>I26-I27</f>
        <v>27524.154680739695</v>
      </c>
      <c r="J28" s="17">
        <f>J26-J27</f>
        <v>22752.935195110076</v>
      </c>
      <c r="K28" s="6"/>
      <c r="L28" s="6"/>
    </row>
    <row r="29" spans="1:12" x14ac:dyDescent="0.3">
      <c r="A29" s="6"/>
      <c r="B29" s="10" t="s">
        <v>739</v>
      </c>
      <c r="C29" s="6"/>
      <c r="D29" s="6"/>
      <c r="E29" s="6"/>
      <c r="F29" s="6"/>
      <c r="G29" s="17">
        <f>G28*SUMPRODUCT(1-$C$10:$C$16,$G$10:$G$16)/SUM($G$10:$G$16)</f>
        <v>5991.6710129933481</v>
      </c>
      <c r="H29" s="17">
        <f>H28*SUMPRODUCT(1-$C$10:$C$16,$G$10:$G$16)/SUM($G$10:$G$16)</f>
        <v>6295.7904829926483</v>
      </c>
      <c r="I29" s="17">
        <f>I28*SUMPRODUCT(1-$C$10:$C$16,$G$10:$G$16)/SUM($G$10:$G$16)</f>
        <v>5707.1545992256251</v>
      </c>
      <c r="J29" s="17">
        <f>J28*SUMPRODUCT(1-$C$10:$C$16,$G$10:$G$16)/SUM($G$10:$G$16)</f>
        <v>4717.8385767291911</v>
      </c>
      <c r="K29" s="6"/>
      <c r="L29" s="6"/>
    </row>
    <row r="30" spans="1:12" x14ac:dyDescent="0.3">
      <c r="A30" s="6"/>
      <c r="B30" s="10" t="s">
        <v>740</v>
      </c>
      <c r="C30" s="6"/>
      <c r="D30" s="6"/>
      <c r="E30" s="6"/>
      <c r="F30" s="6"/>
      <c r="G30" s="17">
        <f>(G23-Inputs!$C$35)*Inputs!$C$36*(1-G9)</f>
        <v>2607.416011839231</v>
      </c>
      <c r="H30" s="17">
        <f>(H23-Inputs!$C$35)*Inputs!$C$36*(1-H9)</f>
        <v>2750.9965455672054</v>
      </c>
      <c r="I30" s="17">
        <f>(I23-Inputs!$C$35)*Inputs!$C$36*(1-I9)</f>
        <v>2472.809261469255</v>
      </c>
      <c r="J30" s="17">
        <f>(J23-Inputs!$C$35)*Inputs!$C$36*(1-J9)</f>
        <v>1800.6171293830032</v>
      </c>
      <c r="K30" s="6"/>
      <c r="L30" s="6"/>
    </row>
    <row r="31" spans="1:12" x14ac:dyDescent="0.3">
      <c r="A31" s="6"/>
      <c r="B31" s="10" t="s">
        <v>628</v>
      </c>
      <c r="C31" s="6"/>
      <c r="D31" s="6"/>
      <c r="E31" s="6"/>
      <c r="F31" s="6"/>
      <c r="G31" s="17">
        <f>Inputs!$C$32</f>
        <v>850</v>
      </c>
      <c r="H31" s="17">
        <f>Inputs!$C$32</f>
        <v>850</v>
      </c>
      <c r="I31" s="17">
        <f>Inputs!$C$32</f>
        <v>850</v>
      </c>
      <c r="J31" s="17">
        <f>Inputs!$C$32</f>
        <v>850</v>
      </c>
      <c r="K31" s="6"/>
      <c r="L31" s="6"/>
    </row>
    <row r="32" spans="1:12" x14ac:dyDescent="0.3">
      <c r="A32" s="6"/>
      <c r="B32" s="23" t="s">
        <v>741</v>
      </c>
      <c r="C32" s="6"/>
      <c r="D32" s="6"/>
      <c r="E32" s="6"/>
      <c r="F32" s="6"/>
      <c r="G32" s="70">
        <f>G28-G29+G30+G31</f>
        <v>26362.049959659416</v>
      </c>
      <c r="H32" s="70">
        <f>H28-H29+H30+H31</f>
        <v>27668.201856473475</v>
      </c>
      <c r="I32" s="70">
        <f>I28-I29+I30+I31</f>
        <v>25139.809342983324</v>
      </c>
      <c r="J32" s="70">
        <f>J28-J29+J30+J31</f>
        <v>20685.71374776389</v>
      </c>
      <c r="K32" s="6"/>
      <c r="L32" s="6"/>
    </row>
    <row r="33" spans="1:12" x14ac:dyDescent="0.3">
      <c r="A33" s="6"/>
      <c r="B33" s="23" t="s">
        <v>742</v>
      </c>
      <c r="C33" s="6"/>
      <c r="D33" s="6"/>
      <c r="E33" s="6"/>
      <c r="F33" s="6"/>
      <c r="G33" s="62">
        <f>G32/Inputs!$C$11</f>
        <v>317.66065400959877</v>
      </c>
      <c r="H33" s="68">
        <f>H32/Inputs!$C$11</f>
        <v>333.39968289440679</v>
      </c>
      <c r="I33" s="68">
        <f>I32/Inputs!$C$11</f>
        <v>302.9327495315876</v>
      </c>
      <c r="J33" s="68">
        <f>J32/Inputs!$C$11</f>
        <v>249.26124363717426</v>
      </c>
      <c r="K33" s="6"/>
      <c r="L33" s="11" t="s">
        <v>743</v>
      </c>
    </row>
    <row r="34" spans="1:12" x14ac:dyDescent="0.3">
      <c r="A34" s="6"/>
      <c r="B34" s="10" t="s">
        <v>744</v>
      </c>
      <c r="C34" s="6"/>
      <c r="D34" s="6"/>
      <c r="E34" s="6"/>
      <c r="F34" s="6"/>
      <c r="G34" s="15">
        <f>(Inputs!$C$13*(Inputs!$C$11-Inputs!$C$26/Inputs!$C$19)+Inputs!$C$28)/Inputs!$C$11</f>
        <v>379.85862093926033</v>
      </c>
      <c r="H34" s="6"/>
      <c r="I34" s="6"/>
      <c r="J34" s="6"/>
      <c r="K34" s="6"/>
      <c r="L34" s="11" t="s">
        <v>745</v>
      </c>
    </row>
    <row r="35" spans="1:12" x14ac:dyDescent="0.3">
      <c r="A35" s="6"/>
      <c r="B35" s="10" t="s">
        <v>746</v>
      </c>
      <c r="C35" s="6"/>
      <c r="D35" s="6"/>
      <c r="E35" s="6"/>
      <c r="F35" s="6"/>
      <c r="G35" s="16">
        <f>G33/$G$34-1</f>
        <v>-0.16373977975244391</v>
      </c>
      <c r="H35" s="16">
        <f>H33/$G$34-1</f>
        <v>-0.12230586719336922</v>
      </c>
      <c r="I35" s="16">
        <f>I33/$G$34-1</f>
        <v>-0.20251184826992052</v>
      </c>
      <c r="J35" s="16">
        <f>J33/$G$34-1</f>
        <v>-0.34380522147730508</v>
      </c>
      <c r="K35" s="6"/>
      <c r="L35" s="6"/>
    </row>
    <row r="36" spans="1:12" x14ac:dyDescent="0.3">
      <c r="A36" s="6"/>
      <c r="B36" s="10" t="s">
        <v>747</v>
      </c>
      <c r="C36" s="6"/>
      <c r="D36" s="6"/>
      <c r="E36" s="6"/>
      <c r="F36" s="6"/>
      <c r="G36" s="15">
        <f>Inputs!$C$10/G33</f>
        <v>1.0350668106036973</v>
      </c>
      <c r="H36" s="15">
        <f>Inputs!$C$10/H33</f>
        <v>0.98620369745263503</v>
      </c>
      <c r="I36" s="15">
        <f>Inputs!$C$10/I33</f>
        <v>1.0853894156653907</v>
      </c>
      <c r="J36" s="15">
        <f>Inputs!$C$10/J33</f>
        <v>1.3190979680684043</v>
      </c>
      <c r="K36" s="6"/>
      <c r="L36" s="6"/>
    </row>
    <row r="37" spans="1:12" x14ac:dyDescent="0.3">
      <c r="A37" s="6"/>
      <c r="B37" s="10" t="s">
        <v>748</v>
      </c>
      <c r="C37" s="6"/>
      <c r="D37" s="6"/>
      <c r="E37" s="6"/>
      <c r="F37" s="6"/>
      <c r="G37" s="18">
        <f>E19/SUM(G10:G16)</f>
        <v>7.5308969847205476E-2</v>
      </c>
      <c r="H37" s="6"/>
      <c r="I37" s="6"/>
      <c r="J37" s="6"/>
      <c r="K37" s="6"/>
      <c r="L37" s="6"/>
    </row>
    <row r="38" spans="1:12" x14ac:dyDescent="0.3">
      <c r="A38" s="6"/>
      <c r="B38" s="10" t="s">
        <v>749</v>
      </c>
      <c r="C38" s="6"/>
      <c r="D38" s="6"/>
      <c r="E38" s="6"/>
      <c r="F38" s="6"/>
      <c r="G38" s="38">
        <v>9000</v>
      </c>
      <c r="H38" s="6"/>
      <c r="I38" s="6"/>
      <c r="J38" s="6"/>
      <c r="K38" s="6"/>
      <c r="L38" s="11" t="s">
        <v>750</v>
      </c>
    </row>
    <row r="39" spans="1:12" x14ac:dyDescent="0.3">
      <c r="A39" s="6"/>
      <c r="B39" s="10" t="s">
        <v>751</v>
      </c>
      <c r="C39" s="6"/>
      <c r="D39" s="6"/>
      <c r="E39" s="6"/>
      <c r="F39" s="6"/>
      <c r="G39" s="15">
        <f>SUM(G10:G16)/(Rev_Build!D33*G38/10000)</f>
        <v>1.6659583435229541</v>
      </c>
      <c r="H39" s="6"/>
      <c r="I39" s="6"/>
      <c r="J39" s="6"/>
      <c r="K39" s="6"/>
      <c r="L39" s="6"/>
    </row>
  </sheetData>
  <pageMargins left="0.75" right="0.75" top="1" bottom="1" header="0.511811023622047" footer="0.511811023622047"/>
  <pageSetup fitToHeight="0"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T57"/>
  <sheetViews>
    <sheetView zoomScale="90" zoomScaleNormal="90" workbookViewId="0">
      <pane xSplit="2" ySplit="4" topLeftCell="C5" activePane="bottomRight" state="frozen"/>
      <selection pane="topRight" activeCell="C1" sqref="C1"/>
      <selection pane="bottomLeft" activeCell="A5" sqref="A5"/>
      <selection pane="bottomRight"/>
    </sheetView>
  </sheetViews>
  <sheetFormatPr defaultColWidth="8.6640625" defaultRowHeight="14.4" x14ac:dyDescent="0.3"/>
  <cols>
    <col min="1" max="1" width="2" customWidth="1"/>
    <col min="2" max="2" width="56" customWidth="1"/>
    <col min="3" max="3" width="14" customWidth="1"/>
    <col min="4" max="8" width="12" customWidth="1"/>
    <col min="9" max="18" width="11.44140625" customWidth="1"/>
    <col min="19" max="19" width="3" customWidth="1"/>
    <col min="20" max="20" width="60" customWidth="1"/>
  </cols>
  <sheetData>
    <row r="1" spans="1:20" ht="24" customHeight="1" x14ac:dyDescent="0.3">
      <c r="A1" s="2"/>
      <c r="B1" s="4" t="s">
        <v>752</v>
      </c>
      <c r="C1" s="2"/>
      <c r="D1" s="2"/>
      <c r="E1" s="2"/>
      <c r="F1" s="2"/>
      <c r="G1" s="2"/>
      <c r="H1" s="2"/>
      <c r="I1" s="2"/>
      <c r="J1" s="2"/>
      <c r="K1" s="2"/>
      <c r="L1" s="2"/>
      <c r="M1" s="2"/>
      <c r="N1" s="2"/>
      <c r="O1" s="2"/>
      <c r="P1" s="2"/>
      <c r="Q1" s="2"/>
      <c r="R1" s="2"/>
      <c r="S1" s="2"/>
      <c r="T1" s="2"/>
    </row>
    <row r="2" spans="1:20" x14ac:dyDescent="0.3">
      <c r="A2" s="2"/>
      <c r="B2" s="14" t="s">
        <v>753</v>
      </c>
      <c r="C2" s="2"/>
      <c r="D2" s="2"/>
      <c r="E2" s="2"/>
      <c r="F2" s="2"/>
      <c r="G2" s="2"/>
      <c r="H2" s="2"/>
      <c r="I2" s="2"/>
      <c r="J2" s="2"/>
      <c r="K2" s="2"/>
      <c r="L2" s="2"/>
      <c r="M2" s="2"/>
      <c r="N2" s="2"/>
      <c r="O2" s="2"/>
      <c r="P2" s="2"/>
      <c r="Q2" s="2"/>
      <c r="R2" s="2"/>
      <c r="S2" s="2"/>
      <c r="T2" s="2"/>
    </row>
    <row r="3" spans="1:20" x14ac:dyDescent="0.3">
      <c r="A3" s="6"/>
      <c r="B3" s="7" t="s">
        <v>754</v>
      </c>
      <c r="C3" s="7"/>
      <c r="D3" s="7"/>
      <c r="E3" s="7"/>
      <c r="F3" s="7"/>
      <c r="G3" s="7"/>
      <c r="H3" s="7"/>
      <c r="I3" s="6"/>
      <c r="J3" s="6"/>
      <c r="K3" s="6"/>
      <c r="L3" s="6"/>
      <c r="M3" s="6"/>
      <c r="N3" s="6"/>
      <c r="O3" s="6"/>
      <c r="P3" s="6"/>
      <c r="Q3" s="6"/>
      <c r="R3" s="6"/>
      <c r="S3" s="6"/>
      <c r="T3" s="6"/>
    </row>
    <row r="4" spans="1:20" x14ac:dyDescent="0.3">
      <c r="A4" s="6"/>
      <c r="B4" s="10" t="s">
        <v>755</v>
      </c>
      <c r="C4" s="34">
        <v>14029.92</v>
      </c>
      <c r="D4" s="11" t="s">
        <v>756</v>
      </c>
      <c r="E4" s="6"/>
      <c r="F4" s="6"/>
      <c r="G4" s="6"/>
      <c r="H4" s="6"/>
      <c r="I4" s="6"/>
      <c r="J4" s="6"/>
      <c r="K4" s="6"/>
      <c r="L4" s="6"/>
      <c r="M4" s="6"/>
      <c r="N4" s="6"/>
      <c r="O4" s="6"/>
      <c r="P4" s="6"/>
      <c r="Q4" s="6"/>
      <c r="R4" s="6"/>
      <c r="S4" s="6"/>
      <c r="T4" s="6"/>
    </row>
    <row r="5" spans="1:20" x14ac:dyDescent="0.3">
      <c r="A5" s="6"/>
      <c r="B5" s="10" t="s">
        <v>757</v>
      </c>
      <c r="C5" s="34">
        <v>1980.6949999999999</v>
      </c>
      <c r="D5" s="11" t="s">
        <v>758</v>
      </c>
      <c r="E5" s="6"/>
      <c r="F5" s="6"/>
      <c r="G5" s="6"/>
      <c r="H5" s="6"/>
      <c r="I5" s="6"/>
      <c r="J5" s="6"/>
      <c r="K5" s="6"/>
      <c r="L5" s="6"/>
      <c r="M5" s="6"/>
      <c r="N5" s="6"/>
      <c r="O5" s="6"/>
      <c r="P5" s="6"/>
      <c r="Q5" s="6"/>
      <c r="R5" s="6"/>
      <c r="S5" s="6"/>
      <c r="T5" s="6"/>
    </row>
    <row r="6" spans="1:20" x14ac:dyDescent="0.3">
      <c r="A6" s="6"/>
      <c r="B6" s="10" t="s">
        <v>759</v>
      </c>
      <c r="C6" s="34">
        <v>9058.5249999999996</v>
      </c>
      <c r="D6" s="11" t="s">
        <v>760</v>
      </c>
      <c r="E6" s="6"/>
      <c r="F6" s="6"/>
      <c r="G6" s="6"/>
      <c r="H6" s="6"/>
      <c r="I6" s="6"/>
      <c r="J6" s="6"/>
      <c r="K6" s="6"/>
      <c r="L6" s="6"/>
      <c r="M6" s="6"/>
      <c r="N6" s="6"/>
      <c r="O6" s="6"/>
      <c r="P6" s="6"/>
      <c r="Q6" s="6"/>
      <c r="R6" s="6"/>
      <c r="S6" s="6"/>
      <c r="T6" s="6"/>
    </row>
    <row r="7" spans="1:20" x14ac:dyDescent="0.3">
      <c r="A7" s="6"/>
      <c r="B7" s="10" t="s">
        <v>761</v>
      </c>
      <c r="C7" s="34">
        <v>665.74400000000003</v>
      </c>
      <c r="D7" s="11" t="s">
        <v>762</v>
      </c>
      <c r="E7" s="6"/>
      <c r="F7" s="6"/>
      <c r="G7" s="6"/>
      <c r="H7" s="6"/>
      <c r="I7" s="6"/>
      <c r="J7" s="6"/>
      <c r="K7" s="6"/>
      <c r="L7" s="6"/>
      <c r="M7" s="6"/>
      <c r="N7" s="6"/>
      <c r="O7" s="6"/>
      <c r="P7" s="6"/>
      <c r="Q7" s="6"/>
      <c r="R7" s="6"/>
      <c r="S7" s="6"/>
      <c r="T7" s="6"/>
    </row>
    <row r="8" spans="1:20" x14ac:dyDescent="0.3">
      <c r="A8" s="6"/>
      <c r="B8" s="23" t="s">
        <v>763</v>
      </c>
      <c r="C8" s="41">
        <f>C4+C5+C6-C7</f>
        <v>24403.396000000001</v>
      </c>
      <c r="D8" s="6"/>
      <c r="E8" s="6"/>
      <c r="F8" s="6"/>
      <c r="G8" s="6"/>
      <c r="H8" s="6"/>
      <c r="I8" s="6"/>
      <c r="J8" s="6"/>
      <c r="K8" s="6"/>
      <c r="L8" s="6"/>
      <c r="M8" s="6"/>
      <c r="N8" s="6"/>
      <c r="O8" s="6"/>
      <c r="P8" s="6"/>
      <c r="Q8" s="6"/>
      <c r="R8" s="6"/>
      <c r="S8" s="6"/>
      <c r="T8" s="6"/>
    </row>
    <row r="9" spans="1:20" x14ac:dyDescent="0.3">
      <c r="A9" s="6"/>
      <c r="B9" s="10" t="s">
        <v>764</v>
      </c>
      <c r="C9" s="34">
        <v>7006.3019999999997</v>
      </c>
      <c r="D9" s="11" t="s">
        <v>765</v>
      </c>
      <c r="E9" s="6"/>
      <c r="F9" s="6"/>
      <c r="G9" s="6"/>
      <c r="H9" s="6"/>
      <c r="I9" s="6"/>
      <c r="J9" s="6"/>
      <c r="K9" s="6"/>
      <c r="L9" s="6"/>
      <c r="M9" s="6"/>
      <c r="N9" s="6"/>
      <c r="O9" s="6"/>
      <c r="P9" s="6"/>
      <c r="Q9" s="6"/>
      <c r="R9" s="6"/>
      <c r="S9" s="6"/>
      <c r="T9" s="6"/>
    </row>
    <row r="10" spans="1:20" x14ac:dyDescent="0.3">
      <c r="A10" s="6"/>
      <c r="B10" s="10" t="s">
        <v>766</v>
      </c>
      <c r="C10" s="34">
        <f>100-Fin_Proj!H31</f>
        <v>-369.40199999999999</v>
      </c>
      <c r="D10" s="11" t="s">
        <v>767</v>
      </c>
      <c r="E10" s="6"/>
      <c r="F10" s="6"/>
      <c r="G10" s="6"/>
      <c r="H10" s="6"/>
      <c r="I10" s="6"/>
      <c r="J10" s="6"/>
      <c r="K10" s="6"/>
      <c r="L10" s="6"/>
      <c r="M10" s="6"/>
      <c r="N10" s="6"/>
      <c r="O10" s="6"/>
      <c r="P10" s="6"/>
      <c r="Q10" s="6"/>
      <c r="R10" s="6"/>
      <c r="S10" s="6"/>
      <c r="T10" s="6"/>
    </row>
    <row r="11" spans="1:20" x14ac:dyDescent="0.3">
      <c r="A11" s="6"/>
      <c r="B11" s="23" t="s">
        <v>768</v>
      </c>
      <c r="C11" s="41">
        <f>C8+C9+C10</f>
        <v>31040.296000000002</v>
      </c>
      <c r="D11" s="6"/>
      <c r="E11" s="6"/>
      <c r="F11" s="6"/>
      <c r="G11" s="6"/>
      <c r="H11" s="6"/>
      <c r="I11" s="6"/>
      <c r="J11" s="6"/>
      <c r="K11" s="6"/>
      <c r="L11" s="6"/>
      <c r="M11" s="6"/>
      <c r="N11" s="6"/>
      <c r="O11" s="6"/>
      <c r="P11" s="6"/>
      <c r="Q11" s="6"/>
      <c r="R11" s="6"/>
      <c r="S11" s="6"/>
      <c r="T11" s="6"/>
    </row>
    <row r="12" spans="1:20" x14ac:dyDescent="0.3">
      <c r="A12" s="6"/>
      <c r="B12" s="6"/>
      <c r="C12" s="6"/>
      <c r="D12" s="6"/>
      <c r="E12" s="6"/>
      <c r="F12" s="6"/>
      <c r="G12" s="6"/>
      <c r="H12" s="6"/>
      <c r="I12" s="6"/>
      <c r="J12" s="6"/>
      <c r="K12" s="6"/>
      <c r="L12" s="6"/>
      <c r="M12" s="6"/>
      <c r="N12" s="6"/>
      <c r="O12" s="6"/>
      <c r="P12" s="6"/>
      <c r="Q12" s="6"/>
      <c r="R12" s="6"/>
      <c r="S12" s="6"/>
      <c r="T12" s="6"/>
    </row>
    <row r="13" spans="1:20" x14ac:dyDescent="0.3">
      <c r="A13" s="6"/>
      <c r="B13" s="7" t="s">
        <v>769</v>
      </c>
      <c r="C13" s="7"/>
      <c r="D13" s="7"/>
      <c r="E13" s="7"/>
      <c r="F13" s="7"/>
      <c r="G13" s="7"/>
      <c r="H13" s="7"/>
      <c r="I13" s="7"/>
      <c r="J13" s="7"/>
      <c r="K13" s="7"/>
      <c r="L13" s="7"/>
      <c r="M13" s="7"/>
      <c r="N13" s="7"/>
      <c r="O13" s="7"/>
      <c r="P13" s="7"/>
      <c r="Q13" s="7"/>
      <c r="R13" s="7"/>
      <c r="S13" s="6"/>
      <c r="T13" s="6"/>
    </row>
    <row r="14" spans="1:20" x14ac:dyDescent="0.3">
      <c r="A14" s="6"/>
      <c r="B14" s="6"/>
      <c r="C14" s="6"/>
      <c r="D14" s="6"/>
      <c r="E14" s="6"/>
      <c r="F14" s="6"/>
      <c r="G14" s="6"/>
      <c r="H14" s="6"/>
      <c r="I14" s="58" t="s">
        <v>87</v>
      </c>
      <c r="J14" s="58" t="s">
        <v>88</v>
      </c>
      <c r="K14" s="58" t="s">
        <v>89</v>
      </c>
      <c r="L14" s="58" t="s">
        <v>412</v>
      </c>
      <c r="M14" s="58" t="s">
        <v>90</v>
      </c>
      <c r="N14" s="58" t="s">
        <v>413</v>
      </c>
      <c r="O14" s="58" t="s">
        <v>414</v>
      </c>
      <c r="P14" s="58" t="s">
        <v>415</v>
      </c>
      <c r="Q14" s="58" t="s">
        <v>416</v>
      </c>
      <c r="R14" s="58" t="s">
        <v>91</v>
      </c>
      <c r="S14" s="6"/>
      <c r="T14" s="6"/>
    </row>
    <row r="15" spans="1:20" x14ac:dyDescent="0.3">
      <c r="A15" s="6"/>
      <c r="B15" s="10" t="s">
        <v>578</v>
      </c>
      <c r="C15" s="6"/>
      <c r="D15" s="6"/>
      <c r="E15" s="6"/>
      <c r="F15" s="6"/>
      <c r="G15" s="6"/>
      <c r="H15" s="6"/>
      <c r="I15" s="45">
        <f>DCF_FCFF!I11</f>
        <v>1668.9758556924055</v>
      </c>
      <c r="J15" s="45">
        <f>DCF_FCFF!J11</f>
        <v>1812.3430751863921</v>
      </c>
      <c r="K15" s="45">
        <f>DCF_FCFF!K11</f>
        <v>1922.302597486047</v>
      </c>
      <c r="L15" s="45">
        <f>DCF_FCFF!L11</f>
        <v>2059.0887673285552</v>
      </c>
      <c r="M15" s="45">
        <f>DCF_FCFF!M11</f>
        <v>2180.2555563217065</v>
      </c>
      <c r="N15" s="45">
        <f>DCF_FCFF!N11</f>
        <v>2307.6628082707816</v>
      </c>
      <c r="O15" s="45">
        <f>DCF_FCFF!O11</f>
        <v>2441.6243675586411</v>
      </c>
      <c r="P15" s="45">
        <f>DCF_FCFF!P11</f>
        <v>2582.4697889996355</v>
      </c>
      <c r="Q15" s="45">
        <f>DCF_FCFF!Q11</f>
        <v>2730.5451235433115</v>
      </c>
      <c r="R15" s="45">
        <f>DCF_FCFF!R11</f>
        <v>2886.213743265108</v>
      </c>
      <c r="S15" s="6"/>
      <c r="T15" s="6"/>
    </row>
    <row r="16" spans="1:20" x14ac:dyDescent="0.3">
      <c r="A16" s="6"/>
      <c r="B16" s="10" t="s">
        <v>770</v>
      </c>
      <c r="C16" s="6"/>
      <c r="D16" s="6"/>
      <c r="E16" s="6"/>
      <c r="F16" s="6"/>
      <c r="G16" s="6"/>
      <c r="H16" s="6"/>
      <c r="I16" s="45">
        <f>DCF_FCFF!I11-DCF_FCFF!I17</f>
        <v>-264.21807570307055</v>
      </c>
      <c r="J16" s="45">
        <f>DCF_FCFF!J11-DCF_FCFF!J17</f>
        <v>-19.56570071554961</v>
      </c>
      <c r="K16" s="45">
        <f>DCF_FCFF!K11-DCF_FCFF!K17</f>
        <v>-174.19086219205064</v>
      </c>
      <c r="L16" s="45">
        <f>DCF_FCFF!L11-DCF_FCFF!L17</f>
        <v>-438.43388627194281</v>
      </c>
      <c r="M16" s="45">
        <f>DCF_FCFF!M11-DCF_FCFF!M17</f>
        <v>-441.42180016900102</v>
      </c>
      <c r="N16" s="45">
        <f>DCF_FCFF!N11-DCF_FCFF!N17</f>
        <v>-444.33393017662684</v>
      </c>
      <c r="O16" s="45">
        <f>DCF_FCFF!O11-DCF_FCFF!O17</f>
        <v>-447.16487242439962</v>
      </c>
      <c r="P16" s="45">
        <f>DCF_FCFF!P11-DCF_FCFF!P17</f>
        <v>-449.90896537201434</v>
      </c>
      <c r="Q16" s="45">
        <f>DCF_FCFF!Q11-DCF_FCFF!Q17</f>
        <v>-452.56027834119095</v>
      </c>
      <c r="R16" s="45">
        <f>DCF_FCFF!R11-DCF_FCFF!R17</f>
        <v>-455.1125995463899</v>
      </c>
      <c r="S16" s="6"/>
      <c r="T16" s="6"/>
    </row>
    <row r="17" spans="1:20" x14ac:dyDescent="0.3">
      <c r="A17" s="6"/>
      <c r="B17" s="10" t="s">
        <v>771</v>
      </c>
      <c r="C17" s="6"/>
      <c r="D17" s="6"/>
      <c r="E17" s="6"/>
      <c r="F17" s="6"/>
      <c r="G17" s="6"/>
      <c r="H17" s="6"/>
      <c r="I17" s="45">
        <f>$C$11</f>
        <v>31040.296000000002</v>
      </c>
      <c r="J17" s="45">
        <f t="shared" ref="J17:R17" si="0">I18</f>
        <v>30776.077924296933</v>
      </c>
      <c r="K17" s="45">
        <f t="shared" si="0"/>
        <v>30756.512223581383</v>
      </c>
      <c r="L17" s="45">
        <f t="shared" si="0"/>
        <v>30582.321361389331</v>
      </c>
      <c r="M17" s="45">
        <f t="shared" si="0"/>
        <v>30143.88747511739</v>
      </c>
      <c r="N17" s="45">
        <f t="shared" si="0"/>
        <v>29702.465674948387</v>
      </c>
      <c r="O17" s="45">
        <f t="shared" si="0"/>
        <v>29258.131744771759</v>
      </c>
      <c r="P17" s="45">
        <f t="shared" si="0"/>
        <v>28810.966872347359</v>
      </c>
      <c r="Q17" s="45">
        <f t="shared" si="0"/>
        <v>28361.057906975344</v>
      </c>
      <c r="R17" s="45">
        <f t="shared" si="0"/>
        <v>27908.497628634152</v>
      </c>
      <c r="S17" s="6"/>
      <c r="T17" s="6"/>
    </row>
    <row r="18" spans="1:20" x14ac:dyDescent="0.3">
      <c r="A18" s="6"/>
      <c r="B18" s="10" t="s">
        <v>772</v>
      </c>
      <c r="C18" s="6"/>
      <c r="D18" s="6"/>
      <c r="E18" s="6"/>
      <c r="F18" s="6"/>
      <c r="G18" s="6"/>
      <c r="H18" s="6"/>
      <c r="I18" s="45">
        <f t="shared" ref="I18:R18" si="1">I17+I16</f>
        <v>30776.077924296933</v>
      </c>
      <c r="J18" s="45">
        <f t="shared" si="1"/>
        <v>30756.512223581383</v>
      </c>
      <c r="K18" s="45">
        <f t="shared" si="1"/>
        <v>30582.321361389331</v>
      </c>
      <c r="L18" s="45">
        <f t="shared" si="1"/>
        <v>30143.88747511739</v>
      </c>
      <c r="M18" s="45">
        <f t="shared" si="1"/>
        <v>29702.465674948387</v>
      </c>
      <c r="N18" s="45">
        <f t="shared" si="1"/>
        <v>29258.131744771759</v>
      </c>
      <c r="O18" s="45">
        <f t="shared" si="1"/>
        <v>28810.966872347359</v>
      </c>
      <c r="P18" s="45">
        <f t="shared" si="1"/>
        <v>28361.057906975344</v>
      </c>
      <c r="Q18" s="45">
        <f t="shared" si="1"/>
        <v>27908.497628634152</v>
      </c>
      <c r="R18" s="45">
        <f t="shared" si="1"/>
        <v>27453.38502908776</v>
      </c>
      <c r="S18" s="6"/>
      <c r="T18" s="6"/>
    </row>
    <row r="19" spans="1:20" x14ac:dyDescent="0.3">
      <c r="A19" s="6"/>
      <c r="B19" s="10" t="s">
        <v>99</v>
      </c>
      <c r="C19" s="6"/>
      <c r="D19" s="6"/>
      <c r="E19" s="6"/>
      <c r="F19" s="6"/>
      <c r="G19" s="6"/>
      <c r="H19" s="6"/>
      <c r="I19" s="29">
        <f t="shared" ref="I19:R19" si="2">I15/I17</f>
        <v>5.376803931548866E-2</v>
      </c>
      <c r="J19" s="29">
        <f t="shared" si="2"/>
        <v>5.8888045437251547E-2</v>
      </c>
      <c r="K19" s="29">
        <f t="shared" si="2"/>
        <v>6.250066924077935E-2</v>
      </c>
      <c r="L19" s="29">
        <f t="shared" si="2"/>
        <v>6.7329381017105769E-2</v>
      </c>
      <c r="M19" s="29">
        <f t="shared" si="2"/>
        <v>7.2328280754147017E-2</v>
      </c>
      <c r="N19" s="29">
        <f t="shared" si="2"/>
        <v>7.7692634460886104E-2</v>
      </c>
      <c r="O19" s="29">
        <f t="shared" si="2"/>
        <v>8.3451137237938774E-2</v>
      </c>
      <c r="P19" s="29">
        <f t="shared" si="2"/>
        <v>8.963495742582242E-2</v>
      </c>
      <c r="Q19" s="29">
        <f t="shared" si="2"/>
        <v>9.6277971452952735E-2</v>
      </c>
      <c r="R19" s="29">
        <f t="shared" si="2"/>
        <v>0.10341702307557571</v>
      </c>
      <c r="S19" s="6"/>
      <c r="T19" s="6"/>
    </row>
    <row r="20" spans="1:20" x14ac:dyDescent="0.3">
      <c r="A20" s="6"/>
      <c r="B20" s="10" t="s">
        <v>16</v>
      </c>
      <c r="C20" s="6"/>
      <c r="D20" s="6"/>
      <c r="E20" s="6"/>
      <c r="F20" s="6"/>
      <c r="G20" s="6"/>
      <c r="H20" s="6"/>
      <c r="I20" s="47">
        <f>WACC!$C$44</f>
        <v>9.0397496149000001E-2</v>
      </c>
      <c r="J20" s="47">
        <f>WACC!$C$44</f>
        <v>9.0397496149000001E-2</v>
      </c>
      <c r="K20" s="47">
        <f>WACC!$C$44</f>
        <v>9.0397496149000001E-2</v>
      </c>
      <c r="L20" s="47">
        <f>WACC!$C$44</f>
        <v>9.0397496149000001E-2</v>
      </c>
      <c r="M20" s="47">
        <f>WACC!$C$44</f>
        <v>9.0397496149000001E-2</v>
      </c>
      <c r="N20" s="47">
        <f>WACC!$C$44</f>
        <v>9.0397496149000001E-2</v>
      </c>
      <c r="O20" s="47">
        <f>WACC!$C$44</f>
        <v>9.0397496149000001E-2</v>
      </c>
      <c r="P20" s="47">
        <f>WACC!$C$44</f>
        <v>9.0397496149000001E-2</v>
      </c>
      <c r="Q20" s="47">
        <f>WACC!$C$44</f>
        <v>9.0397496149000001E-2</v>
      </c>
      <c r="R20" s="47">
        <f>WACC!$C$44</f>
        <v>9.0397496149000001E-2</v>
      </c>
      <c r="S20" s="6"/>
      <c r="T20" s="6"/>
    </row>
    <row r="21" spans="1:20" x14ac:dyDescent="0.3">
      <c r="A21" s="6"/>
      <c r="B21" s="10" t="s">
        <v>773</v>
      </c>
      <c r="C21" s="6"/>
      <c r="D21" s="6"/>
      <c r="E21" s="6"/>
      <c r="F21" s="6"/>
      <c r="G21" s="6"/>
      <c r="H21" s="6"/>
      <c r="I21" s="47">
        <f t="shared" ref="I21:R21" si="3">I19-I20</f>
        <v>-3.6629456833511341E-2</v>
      </c>
      <c r="J21" s="47">
        <f t="shared" si="3"/>
        <v>-3.1509450711748453E-2</v>
      </c>
      <c r="K21" s="47">
        <f t="shared" si="3"/>
        <v>-2.7896826908220651E-2</v>
      </c>
      <c r="L21" s="47">
        <f t="shared" si="3"/>
        <v>-2.3068115131894232E-2</v>
      </c>
      <c r="M21" s="47">
        <f t="shared" si="3"/>
        <v>-1.8069215394852983E-2</v>
      </c>
      <c r="N21" s="47">
        <f t="shared" si="3"/>
        <v>-1.2704861688113897E-2</v>
      </c>
      <c r="O21" s="47">
        <f t="shared" si="3"/>
        <v>-6.9463589110612262E-3</v>
      </c>
      <c r="P21" s="47">
        <f t="shared" si="3"/>
        <v>-7.6253872317758042E-4</v>
      </c>
      <c r="Q21" s="47">
        <f t="shared" si="3"/>
        <v>5.8804753039527341E-3</v>
      </c>
      <c r="R21" s="47">
        <f t="shared" si="3"/>
        <v>1.3019526926575709E-2</v>
      </c>
      <c r="S21" s="6"/>
      <c r="T21" s="6"/>
    </row>
    <row r="22" spans="1:20" x14ac:dyDescent="0.3">
      <c r="A22" s="6"/>
      <c r="B22" s="23" t="s">
        <v>774</v>
      </c>
      <c r="C22" s="6"/>
      <c r="D22" s="6"/>
      <c r="E22" s="6"/>
      <c r="F22" s="6"/>
      <c r="G22" s="6"/>
      <c r="H22" s="6"/>
      <c r="I22" s="52">
        <f t="shared" ref="I22:R22" si="4">I15-I20*I17</f>
        <v>-1136.9891824314147</v>
      </c>
      <c r="J22" s="52">
        <f t="shared" si="4"/>
        <v>-969.73731045656405</v>
      </c>
      <c r="K22" s="52">
        <f t="shared" si="4"/>
        <v>-858.00909780182246</v>
      </c>
      <c r="L22" s="52">
        <f t="shared" si="4"/>
        <v>-705.47651016511736</v>
      </c>
      <c r="M22" s="52">
        <f t="shared" si="4"/>
        <v>-544.67639562610702</v>
      </c>
      <c r="N22" s="52">
        <f t="shared" si="4"/>
        <v>-377.36571819616984</v>
      </c>
      <c r="O22" s="52">
        <f t="shared" si="4"/>
        <v>-203.2374841662986</v>
      </c>
      <c r="P22" s="52">
        <f t="shared" si="4"/>
        <v>-21.969477892351279</v>
      </c>
      <c r="Q22" s="52">
        <f t="shared" si="4"/>
        <v>166.77650061594204</v>
      </c>
      <c r="R22" s="52">
        <f t="shared" si="4"/>
        <v>363.35543635627664</v>
      </c>
      <c r="S22" s="6"/>
      <c r="T22" s="6"/>
    </row>
    <row r="23" spans="1:20" x14ac:dyDescent="0.3">
      <c r="A23" s="6"/>
      <c r="B23" s="10" t="s">
        <v>775</v>
      </c>
      <c r="C23" s="6"/>
      <c r="D23" s="6"/>
      <c r="E23" s="6"/>
      <c r="F23" s="6"/>
      <c r="G23" s="6"/>
      <c r="H23" s="6"/>
      <c r="I23" s="48">
        <f>1/(1+I20)^DCF_FCFF!I5</f>
        <v>0.91709675006751179</v>
      </c>
      <c r="J23" s="48">
        <f>1/(1+J20)^DCF_FCFF!J5</f>
        <v>0.84106644898439209</v>
      </c>
      <c r="K23" s="48">
        <f>1/(1+K20)^DCF_FCFF!K5</f>
        <v>0.77133930695440855</v>
      </c>
      <c r="L23" s="48">
        <f>1/(1+L20)^DCF_FCFF!L5</f>
        <v>0.70739277160721503</v>
      </c>
      <c r="M23" s="48">
        <f>1/(1+M20)^DCF_FCFF!M5</f>
        <v>0.64874761186222651</v>
      </c>
      <c r="N23" s="48">
        <f>1/(1+N20)^DCF_FCFF!N5</f>
        <v>0.59496432645290742</v>
      </c>
      <c r="O23" s="48">
        <f>1/(1+O20)^DCF_FCFF!O5</f>
        <v>0.54563985019606742</v>
      </c>
      <c r="P23" s="48">
        <f>1/(1+P20)^DCF_FCFF!P5</f>
        <v>0.50040453332213741</v>
      </c>
      <c r="Q23" s="48">
        <f>1/(1+Q20)^DCF_FCFF!Q5</f>
        <v>0.45891937122878207</v>
      </c>
      <c r="R23" s="48">
        <f>1/(1+R20)^DCF_FCFF!R5</f>
        <v>0.42087346389694202</v>
      </c>
      <c r="S23" s="6"/>
      <c r="T23" s="6"/>
    </row>
    <row r="24" spans="1:20" x14ac:dyDescent="0.3">
      <c r="A24" s="6"/>
      <c r="B24" s="10" t="s">
        <v>776</v>
      </c>
      <c r="C24" s="6"/>
      <c r="D24" s="6"/>
      <c r="E24" s="6"/>
      <c r="F24" s="6"/>
      <c r="G24" s="6"/>
      <c r="H24" s="6"/>
      <c r="I24" s="45">
        <f t="shared" ref="I24:R24" si="5">I22*I23</f>
        <v>-1042.7290840697679</v>
      </c>
      <c r="J24" s="45">
        <f t="shared" si="5"/>
        <v>-815.6135161533773</v>
      </c>
      <c r="K24" s="45">
        <f t="shared" si="5"/>
        <v>-661.81614285903504</v>
      </c>
      <c r="L24" s="45">
        <f t="shared" si="5"/>
        <v>-499.04898382948795</v>
      </c>
      <c r="M24" s="45">
        <f t="shared" si="5"/>
        <v>-353.3575109001622</v>
      </c>
      <c r="N24" s="45">
        <f t="shared" si="5"/>
        <v>-224.51914035300186</v>
      </c>
      <c r="O24" s="45">
        <f t="shared" si="5"/>
        <v>-110.89447041472479</v>
      </c>
      <c r="P24" s="45">
        <f t="shared" si="5"/>
        <v>-10.993626332053056</v>
      </c>
      <c r="Q24" s="45">
        <f t="shared" si="5"/>
        <v>76.536966798404706</v>
      </c>
      <c r="R24" s="45">
        <f t="shared" si="5"/>
        <v>152.926661125051</v>
      </c>
      <c r="S24" s="6"/>
      <c r="T24" s="6"/>
    </row>
    <row r="25" spans="1:20" x14ac:dyDescent="0.3">
      <c r="A25" s="6"/>
      <c r="B25" s="10" t="s">
        <v>777</v>
      </c>
      <c r="C25" s="6"/>
      <c r="D25" s="6"/>
      <c r="E25" s="6"/>
      <c r="F25" s="6"/>
      <c r="G25" s="6"/>
      <c r="H25" s="6"/>
      <c r="I25" s="45">
        <f>DCF_FCFF!I17</f>
        <v>1933.1939313954761</v>
      </c>
      <c r="J25" s="45">
        <f>DCF_FCFF!J17</f>
        <v>1831.9087759019417</v>
      </c>
      <c r="K25" s="45">
        <f>DCF_FCFF!K17</f>
        <v>2096.4934596780977</v>
      </c>
      <c r="L25" s="45">
        <f>DCF_FCFF!L17</f>
        <v>2497.522653600498</v>
      </c>
      <c r="M25" s="45">
        <f>DCF_FCFF!M17</f>
        <v>2621.6773564907076</v>
      </c>
      <c r="N25" s="45">
        <f>DCF_FCFF!N17</f>
        <v>2751.9967384474085</v>
      </c>
      <c r="O25" s="45">
        <f>DCF_FCFF!O17</f>
        <v>2888.7892399830407</v>
      </c>
      <c r="P25" s="45">
        <f>DCF_FCFF!P17</f>
        <v>3032.3787543716498</v>
      </c>
      <c r="Q25" s="45">
        <f>DCF_FCFF!Q17</f>
        <v>3183.1054018845025</v>
      </c>
      <c r="R25" s="45">
        <f>DCF_FCFF!R17</f>
        <v>3341.3263428114979</v>
      </c>
      <c r="S25" s="6"/>
      <c r="T25" s="6"/>
    </row>
    <row r="26" spans="1:20" x14ac:dyDescent="0.3">
      <c r="A26" s="6"/>
      <c r="B26" s="10" t="s">
        <v>778</v>
      </c>
      <c r="C26" s="6"/>
      <c r="D26" s="6"/>
      <c r="E26" s="6"/>
      <c r="F26" s="6"/>
      <c r="G26" s="6"/>
      <c r="H26" s="6"/>
      <c r="I26" s="45">
        <f t="shared" ref="I26:R26" si="6">I25*I23</f>
        <v>1772.9258717330274</v>
      </c>
      <c r="J26" s="45">
        <f t="shared" si="6"/>
        <v>1540.7570090111906</v>
      </c>
      <c r="K26" s="45">
        <f t="shared" si="6"/>
        <v>1617.1078122225542</v>
      </c>
      <c r="L26" s="45">
        <f t="shared" si="6"/>
        <v>1766.7294720822626</v>
      </c>
      <c r="M26" s="45">
        <f t="shared" si="6"/>
        <v>1700.8069240966215</v>
      </c>
      <c r="N26" s="45">
        <f t="shared" si="6"/>
        <v>1637.3398858909604</v>
      </c>
      <c r="O26" s="45">
        <f t="shared" si="6"/>
        <v>1576.2385281523577</v>
      </c>
      <c r="P26" s="45">
        <f t="shared" si="6"/>
        <v>1517.4160754373097</v>
      </c>
      <c r="Q26" s="45">
        <f t="shared" si="6"/>
        <v>1460.7887295877756</v>
      </c>
      <c r="R26" s="45">
        <f t="shared" si="6"/>
        <v>1406.2755919091762</v>
      </c>
      <c r="S26" s="6"/>
      <c r="T26" s="6"/>
    </row>
    <row r="27" spans="1:20" x14ac:dyDescent="0.3">
      <c r="A27" s="6"/>
      <c r="B27" s="6"/>
      <c r="C27" s="6"/>
      <c r="D27" s="6"/>
      <c r="E27" s="6"/>
      <c r="F27" s="6"/>
      <c r="G27" s="6"/>
      <c r="H27" s="6"/>
      <c r="I27" s="6"/>
      <c r="J27" s="6"/>
      <c r="K27" s="6"/>
      <c r="L27" s="6"/>
      <c r="M27" s="6"/>
      <c r="N27" s="6"/>
      <c r="O27" s="6"/>
      <c r="P27" s="6"/>
      <c r="Q27" s="6"/>
      <c r="R27" s="6"/>
      <c r="S27" s="6"/>
      <c r="T27" s="6"/>
    </row>
    <row r="28" spans="1:20" x14ac:dyDescent="0.3">
      <c r="A28" s="6"/>
      <c r="B28" s="7" t="s">
        <v>779</v>
      </c>
      <c r="C28" s="7"/>
      <c r="D28" s="7"/>
      <c r="E28" s="7"/>
      <c r="F28" s="7"/>
      <c r="G28" s="7"/>
      <c r="H28" s="7"/>
      <c r="I28" s="6"/>
      <c r="J28" s="6"/>
      <c r="K28" s="6"/>
      <c r="L28" s="6"/>
      <c r="M28" s="6"/>
      <c r="N28" s="6"/>
      <c r="O28" s="6"/>
      <c r="P28" s="6"/>
      <c r="Q28" s="6"/>
      <c r="R28" s="6"/>
      <c r="S28" s="6"/>
      <c r="T28" s="6"/>
    </row>
    <row r="29" spans="1:20" x14ac:dyDescent="0.3">
      <c r="A29" s="6"/>
      <c r="B29" s="10" t="s">
        <v>780</v>
      </c>
      <c r="C29" s="34">
        <f>C11</f>
        <v>31040.296000000002</v>
      </c>
      <c r="D29" s="6"/>
      <c r="E29" s="6"/>
      <c r="F29" s="6"/>
      <c r="G29" s="6"/>
      <c r="H29" s="6"/>
      <c r="I29" s="6"/>
      <c r="J29" s="6"/>
      <c r="K29" s="6"/>
      <c r="L29" s="6"/>
      <c r="M29" s="6"/>
      <c r="N29" s="6"/>
      <c r="O29" s="6"/>
      <c r="P29" s="6"/>
      <c r="Q29" s="6"/>
      <c r="R29" s="6"/>
      <c r="S29" s="6"/>
      <c r="T29" s="6"/>
    </row>
    <row r="30" spans="1:20" x14ac:dyDescent="0.3">
      <c r="A30" s="6"/>
      <c r="B30" s="10" t="s">
        <v>781</v>
      </c>
      <c r="C30" s="34">
        <f>SUM(I24:R24)</f>
        <v>-3489.5088469881548</v>
      </c>
      <c r="D30" s="6"/>
      <c r="E30" s="6"/>
      <c r="F30" s="6"/>
      <c r="G30" s="6"/>
      <c r="H30" s="6"/>
      <c r="I30" s="6"/>
      <c r="J30" s="6"/>
      <c r="K30" s="6"/>
      <c r="L30" s="6"/>
      <c r="M30" s="6"/>
      <c r="N30" s="6"/>
      <c r="O30" s="6"/>
      <c r="P30" s="6"/>
      <c r="Q30" s="6"/>
      <c r="R30" s="6"/>
      <c r="S30" s="6"/>
      <c r="T30" s="6"/>
    </row>
    <row r="31" spans="1:20" x14ac:dyDescent="0.3">
      <c r="A31" s="6"/>
      <c r="B31" s="10" t="s">
        <v>782</v>
      </c>
      <c r="C31" s="34">
        <f>DCF_FCFF!C35</f>
        <v>63970.823672903265</v>
      </c>
      <c r="D31" s="6"/>
      <c r="E31" s="6"/>
      <c r="F31" s="6"/>
      <c r="G31" s="6"/>
      <c r="H31" s="6"/>
      <c r="I31" s="6"/>
      <c r="J31" s="6"/>
      <c r="K31" s="6"/>
      <c r="L31" s="6"/>
      <c r="M31" s="6"/>
      <c r="N31" s="6"/>
      <c r="O31" s="6"/>
      <c r="P31" s="6"/>
      <c r="Q31" s="6"/>
      <c r="R31" s="6"/>
      <c r="S31" s="6"/>
      <c r="T31" s="6"/>
    </row>
    <row r="32" spans="1:20" x14ac:dyDescent="0.3">
      <c r="A32" s="6"/>
      <c r="B32" s="10" t="s">
        <v>783</v>
      </c>
      <c r="C32" s="34">
        <f>R18</f>
        <v>27453.38502908776</v>
      </c>
      <c r="D32" s="6"/>
      <c r="E32" s="6"/>
      <c r="F32" s="6"/>
      <c r="G32" s="6"/>
      <c r="H32" s="6"/>
      <c r="I32" s="6"/>
      <c r="J32" s="6"/>
      <c r="K32" s="6"/>
      <c r="L32" s="6"/>
      <c r="M32" s="6"/>
      <c r="N32" s="6"/>
      <c r="O32" s="6"/>
      <c r="P32" s="6"/>
      <c r="Q32" s="6"/>
      <c r="R32" s="6"/>
      <c r="S32" s="6"/>
      <c r="T32" s="6"/>
    </row>
    <row r="33" spans="1:20" x14ac:dyDescent="0.3">
      <c r="A33" s="6"/>
      <c r="B33" s="10" t="s">
        <v>784</v>
      </c>
      <c r="C33" s="34">
        <f>(C31-C32)*R23</f>
        <v>15369.22089466668</v>
      </c>
      <c r="D33" s="6"/>
      <c r="E33" s="6"/>
      <c r="F33" s="6"/>
      <c r="G33" s="6"/>
      <c r="H33" s="6"/>
      <c r="I33" s="6"/>
      <c r="J33" s="6"/>
      <c r="K33" s="6"/>
      <c r="L33" s="6"/>
      <c r="M33" s="6"/>
      <c r="N33" s="6"/>
      <c r="O33" s="6"/>
      <c r="P33" s="6"/>
      <c r="Q33" s="6"/>
      <c r="R33" s="6"/>
      <c r="S33" s="6"/>
      <c r="T33" s="6"/>
    </row>
    <row r="34" spans="1:20" x14ac:dyDescent="0.3">
      <c r="A34" s="6"/>
      <c r="B34" s="23" t="s">
        <v>785</v>
      </c>
      <c r="C34" s="41">
        <f>C29+C30+C33</f>
        <v>42920.008047678522</v>
      </c>
      <c r="D34" s="6"/>
      <c r="E34" s="6"/>
      <c r="F34" s="6"/>
      <c r="G34" s="6"/>
      <c r="H34" s="6"/>
      <c r="I34" s="6"/>
      <c r="J34" s="6"/>
      <c r="K34" s="6"/>
      <c r="L34" s="6"/>
      <c r="M34" s="6"/>
      <c r="N34" s="6"/>
      <c r="O34" s="6"/>
      <c r="P34" s="6"/>
      <c r="Q34" s="6"/>
      <c r="R34" s="6"/>
      <c r="S34" s="6"/>
      <c r="T34" s="6"/>
    </row>
    <row r="35" spans="1:20" x14ac:dyDescent="0.3">
      <c r="A35" s="6"/>
      <c r="B35" s="10" t="s">
        <v>786</v>
      </c>
      <c r="C35" s="34">
        <f>SUM(I26:R26)+C31*R23</f>
        <v>42920.00804767853</v>
      </c>
      <c r="D35" s="6"/>
      <c r="E35" s="6"/>
      <c r="F35" s="6"/>
      <c r="G35" s="6"/>
      <c r="H35" s="6"/>
      <c r="I35" s="6"/>
      <c r="J35" s="6"/>
      <c r="K35" s="6"/>
      <c r="L35" s="6"/>
      <c r="M35" s="6"/>
      <c r="N35" s="6"/>
      <c r="O35" s="6"/>
      <c r="P35" s="6"/>
      <c r="Q35" s="6"/>
      <c r="R35" s="6"/>
      <c r="S35" s="6"/>
      <c r="T35" s="6"/>
    </row>
    <row r="36" spans="1:20" x14ac:dyDescent="0.3">
      <c r="A36" s="6"/>
      <c r="B36" s="23" t="s">
        <v>787</v>
      </c>
      <c r="C36" s="41">
        <f>C34-C35</f>
        <v>0</v>
      </c>
      <c r="D36" s="6"/>
      <c r="E36" s="6"/>
      <c r="F36" s="6"/>
      <c r="G36" s="6"/>
      <c r="H36" s="6"/>
      <c r="I36" s="6"/>
      <c r="J36" s="6"/>
      <c r="K36" s="6"/>
      <c r="L36" s="6"/>
      <c r="M36" s="6"/>
      <c r="N36" s="6"/>
      <c r="O36" s="6"/>
      <c r="P36" s="6"/>
      <c r="Q36" s="6"/>
      <c r="R36" s="6"/>
      <c r="S36" s="6"/>
      <c r="T36" s="6"/>
    </row>
    <row r="37" spans="1:20" x14ac:dyDescent="0.3">
      <c r="A37" s="6"/>
      <c r="B37" s="10" t="s">
        <v>788</v>
      </c>
      <c r="C37" s="34">
        <f>C34-C29</f>
        <v>11879.71204767852</v>
      </c>
      <c r="D37" s="6"/>
      <c r="E37" s="6"/>
      <c r="F37" s="6"/>
      <c r="G37" s="6"/>
      <c r="H37" s="6"/>
      <c r="I37" s="6"/>
      <c r="J37" s="6"/>
      <c r="K37" s="6"/>
      <c r="L37" s="6"/>
      <c r="M37" s="6"/>
      <c r="N37" s="6"/>
      <c r="O37" s="6"/>
      <c r="P37" s="6"/>
      <c r="Q37" s="6"/>
      <c r="R37" s="6"/>
      <c r="S37" s="6"/>
      <c r="T37" s="6"/>
    </row>
    <row r="38" spans="1:20" x14ac:dyDescent="0.3">
      <c r="A38" s="6"/>
      <c r="B38" s="10" t="s">
        <v>789</v>
      </c>
      <c r="C38" s="18">
        <f>AVERAGE(I19:R19)</f>
        <v>7.652881394179481E-2</v>
      </c>
      <c r="D38" s="11" t="s">
        <v>790</v>
      </c>
      <c r="E38" s="6"/>
      <c r="F38" s="6"/>
      <c r="G38" s="6"/>
      <c r="H38" s="6"/>
      <c r="I38" s="6"/>
      <c r="J38" s="6"/>
      <c r="K38" s="6"/>
      <c r="L38" s="6"/>
      <c r="M38" s="6"/>
      <c r="N38" s="6"/>
      <c r="O38" s="6"/>
      <c r="P38" s="6"/>
      <c r="Q38" s="6"/>
      <c r="R38" s="6"/>
      <c r="S38" s="6"/>
      <c r="T38" s="6"/>
    </row>
    <row r="39" spans="1:20" x14ac:dyDescent="0.3">
      <c r="A39" s="6"/>
      <c r="B39" s="10" t="s">
        <v>791</v>
      </c>
      <c r="C39" s="18">
        <f>AVERAGE(I21:R21)</f>
        <v>-1.3868682207205191E-2</v>
      </c>
      <c r="D39" s="6"/>
      <c r="E39" s="6"/>
      <c r="F39" s="6"/>
      <c r="G39" s="6"/>
      <c r="H39" s="6"/>
      <c r="I39" s="6"/>
      <c r="J39" s="6"/>
      <c r="K39" s="6"/>
      <c r="L39" s="6"/>
      <c r="M39" s="6"/>
      <c r="N39" s="6"/>
      <c r="O39" s="6"/>
      <c r="P39" s="6"/>
      <c r="Q39" s="6"/>
      <c r="R39" s="6"/>
      <c r="S39" s="6"/>
      <c r="T39" s="6"/>
    </row>
    <row r="40" spans="1:20" x14ac:dyDescent="0.3">
      <c r="A40" s="6"/>
      <c r="B40" s="6"/>
      <c r="C40" s="6"/>
      <c r="D40" s="6"/>
      <c r="E40" s="6"/>
      <c r="F40" s="6"/>
      <c r="G40" s="6"/>
      <c r="H40" s="6"/>
      <c r="I40" s="6"/>
      <c r="J40" s="6"/>
      <c r="K40" s="6"/>
      <c r="L40" s="6"/>
      <c r="M40" s="6"/>
      <c r="N40" s="6"/>
      <c r="O40" s="6"/>
      <c r="P40" s="6"/>
      <c r="Q40" s="6"/>
      <c r="R40" s="6"/>
      <c r="S40" s="6"/>
      <c r="T40" s="6"/>
    </row>
    <row r="41" spans="1:20" x14ac:dyDescent="0.3">
      <c r="A41" s="6"/>
      <c r="B41" s="7" t="s">
        <v>792</v>
      </c>
      <c r="C41" s="7"/>
      <c r="D41" s="7"/>
      <c r="E41" s="7"/>
      <c r="F41" s="7"/>
      <c r="G41" s="7"/>
      <c r="H41" s="7"/>
      <c r="I41" s="6"/>
      <c r="J41" s="6"/>
      <c r="K41" s="6"/>
      <c r="L41" s="6"/>
      <c r="M41" s="6"/>
      <c r="N41" s="6"/>
      <c r="O41" s="6"/>
      <c r="P41" s="6"/>
      <c r="Q41" s="6"/>
      <c r="R41" s="6"/>
      <c r="S41" s="6"/>
      <c r="T41" s="6"/>
    </row>
    <row r="42" spans="1:20" ht="26.4" x14ac:dyDescent="0.3">
      <c r="A42" s="6"/>
      <c r="B42" s="8" t="s">
        <v>793</v>
      </c>
      <c r="C42" s="8" t="s">
        <v>794</v>
      </c>
      <c r="D42" s="8" t="s">
        <v>795</v>
      </c>
      <c r="E42" s="8" t="s">
        <v>703</v>
      </c>
      <c r="F42" s="6"/>
      <c r="G42" s="6"/>
      <c r="H42" s="6"/>
      <c r="I42" s="6"/>
      <c r="J42" s="6"/>
      <c r="K42" s="6"/>
      <c r="L42" s="6"/>
      <c r="M42" s="6"/>
      <c r="N42" s="6"/>
      <c r="O42" s="6"/>
      <c r="P42" s="6"/>
      <c r="Q42" s="6"/>
      <c r="R42" s="6"/>
      <c r="S42" s="6"/>
      <c r="T42" s="6"/>
    </row>
    <row r="43" spans="1:20" x14ac:dyDescent="0.3">
      <c r="A43" s="6"/>
      <c r="B43" s="10" t="s">
        <v>796</v>
      </c>
      <c r="C43" s="17">
        <f>Rev_Build!$Z$69*0.01/Rev_Build!$Q$67*0.9*(1-Inputs!$C$42)/(DCF_FCFF!C25-DCF_FCFF!C26)</f>
        <v>618.23472536314785</v>
      </c>
      <c r="D43" s="15">
        <f>C43*(1-DCF_FCFF!$C$50)/Inputs!$C$11</f>
        <v>5.9342919906774032</v>
      </c>
      <c r="E43" s="11" t="s">
        <v>797</v>
      </c>
      <c r="F43" s="6"/>
      <c r="G43" s="6"/>
      <c r="H43" s="6"/>
      <c r="I43" s="6"/>
      <c r="J43" s="6"/>
      <c r="K43" s="6"/>
      <c r="L43" s="6"/>
      <c r="M43" s="6"/>
      <c r="N43" s="6"/>
      <c r="O43" s="6"/>
      <c r="P43" s="6"/>
      <c r="Q43" s="6"/>
      <c r="R43" s="6"/>
      <c r="S43" s="6"/>
      <c r="T43" s="6"/>
    </row>
    <row r="44" spans="1:20" x14ac:dyDescent="0.3">
      <c r="A44" s="6"/>
      <c r="B44" s="10" t="s">
        <v>798</v>
      </c>
      <c r="C44" s="17">
        <f>Rev_Build!$Z$69*0.01*(1-Inputs!$C$42)/(DCF_FCFF!C25-DCF_FCFF!C26)</f>
        <v>646.21143959483072</v>
      </c>
      <c r="D44" s="15">
        <f>C44*(1-DCF_FCFF!$C$50)/Inputs!$C$11</f>
        <v>6.2028339932202483</v>
      </c>
      <c r="E44" s="11" t="s">
        <v>799</v>
      </c>
      <c r="F44" s="6"/>
      <c r="G44" s="6"/>
      <c r="H44" s="6"/>
      <c r="I44" s="6"/>
      <c r="J44" s="6"/>
      <c r="K44" s="6"/>
      <c r="L44" s="6"/>
      <c r="M44" s="6"/>
      <c r="N44" s="6"/>
      <c r="O44" s="6"/>
      <c r="P44" s="6"/>
      <c r="Q44" s="6"/>
      <c r="R44" s="6"/>
      <c r="S44" s="6"/>
      <c r="T44" s="6"/>
    </row>
    <row r="45" spans="1:20" x14ac:dyDescent="0.3">
      <c r="A45" s="6"/>
      <c r="B45" s="10" t="s">
        <v>800</v>
      </c>
      <c r="C45" s="17">
        <f>(SUMPRODUCT(DCF_FCFF!$I$19:$R$19*(1+(DCF_FCFF!$C$25-0.005))^(-DCF_FCFF!$I$20:$R$20))+(DCF_FCFF!$R$6*(1+DCF_FCFF!$C$26)*(1-DCF_FCFF!$C$27)*(1-DCF_FCFF!$C$28)/((DCF_FCFF!$C$25-0.005)-DCF_FCFF!$C$26))*(1+(DCF_FCFF!$C$25-0.005))^(-(Inputs!$C$9+9)))-DCF_FCFF!C43</f>
        <v>4849.2277116991172</v>
      </c>
      <c r="D45" s="15">
        <f>C45*(1-DCF_FCFF!$C$50)/Inputs!$C$11</f>
        <v>46.54661407704603</v>
      </c>
      <c r="E45" s="11" t="s">
        <v>801</v>
      </c>
      <c r="F45" s="6"/>
      <c r="G45" s="6"/>
      <c r="H45" s="6"/>
      <c r="I45" s="6"/>
      <c r="J45" s="6"/>
      <c r="K45" s="6"/>
      <c r="L45" s="6"/>
      <c r="M45" s="6"/>
      <c r="N45" s="6"/>
      <c r="O45" s="6"/>
      <c r="P45" s="6"/>
      <c r="Q45" s="6"/>
      <c r="R45" s="6"/>
      <c r="S45" s="6"/>
      <c r="T45" s="6"/>
    </row>
    <row r="46" spans="1:20" x14ac:dyDescent="0.3">
      <c r="A46" s="6"/>
      <c r="B46" s="10" t="s">
        <v>802</v>
      </c>
      <c r="C46" s="17">
        <f>1000*((0.074*(1-Inputs!$C$42)+DCF_FCFF!C26)-DCF_FCFF!C25)/(DCF_FCFF!C25-DCF_FCFF!C26)</f>
        <v>98.749029838434566</v>
      </c>
      <c r="D46" s="15">
        <f>C46*(1-DCF_FCFF!$C$50)/Inputs!$C$11</f>
        <v>0.94786907434416523</v>
      </c>
      <c r="E46" s="11" t="s">
        <v>803</v>
      </c>
      <c r="F46" s="6"/>
      <c r="G46" s="6"/>
      <c r="H46" s="6"/>
      <c r="I46" s="6"/>
      <c r="J46" s="6"/>
      <c r="K46" s="6"/>
      <c r="L46" s="6"/>
      <c r="M46" s="6"/>
      <c r="N46" s="6"/>
      <c r="O46" s="6"/>
      <c r="P46" s="6"/>
      <c r="Q46" s="6"/>
      <c r="R46" s="6"/>
      <c r="S46" s="6"/>
      <c r="T46" s="6"/>
    </row>
    <row r="47" spans="1:20" x14ac:dyDescent="0.3">
      <c r="A47" s="6"/>
      <c r="B47" s="6"/>
      <c r="C47" s="6"/>
      <c r="D47" s="6"/>
      <c r="E47" s="6"/>
      <c r="F47" s="6"/>
      <c r="G47" s="6"/>
      <c r="H47" s="6"/>
      <c r="I47" s="6"/>
      <c r="J47" s="6"/>
      <c r="K47" s="6"/>
      <c r="L47" s="6"/>
      <c r="M47" s="6"/>
      <c r="N47" s="6"/>
      <c r="O47" s="6"/>
      <c r="P47" s="6"/>
      <c r="Q47" s="6"/>
      <c r="R47" s="6"/>
      <c r="S47" s="6"/>
      <c r="T47" s="6"/>
    </row>
    <row r="48" spans="1:20" x14ac:dyDescent="0.3">
      <c r="A48" s="6"/>
      <c r="B48" s="7" t="s">
        <v>804</v>
      </c>
      <c r="C48" s="7"/>
      <c r="D48" s="7"/>
      <c r="E48" s="7"/>
      <c r="F48" s="7"/>
      <c r="G48" s="7"/>
      <c r="H48" s="7"/>
      <c r="I48" s="6"/>
      <c r="J48" s="6"/>
      <c r="K48" s="6"/>
      <c r="L48" s="6"/>
      <c r="M48" s="6"/>
      <c r="N48" s="6"/>
      <c r="O48" s="6"/>
      <c r="P48" s="6"/>
      <c r="Q48" s="6"/>
      <c r="R48" s="6"/>
      <c r="S48" s="6"/>
      <c r="T48" s="6"/>
    </row>
    <row r="49" spans="1:20" ht="26.4" x14ac:dyDescent="0.3">
      <c r="A49" s="6"/>
      <c r="B49" s="8" t="s">
        <v>805</v>
      </c>
      <c r="C49" s="8" t="s">
        <v>806</v>
      </c>
      <c r="D49" s="8" t="s">
        <v>66</v>
      </c>
      <c r="E49" s="8" t="s">
        <v>807</v>
      </c>
      <c r="F49" s="8" t="s">
        <v>16</v>
      </c>
      <c r="G49" s="6"/>
      <c r="H49" s="6"/>
      <c r="I49" s="6"/>
      <c r="J49" s="6"/>
      <c r="K49" s="6"/>
      <c r="L49" s="6"/>
      <c r="M49" s="6"/>
      <c r="N49" s="6"/>
      <c r="O49" s="6"/>
      <c r="P49" s="6"/>
      <c r="Q49" s="6"/>
      <c r="R49" s="6"/>
      <c r="S49" s="6"/>
      <c r="T49" s="6"/>
    </row>
    <row r="50" spans="1:20" x14ac:dyDescent="0.3">
      <c r="A50" s="6"/>
      <c r="B50" s="16">
        <v>0.1</v>
      </c>
      <c r="C50" s="33">
        <f>WACC!$C$17*(1+(1-Inputs!$C$42)*B50/(1-B50))</f>
        <v>0.49553858333333334</v>
      </c>
      <c r="D50" s="18">
        <f>(WACC!$C$8+WACC!$C$5)/2+C50*WACC!$C$11</f>
        <v>9.8034131699999999E-2</v>
      </c>
      <c r="E50" s="18">
        <f>WACC!$C$30+0.0025*MAX(0,(B50-0.3)/0.05)</f>
        <v>7.4999999999999997E-2</v>
      </c>
      <c r="F50" s="18">
        <f>(1-B50)*D50+B50*E50*(1-Inputs!$C$42)</f>
        <v>9.3842968530000001E-2</v>
      </c>
      <c r="G50" s="6"/>
      <c r="H50" s="6"/>
      <c r="I50" s="6"/>
      <c r="J50" s="6"/>
      <c r="K50" s="6"/>
      <c r="L50" s="6"/>
      <c r="M50" s="6"/>
      <c r="N50" s="6"/>
      <c r="O50" s="6"/>
      <c r="P50" s="6"/>
      <c r="Q50" s="6"/>
      <c r="R50" s="6"/>
      <c r="S50" s="6"/>
      <c r="T50" s="6"/>
    </row>
    <row r="51" spans="1:20" x14ac:dyDescent="0.3">
      <c r="A51" s="6"/>
      <c r="B51" s="16">
        <v>0.2</v>
      </c>
      <c r="C51" s="33">
        <f>WACC!$C$17*(1+(1-Inputs!$C$42)*B51/(1-B51))</f>
        <v>0.54308681250000002</v>
      </c>
      <c r="D51" s="18">
        <f>(WACC!$C$8+WACC!$C$5)/2+C51*WACC!$C$11</f>
        <v>0.10140054632500001</v>
      </c>
      <c r="E51" s="18">
        <f>WACC!$C$30+0.0025*MAX(0,(B51-0.3)/0.05)</f>
        <v>7.4999999999999997E-2</v>
      </c>
      <c r="F51" s="18">
        <f>(1-B51)*D51+B51*E51*(1-Inputs!$C$42)</f>
        <v>9.2344937060000007E-2</v>
      </c>
      <c r="G51" s="6"/>
      <c r="H51" s="6"/>
      <c r="I51" s="6"/>
      <c r="J51" s="6"/>
      <c r="K51" s="6"/>
      <c r="L51" s="6"/>
      <c r="M51" s="6"/>
      <c r="N51" s="6"/>
      <c r="O51" s="6"/>
      <c r="P51" s="6"/>
      <c r="Q51" s="6"/>
      <c r="R51" s="6"/>
      <c r="S51" s="6"/>
      <c r="T51" s="6"/>
    </row>
    <row r="52" spans="1:20" x14ac:dyDescent="0.3">
      <c r="A52" s="6"/>
      <c r="B52" s="16">
        <v>0.3</v>
      </c>
      <c r="C52" s="33">
        <f>WACC!$C$17*(1+(1-Inputs!$C$42)*B52/(1-B52))</f>
        <v>0.60422025000000001</v>
      </c>
      <c r="D52" s="18">
        <f>(WACC!$C$8+WACC!$C$5)/2+C52*WACC!$C$11</f>
        <v>0.10572879370000002</v>
      </c>
      <c r="E52" s="18">
        <f>WACC!$C$30+0.0025*MAX(0,(B52-0.3)/0.05)</f>
        <v>7.4999999999999997E-2</v>
      </c>
      <c r="F52" s="18">
        <f>(1-B52)*D52+B52*E52*(1-Inputs!$C$42)</f>
        <v>9.0846905589999999E-2</v>
      </c>
      <c r="G52" s="6"/>
      <c r="H52" s="6"/>
      <c r="I52" s="6"/>
      <c r="J52" s="6"/>
      <c r="K52" s="6"/>
      <c r="L52" s="6"/>
      <c r="M52" s="6"/>
      <c r="N52" s="6"/>
      <c r="O52" s="6"/>
      <c r="P52" s="6"/>
      <c r="Q52" s="6"/>
      <c r="R52" s="6"/>
      <c r="S52" s="6"/>
      <c r="T52" s="6"/>
    </row>
    <row r="53" spans="1:20" x14ac:dyDescent="0.3">
      <c r="A53" s="6"/>
      <c r="B53" s="16">
        <v>0.33</v>
      </c>
      <c r="C53" s="33">
        <f>WACC!$C$17*(1+(1-Inputs!$C$42)*B53/(1-B53))</f>
        <v>0.62611879477611943</v>
      </c>
      <c r="D53" s="18">
        <f>(WACC!$C$8+WACC!$C$5)/2+C53*WACC!$C$11</f>
        <v>0.10727921067014926</v>
      </c>
      <c r="E53" s="18">
        <f>WACC!$C$30+0.0025*MAX(0,(B53-0.3)/0.05)</f>
        <v>7.6499999999999999E-2</v>
      </c>
      <c r="F53" s="18">
        <f>(1-B53)*D53+B53*E53*(1-Inputs!$C$42)</f>
        <v>9.0767904648999989E-2</v>
      </c>
      <c r="G53" s="6"/>
      <c r="H53" s="6"/>
      <c r="I53" s="6"/>
      <c r="J53" s="6"/>
      <c r="K53" s="6"/>
      <c r="L53" s="6"/>
      <c r="M53" s="6"/>
      <c r="N53" s="6"/>
      <c r="O53" s="6"/>
      <c r="P53" s="6"/>
      <c r="Q53" s="6"/>
      <c r="R53" s="6"/>
      <c r="S53" s="6"/>
      <c r="T53" s="6"/>
    </row>
    <row r="54" spans="1:20" x14ac:dyDescent="0.3">
      <c r="A54" s="6"/>
      <c r="B54" s="16">
        <v>0.35</v>
      </c>
      <c r="C54" s="33">
        <f>WACC!$C$17*(1+(1-Inputs!$C$42)*B54/(1-B54))</f>
        <v>0.64184082692307698</v>
      </c>
      <c r="D54" s="18">
        <f>(WACC!$C$8+WACC!$C$5)/2+C54*WACC!$C$11</f>
        <v>0.10839233054615385</v>
      </c>
      <c r="E54" s="18">
        <f>WACC!$C$30+0.0025*MAX(0,(B54-0.3)/0.05)</f>
        <v>7.7499999999999999E-2</v>
      </c>
      <c r="F54" s="18">
        <f>(1-B54)*D54+B54*E54*(1-Inputs!$C$42)</f>
        <v>9.0752652355000019E-2</v>
      </c>
      <c r="G54" s="6"/>
      <c r="H54" s="6"/>
      <c r="I54" s="6"/>
      <c r="J54" s="6"/>
      <c r="K54" s="6"/>
      <c r="L54" s="6"/>
      <c r="M54" s="6"/>
      <c r="N54" s="6"/>
      <c r="O54" s="6"/>
      <c r="P54" s="6"/>
      <c r="Q54" s="6"/>
      <c r="R54" s="6"/>
      <c r="S54" s="6"/>
      <c r="T54" s="6"/>
    </row>
    <row r="55" spans="1:20" x14ac:dyDescent="0.3">
      <c r="A55" s="6"/>
      <c r="B55" s="16">
        <v>0.4</v>
      </c>
      <c r="C55" s="33">
        <f>WACC!$C$17*(1+(1-Inputs!$C$42)*B55/(1-B55))</f>
        <v>0.68573149999999994</v>
      </c>
      <c r="D55" s="18">
        <f>(WACC!$C$8+WACC!$C$5)/2+C55*WACC!$C$11</f>
        <v>0.1114997902</v>
      </c>
      <c r="E55" s="18">
        <f>WACC!$C$30+0.0025*MAX(0,(B55-0.3)/0.05)</f>
        <v>0.08</v>
      </c>
      <c r="F55" s="18">
        <f>(1-B55)*D55+B55*E55*(1-Inputs!$C$42)</f>
        <v>9.0845474119999992E-2</v>
      </c>
      <c r="G55" s="6"/>
      <c r="H55" s="6"/>
      <c r="I55" s="6"/>
      <c r="J55" s="6"/>
      <c r="K55" s="6"/>
      <c r="L55" s="6"/>
      <c r="M55" s="6"/>
      <c r="N55" s="6"/>
      <c r="O55" s="6"/>
      <c r="P55" s="6"/>
      <c r="Q55" s="6"/>
      <c r="R55" s="6"/>
      <c r="S55" s="6"/>
      <c r="T55" s="6"/>
    </row>
    <row r="56" spans="1:20" x14ac:dyDescent="0.3">
      <c r="A56" s="6"/>
      <c r="B56" s="16">
        <v>0.5</v>
      </c>
      <c r="C56" s="33">
        <f>WACC!$C$17*(1+(1-Inputs!$C$42)*B56/(1-B56))</f>
        <v>0.79984725000000001</v>
      </c>
      <c r="D56" s="18">
        <f>(WACC!$C$8+WACC!$C$5)/2+C56*WACC!$C$11</f>
        <v>0.1195791853</v>
      </c>
      <c r="E56" s="18">
        <f>WACC!$C$30+0.0025*MAX(0,(B56-0.3)/0.05)</f>
        <v>8.4999999999999992E-2</v>
      </c>
      <c r="F56" s="18">
        <f>(1-B56)*D56+B56*E56*(1-Inputs!$C$42)</f>
        <v>9.1592342649999992E-2</v>
      </c>
      <c r="G56" s="6"/>
      <c r="H56" s="6"/>
      <c r="I56" s="6"/>
      <c r="J56" s="6"/>
      <c r="K56" s="6"/>
      <c r="L56" s="6"/>
      <c r="M56" s="6"/>
      <c r="N56" s="6"/>
      <c r="O56" s="6"/>
      <c r="P56" s="6"/>
      <c r="Q56" s="6"/>
      <c r="R56" s="6"/>
      <c r="S56" s="6"/>
      <c r="T56" s="6"/>
    </row>
    <row r="57" spans="1:20" x14ac:dyDescent="0.3">
      <c r="A57" s="6"/>
      <c r="B57" s="11" t="s">
        <v>808</v>
      </c>
      <c r="C57" s="6"/>
      <c r="D57" s="6"/>
      <c r="E57" s="6"/>
      <c r="F57" s="6"/>
      <c r="G57" s="6"/>
      <c r="H57" s="6"/>
      <c r="I57" s="6"/>
      <c r="J57" s="6"/>
      <c r="K57" s="6"/>
      <c r="L57" s="6"/>
      <c r="M57" s="6"/>
      <c r="N57" s="6"/>
      <c r="O57" s="6"/>
      <c r="P57" s="6"/>
      <c r="Q57" s="6"/>
      <c r="R57" s="6"/>
      <c r="S57" s="6"/>
      <c r="T57" s="6"/>
    </row>
  </sheetData>
  <pageMargins left="0.75" right="0.75" top="1" bottom="1" header="0.511811023622047" footer="0.511811023622047"/>
  <pageSetup fitToHeight="0"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V57"/>
  <sheetViews>
    <sheetView zoomScale="90" zoomScaleNormal="90" workbookViewId="0">
      <selection activeCell="B1" sqref="B1"/>
    </sheetView>
  </sheetViews>
  <sheetFormatPr defaultColWidth="8.6640625" defaultRowHeight="14.4" x14ac:dyDescent="0.3"/>
  <cols>
    <col min="1" max="1" width="2" customWidth="1"/>
    <col min="2" max="2" width="44" customWidth="1"/>
    <col min="3" max="8" width="11" customWidth="1"/>
    <col min="9" max="18" width="11.44140625" customWidth="1"/>
    <col min="19" max="21" width="13" customWidth="1"/>
    <col min="22" max="22" width="50" customWidth="1"/>
  </cols>
  <sheetData>
    <row r="1" spans="1:22" ht="24" customHeight="1" x14ac:dyDescent="0.3">
      <c r="A1" s="2"/>
      <c r="B1" s="4" t="s">
        <v>1015</v>
      </c>
      <c r="C1" s="2"/>
      <c r="D1" s="2"/>
      <c r="E1" s="2"/>
      <c r="F1" s="2"/>
      <c r="G1" s="2"/>
      <c r="H1" s="2"/>
      <c r="I1" s="2"/>
      <c r="J1" s="2"/>
      <c r="K1" s="2"/>
      <c r="L1" s="2"/>
      <c r="M1" s="2"/>
      <c r="N1" s="2"/>
      <c r="O1" s="2"/>
      <c r="P1" s="2"/>
      <c r="Q1" s="2"/>
      <c r="R1" s="2"/>
      <c r="S1" s="2"/>
      <c r="T1" s="2"/>
      <c r="U1" s="2"/>
      <c r="V1" s="2"/>
    </row>
    <row r="2" spans="1:22" x14ac:dyDescent="0.3">
      <c r="A2" s="2"/>
      <c r="B2" s="14" t="s">
        <v>809</v>
      </c>
      <c r="C2" s="2"/>
      <c r="D2" s="2"/>
      <c r="E2" s="2"/>
      <c r="F2" s="2"/>
      <c r="G2" s="2"/>
      <c r="H2" s="2"/>
      <c r="I2" s="2"/>
      <c r="J2" s="2"/>
      <c r="K2" s="2"/>
      <c r="L2" s="2"/>
      <c r="M2" s="2"/>
      <c r="N2" s="2"/>
      <c r="O2" s="2"/>
      <c r="P2" s="2"/>
      <c r="Q2" s="2"/>
      <c r="R2" s="2"/>
      <c r="S2" s="2"/>
      <c r="T2" s="2"/>
      <c r="U2" s="2"/>
      <c r="V2" s="2"/>
    </row>
    <row r="3" spans="1:22" x14ac:dyDescent="0.3">
      <c r="A3" s="6"/>
      <c r="B3" s="6"/>
      <c r="C3" s="6"/>
      <c r="D3" s="6"/>
      <c r="E3" s="6"/>
      <c r="F3" s="6"/>
      <c r="G3" s="6"/>
      <c r="H3" s="6"/>
      <c r="I3" s="6"/>
      <c r="J3" s="6"/>
      <c r="K3" s="6"/>
      <c r="L3" s="6"/>
      <c r="M3" s="6"/>
      <c r="N3" s="6"/>
      <c r="O3" s="6"/>
      <c r="P3" s="6"/>
      <c r="Q3" s="6"/>
      <c r="R3" s="6"/>
      <c r="S3" s="6"/>
      <c r="T3" s="6"/>
      <c r="U3" s="6"/>
      <c r="V3" s="6"/>
    </row>
    <row r="4" spans="1:22" x14ac:dyDescent="0.3">
      <c r="A4" s="6"/>
      <c r="B4" s="7" t="s">
        <v>810</v>
      </c>
      <c r="C4" s="7"/>
      <c r="D4" s="7"/>
      <c r="E4" s="7"/>
      <c r="F4" s="7"/>
      <c r="G4" s="7"/>
      <c r="H4" s="7"/>
      <c r="I4" s="7"/>
      <c r="J4" s="7"/>
      <c r="K4" s="7"/>
      <c r="L4" s="7"/>
      <c r="M4" s="7"/>
      <c r="N4" s="7"/>
      <c r="O4" s="7"/>
      <c r="P4" s="7"/>
      <c r="Q4" s="7"/>
      <c r="R4" s="7"/>
      <c r="S4" s="7"/>
      <c r="T4" s="7"/>
      <c r="U4" s="7"/>
      <c r="V4" s="6"/>
    </row>
    <row r="5" spans="1:22" ht="43.5" customHeight="1" x14ac:dyDescent="0.3">
      <c r="A5" s="6"/>
      <c r="B5" s="8" t="s">
        <v>811</v>
      </c>
      <c r="C5" s="8" t="s">
        <v>812</v>
      </c>
      <c r="D5" s="8" t="s">
        <v>813</v>
      </c>
      <c r="E5" s="8" t="s">
        <v>814</v>
      </c>
      <c r="F5" s="8" t="s">
        <v>815</v>
      </c>
      <c r="G5" s="8" t="s">
        <v>816</v>
      </c>
      <c r="H5" s="8" t="s">
        <v>817</v>
      </c>
      <c r="I5" s="58" t="s">
        <v>87</v>
      </c>
      <c r="J5" s="58" t="s">
        <v>88</v>
      </c>
      <c r="K5" s="58" t="s">
        <v>89</v>
      </c>
      <c r="L5" s="58" t="s">
        <v>412</v>
      </c>
      <c r="M5" s="58" t="s">
        <v>90</v>
      </c>
      <c r="N5" s="58" t="s">
        <v>413</v>
      </c>
      <c r="O5" s="58" t="s">
        <v>414</v>
      </c>
      <c r="P5" s="58" t="s">
        <v>415</v>
      </c>
      <c r="Q5" s="58" t="s">
        <v>416</v>
      </c>
      <c r="R5" s="58" t="s">
        <v>91</v>
      </c>
      <c r="S5" s="71" t="s">
        <v>818</v>
      </c>
      <c r="T5" s="71" t="s">
        <v>614</v>
      </c>
      <c r="U5" s="71" t="s">
        <v>52</v>
      </c>
      <c r="V5" s="6"/>
    </row>
    <row r="6" spans="1:22" x14ac:dyDescent="0.3">
      <c r="A6" s="6"/>
      <c r="B6" s="10" t="s">
        <v>819</v>
      </c>
      <c r="C6" s="35">
        <v>0.25</v>
      </c>
      <c r="D6" s="36">
        <v>-0.03</v>
      </c>
      <c r="E6" s="36">
        <v>-0.01</v>
      </c>
      <c r="F6" s="36">
        <v>-1.4999999999999999E-2</v>
      </c>
      <c r="G6" s="36">
        <v>7.4999999999999997E-3</v>
      </c>
      <c r="H6" s="36">
        <v>-5.0000000000000001E-3</v>
      </c>
      <c r="I6" s="28">
        <f>((Scenario_DT!I$11*(IF(Scenario_DT!I$18=1,1,1+$D6/Scenario_DT!$C$19)*(1+$E6)^MAX(0,Scenario_DT!I$18-3))*(Scenario_DT!I$12+$F6)-Scenario_DT!I$13)*(1-Scenario_DT!I$14)+Scenario_DT!I$13-Scenario_DT!I$15)*Scenario_DT!I$16</f>
        <v>889.83615178095965</v>
      </c>
      <c r="J6" s="28">
        <f>((Scenario_DT!J$11*(IF(Scenario_DT!J$18=1,1,1+$D6/Scenario_DT!$C$19)*(1+$E6)^MAX(0,Scenario_DT!J$18-3))*(Scenario_DT!J$12+$F6)-Scenario_DT!J$13)*(1-Scenario_DT!J$14)+Scenario_DT!J$13-Scenario_DT!J$15)*Scenario_DT!J$16</f>
        <v>1714.8917392094954</v>
      </c>
      <c r="K6" s="28">
        <f>((Scenario_DT!K$11*(IF(Scenario_DT!K$18=1,1,1+$D6/Scenario_DT!$C$19)*(1+$E6)^MAX(0,Scenario_DT!K$18-3))*(Scenario_DT!K$12+$F6)-Scenario_DT!K$13)*(1-Scenario_DT!K$14)+Scenario_DT!K$13-Scenario_DT!K$15)*Scenario_DT!K$16</f>
        <v>1974.2054161682395</v>
      </c>
      <c r="L6" s="28">
        <f>((Scenario_DT!L$11*(IF(Scenario_DT!L$18=1,1,1+$D6/Scenario_DT!$C$19)*(1+$E6)^MAX(0,Scenario_DT!L$18-3))*(Scenario_DT!L$12+$F6)-Scenario_DT!L$13)*(1-Scenario_DT!L$14)+Scenario_DT!L$13-Scenario_DT!L$15)*Scenario_DT!L$16</f>
        <v>2343.8344693444719</v>
      </c>
      <c r="M6" s="28">
        <f>((Scenario_DT!M$11*(IF(Scenario_DT!M$18=1,1,1+$D6/Scenario_DT!$C$19)*(1+$E6)^MAX(0,Scenario_DT!M$18-3))*(Scenario_DT!M$12+$F6)-Scenario_DT!M$13)*(1-Scenario_DT!M$14)+Scenario_DT!M$13-Scenario_DT!M$15)*Scenario_DT!M$16</f>
        <v>2435.5173148601039</v>
      </c>
      <c r="N6" s="28">
        <f>((Scenario_DT!N$11*(IF(Scenario_DT!N$18=1,1,1+$D6/Scenario_DT!$C$19)*(1+$E6)^MAX(0,Scenario_DT!N$18-3))*(Scenario_DT!N$12+$F6)-Scenario_DT!N$13)*(1-Scenario_DT!N$14)+Scenario_DT!N$13-Scenario_DT!N$15)*Scenario_DT!N$16</f>
        <v>2530.7621423711066</v>
      </c>
      <c r="O6" s="28">
        <f>((Scenario_DT!O$11*(IF(Scenario_DT!O$18=1,1,1+$D6/Scenario_DT!$C$19)*(1+$E6)^MAX(0,Scenario_DT!O$18-3))*(Scenario_DT!O$12+$F6)-Scenario_DT!O$13)*(1-Scenario_DT!O$14)+Scenario_DT!O$13-Scenario_DT!O$15)*Scenario_DT!O$16</f>
        <v>2629.7085829203738</v>
      </c>
      <c r="P6" s="28">
        <f>((Scenario_DT!P$11*(IF(Scenario_DT!P$18=1,1,1+$D6/Scenario_DT!$C$19)*(1+$E6)^MAX(0,Scenario_DT!P$18-3))*(Scenario_DT!P$12+$F6)-Scenario_DT!P$13)*(1-Scenario_DT!P$14)+Scenario_DT!P$13-Scenario_DT!P$15)*Scenario_DT!P$16</f>
        <v>2732.5017521915884</v>
      </c>
      <c r="Q6" s="28">
        <f>((Scenario_DT!Q$11*(IF(Scenario_DT!Q$18=1,1,1+$D6/Scenario_DT!$C$19)*(1+$E6)^MAX(0,Scenario_DT!Q$18-3))*(Scenario_DT!Q$12+$F6)-Scenario_DT!Q$13)*(1-Scenario_DT!Q$14)+Scenario_DT!Q$13-Scenario_DT!Q$15)*Scenario_DT!Q$16</f>
        <v>2839.2924659967366</v>
      </c>
      <c r="R6" s="28">
        <f>((Scenario_DT!R$11*(IF(Scenario_DT!R$18=1,1,1+$D6/Scenario_DT!$C$19)*(1+$E6)^MAX(0,Scenario_DT!R$18-3))*(Scenario_DT!R$12+$F6)-Scenario_DT!R$13)*(1-Scenario_DT!R$14)+Scenario_DT!R$13-Scenario_DT!R$15)*Scenario_DT!R$16</f>
        <v>2950.2374642284958</v>
      </c>
      <c r="S6" s="17">
        <f>(Scenario_DT!$R$11*(1+$D6/Scenario_DT!$C$19)*(1+$E6)^7*(Scenario_DT!$R$12+$F6)*(1+MIN(DCF_FCFF!$C$26+$H6,(DCF_FCFF!$C$25+$G6)-0.02))*(1-DCF_FCFF!$C$27)*(1-DCF_FCFF!$C$28)/((DCF_FCFF!$C$25+$G6)-MIN(DCF_FCFF!$C$26+$H6,(DCF_FCFF!$C$25+$G6)-0.02)))*(1+(DCF_FCFF!$C$25+$G6))^(-(Inputs!$C$9+9))</f>
        <v>18617.188625071525</v>
      </c>
      <c r="T6" s="17">
        <f>SUMPRODUCT(I6:R6*(1+(DCF_FCFF!$C$25+$G6))^(-$I$17:$R$17))+S6</f>
        <v>33298.944424827794</v>
      </c>
      <c r="U6" s="68">
        <f>((T6-DCF_FCFF!$C$48)*(1-DCF_FCFF!$C$50)+DCF_FCFF!$C$57+DCF_FCFF!$C$58)/DCF_FCFF!$C$60</f>
        <v>223.18443011922349</v>
      </c>
      <c r="V6" s="6"/>
    </row>
    <row r="7" spans="1:22" x14ac:dyDescent="0.3">
      <c r="A7" s="6"/>
      <c r="B7" s="10" t="s">
        <v>820</v>
      </c>
      <c r="C7" s="35">
        <v>0.5</v>
      </c>
      <c r="D7" s="36">
        <v>0</v>
      </c>
      <c r="E7" s="36">
        <v>0</v>
      </c>
      <c r="F7" s="36">
        <v>0</v>
      </c>
      <c r="G7" s="36">
        <v>0</v>
      </c>
      <c r="H7" s="36">
        <v>0</v>
      </c>
      <c r="I7" s="28">
        <f>((Scenario_DT!I$11*(IF(Scenario_DT!I$18=1,1,1+$D7/Scenario_DT!$C$19)*(1+$E7)^MAX(0,Scenario_DT!I$18-3))*(Scenario_DT!I$12+$F7)-Scenario_DT!I$13)*(1-Scenario_DT!I$14)+Scenario_DT!I$13-Scenario_DT!I$15)*Scenario_DT!I$16</f>
        <v>910.98453753430647</v>
      </c>
      <c r="J7" s="28">
        <f>((Scenario_DT!J$11*(IF(Scenario_DT!J$18=1,1,1+$D7/Scenario_DT!$C$19)*(1+$E7)^MAX(0,Scenario_DT!J$18-3))*(Scenario_DT!J$12+$F7)-Scenario_DT!J$13)*(1-Scenario_DT!J$14)+Scenario_DT!J$13-Scenario_DT!J$15)*Scenario_DT!J$16</f>
        <v>1831.9087759019412</v>
      </c>
      <c r="K7" s="28">
        <f>((Scenario_DT!K$11*(IF(Scenario_DT!K$18=1,1,1+$D7/Scenario_DT!$C$19)*(1+$E7)^MAX(0,Scenario_DT!K$18-3))*(Scenario_DT!K$12+$F7)-Scenario_DT!K$13)*(1-Scenario_DT!K$14)+Scenario_DT!K$13-Scenario_DT!K$15)*Scenario_DT!K$16</f>
        <v>2096.4934596780972</v>
      </c>
      <c r="L7" s="28">
        <f>((Scenario_DT!L$11*(IF(Scenario_DT!L$18=1,1,1+$D7/Scenario_DT!$C$19)*(1+$E7)^MAX(0,Scenario_DT!L$18-3))*(Scenario_DT!L$12+$F7)-Scenario_DT!L$13)*(1-Scenario_DT!L$14)+Scenario_DT!L$13-Scenario_DT!L$15)*Scenario_DT!L$16</f>
        <v>2497.5226536004984</v>
      </c>
      <c r="M7" s="28">
        <f>((Scenario_DT!M$11*(IF(Scenario_DT!M$18=1,1,1+$D7/Scenario_DT!$C$19)*(1+$E7)^MAX(0,Scenario_DT!M$18-3))*(Scenario_DT!M$12+$F7)-Scenario_DT!M$13)*(1-Scenario_DT!M$14)+Scenario_DT!M$13-Scenario_DT!M$15)*Scenario_DT!M$16</f>
        <v>2621.677356490708</v>
      </c>
      <c r="N7" s="28">
        <f>((Scenario_DT!N$11*(IF(Scenario_DT!N$18=1,1,1+$D7/Scenario_DT!$C$19)*(1+$E7)^MAX(0,Scenario_DT!N$18-3))*(Scenario_DT!N$12+$F7)-Scenario_DT!N$13)*(1-Scenario_DT!N$14)+Scenario_DT!N$13-Scenario_DT!N$15)*Scenario_DT!N$16</f>
        <v>2751.996738447408</v>
      </c>
      <c r="O7" s="28">
        <f>((Scenario_DT!O$11*(IF(Scenario_DT!O$18=1,1,1+$D7/Scenario_DT!$C$19)*(1+$E7)^MAX(0,Scenario_DT!O$18-3))*(Scenario_DT!O$12+$F7)-Scenario_DT!O$13)*(1-Scenario_DT!O$14)+Scenario_DT!O$13-Scenario_DT!O$15)*Scenario_DT!O$16</f>
        <v>2888.7892399830407</v>
      </c>
      <c r="P7" s="28">
        <f>((Scenario_DT!P$11*(IF(Scenario_DT!P$18=1,1,1+$D7/Scenario_DT!$C$19)*(1+$E7)^MAX(0,Scenario_DT!P$18-3))*(Scenario_DT!P$12+$F7)-Scenario_DT!P$13)*(1-Scenario_DT!P$14)+Scenario_DT!P$13-Scenario_DT!P$15)*Scenario_DT!P$16</f>
        <v>3032.3787543716503</v>
      </c>
      <c r="Q7" s="28">
        <f>((Scenario_DT!Q$11*(IF(Scenario_DT!Q$18=1,1,1+$D7/Scenario_DT!$C$19)*(1+$E7)^MAX(0,Scenario_DT!Q$18-3))*(Scenario_DT!Q$12+$F7)-Scenario_DT!Q$13)*(1-Scenario_DT!Q$14)+Scenario_DT!Q$13-Scenario_DT!Q$15)*Scenario_DT!Q$16</f>
        <v>3183.1054018845025</v>
      </c>
      <c r="R7" s="28">
        <f>((Scenario_DT!R$11*(IF(Scenario_DT!R$18=1,1,1+$D7/Scenario_DT!$C$19)*(1+$E7)^MAX(0,Scenario_DT!R$18-3))*(Scenario_DT!R$12+$F7)-Scenario_DT!R$13)*(1-Scenario_DT!R$14)+Scenario_DT!R$13-Scenario_DT!R$15)*Scenario_DT!R$16</f>
        <v>3341.3263428114983</v>
      </c>
      <c r="S7" s="17">
        <f>(Scenario_DT!$R$11*(1+$D7/Scenario_DT!$C$19)*(1+$E7)^7*(Scenario_DT!$R$12+$F7)*(1+MIN(DCF_FCFF!$C$26+$H7,(DCF_FCFF!$C$25+$G7)-0.02))*(1-DCF_FCFF!$C$27)*(1-DCF_FCFF!$C$28)/((DCF_FCFF!$C$25+$G7)-MIN(DCF_FCFF!$C$26+$H7,(DCF_FCFF!$C$25+$G7)-0.02)))*(1+(DCF_FCFF!$C$25+$G7))^(-(Inputs!$C$9+9))</f>
        <v>28184.291218284681</v>
      </c>
      <c r="T7" s="17">
        <f>SUMPRODUCT(I7:R7*(1+(DCF_FCFF!$C$25+$G7))^(-$I$17:$R$17))+S7</f>
        <v>44624.772822664367</v>
      </c>
      <c r="U7" s="68">
        <f>((T7-DCF_FCFF!$C$48)*(1-DCF_FCFF!$C$50)+DCF_FCFF!$C$57+DCF_FCFF!$C$58)/DCF_FCFF!$C$60</f>
        <v>331.89843467402909</v>
      </c>
      <c r="V7" s="6"/>
    </row>
    <row r="8" spans="1:22" x14ac:dyDescent="0.3">
      <c r="A8" s="6"/>
      <c r="B8" s="10" t="s">
        <v>821</v>
      </c>
      <c r="C8" s="35">
        <v>0.25</v>
      </c>
      <c r="D8" s="36">
        <v>0.02</v>
      </c>
      <c r="E8" s="36">
        <v>7.4999999999999997E-3</v>
      </c>
      <c r="F8" s="36">
        <v>0.01</v>
      </c>
      <c r="G8" s="36">
        <v>-5.0000000000000001E-3</v>
      </c>
      <c r="H8" s="36">
        <v>5.0000000000000001E-3</v>
      </c>
      <c r="I8" s="28">
        <f>((Scenario_DT!I$11*(IF(Scenario_DT!I$18=1,1,1+$D8/Scenario_DT!$C$19)*(1+$E8)^MAX(0,Scenario_DT!I$18-3))*(Scenario_DT!I$12+$F8)-Scenario_DT!I$13)*(1-Scenario_DT!I$14)+Scenario_DT!I$13-Scenario_DT!I$15)*Scenario_DT!I$16</f>
        <v>925.0834613698712</v>
      </c>
      <c r="J8" s="28">
        <f>((Scenario_DT!J$11*(IF(Scenario_DT!J$18=1,1,1+$D8/Scenario_DT!$C$19)*(1+$E8)^MAX(0,Scenario_DT!J$18-3))*(Scenario_DT!J$12+$F8)-Scenario_DT!J$13)*(1-Scenario_DT!J$14)+Scenario_DT!J$13-Scenario_DT!J$15)*Scenario_DT!J$16</f>
        <v>1911.5719005830301</v>
      </c>
      <c r="K8" s="28">
        <f>((Scenario_DT!K$11*(IF(Scenario_DT!K$18=1,1,1+$D8/Scenario_DT!$C$19)*(1+$E8)^MAX(0,Scenario_DT!K$18-3))*(Scenario_DT!K$12+$F8)-Scenario_DT!K$13)*(1-Scenario_DT!K$14)+Scenario_DT!K$13-Scenario_DT!K$15)*Scenario_DT!K$16</f>
        <v>2179.7305936500788</v>
      </c>
      <c r="L8" s="28">
        <f>((Scenario_DT!L$11*(IF(Scenario_DT!L$18=1,1,1+$D8/Scenario_DT!$C$19)*(1+$E8)^MAX(0,Scenario_DT!L$18-3))*(Scenario_DT!L$12+$F8)-Scenario_DT!L$13)*(1-Scenario_DT!L$14)+Scenario_DT!L$13-Scenario_DT!L$15)*Scenario_DT!L$16</f>
        <v>2605.4227563198469</v>
      </c>
      <c r="M8" s="28">
        <f>((Scenario_DT!M$11*(IF(Scenario_DT!M$18=1,1,1+$D8/Scenario_DT!$C$19)*(1+$E8)^MAX(0,Scenario_DT!M$18-3))*(Scenario_DT!M$12+$F8)-Scenario_DT!M$13)*(1-Scenario_DT!M$14)+Scenario_DT!M$13-Scenario_DT!M$15)*Scenario_DT!M$16</f>
        <v>2755.6230582272874</v>
      </c>
      <c r="N8" s="28">
        <f>((Scenario_DT!N$11*(IF(Scenario_DT!N$18=1,1,1+$D8/Scenario_DT!$C$19)*(1+$E8)^MAX(0,Scenario_DT!N$18-3))*(Scenario_DT!N$12+$F8)-Scenario_DT!N$13)*(1-Scenario_DT!N$14)+Scenario_DT!N$13-Scenario_DT!N$15)*Scenario_DT!N$16</f>
        <v>2914.4854722729588</v>
      </c>
      <c r="O8" s="28">
        <f>((Scenario_DT!O$11*(IF(Scenario_DT!O$18=1,1,1+$D8/Scenario_DT!$C$19)*(1+$E8)^MAX(0,Scenario_DT!O$18-3))*(Scenario_DT!O$12+$F8)-Scenario_DT!O$13)*(1-Scenario_DT!O$14)+Scenario_DT!O$13-Scenario_DT!O$15)*Scenario_DT!O$16</f>
        <v>3082.5124801097595</v>
      </c>
      <c r="P8" s="28">
        <f>((Scenario_DT!P$11*(IF(Scenario_DT!P$18=1,1,1+$D8/Scenario_DT!$C$19)*(1+$E8)^MAX(0,Scenario_DT!P$18-3))*(Scenario_DT!P$12+$F8)-Scenario_DT!P$13)*(1-Scenario_DT!P$14)+Scenario_DT!P$13-Scenario_DT!P$15)*Scenario_DT!P$16</f>
        <v>3260.2357213932678</v>
      </c>
      <c r="Q8" s="28">
        <f>((Scenario_DT!Q$11*(IF(Scenario_DT!Q$18=1,1,1+$D8/Scenario_DT!$C$19)*(1+$E8)^MAX(0,Scenario_DT!Q$18-3))*(Scenario_DT!Q$12+$F8)-Scenario_DT!Q$13)*(1-Scenario_DT!Q$14)+Scenario_DT!Q$13-Scenario_DT!Q$15)*Scenario_DT!Q$16</f>
        <v>3448.2176849636903</v>
      </c>
      <c r="R8" s="28">
        <f>((Scenario_DT!R$11*(IF(Scenario_DT!R$18=1,1,1+$D8/Scenario_DT!$C$19)*(1+$E8)^MAX(0,Scenario_DT!R$18-3))*(Scenario_DT!R$12+$F8)-Scenario_DT!R$13)*(1-Scenario_DT!R$14)+Scenario_DT!R$13-Scenario_DT!R$15)*Scenario_DT!R$16</f>
        <v>3647.053498069647</v>
      </c>
      <c r="S8" s="17">
        <f>(Scenario_DT!$R$11*(1+$D8/Scenario_DT!$C$19)*(1+$E8)^7*(Scenario_DT!$R$12+$F8)*(1+MIN(DCF_FCFF!$C$26+$H8,(DCF_FCFF!$C$25+$G8)-0.02))*(1-DCF_FCFF!$C$27)*(1-DCF_FCFF!$C$28)/((DCF_FCFF!$C$25+$G8)-MIN(DCF_FCFF!$C$26+$H8,(DCF_FCFF!$C$25+$G8)-0.02)))*(1+(DCF_FCFF!$C$25+$G8))^(-(Inputs!$C$9+9))</f>
        <v>40250.179165571353</v>
      </c>
      <c r="T8" s="17">
        <f>SUMPRODUCT(I8:R8*(1+(DCF_FCFF!$C$25+$G8))^(-$I$17:$R$17))+S8</f>
        <v>58023.299630050307</v>
      </c>
      <c r="U8" s="68">
        <f>((T8-DCF_FCFF!$C$48)*(1-DCF_FCFF!$C$50)+DCF_FCFF!$C$57+DCF_FCFF!$C$58)/DCF_FCFF!$C$60</f>
        <v>460.50779137627944</v>
      </c>
      <c r="V8" s="6"/>
    </row>
    <row r="9" spans="1:22" x14ac:dyDescent="0.3">
      <c r="A9" s="6"/>
      <c r="B9" s="6"/>
      <c r="C9" s="6"/>
      <c r="D9" s="6"/>
      <c r="E9" s="6"/>
      <c r="F9" s="6"/>
      <c r="G9" s="6"/>
      <c r="H9" s="6"/>
      <c r="I9" s="6"/>
      <c r="J9" s="6"/>
      <c r="K9" s="6"/>
      <c r="L9" s="6"/>
      <c r="M9" s="6"/>
      <c r="N9" s="6"/>
      <c r="O9" s="6"/>
      <c r="P9" s="6"/>
      <c r="Q9" s="6"/>
      <c r="R9" s="6"/>
      <c r="S9" s="6"/>
      <c r="T9" s="6"/>
      <c r="U9" s="6"/>
      <c r="V9" s="6"/>
    </row>
    <row r="10" spans="1:22" x14ac:dyDescent="0.3">
      <c r="A10" s="6"/>
      <c r="B10" s="7" t="s">
        <v>822</v>
      </c>
      <c r="C10" s="7"/>
      <c r="D10" s="7"/>
      <c r="E10" s="7"/>
      <c r="F10" s="7"/>
      <c r="G10" s="7"/>
      <c r="H10" s="7"/>
      <c r="I10" s="7"/>
      <c r="J10" s="7"/>
      <c r="K10" s="7"/>
      <c r="L10" s="7"/>
      <c r="M10" s="7"/>
      <c r="N10" s="7"/>
      <c r="O10" s="7"/>
      <c r="P10" s="7"/>
      <c r="Q10" s="7"/>
      <c r="R10" s="7"/>
      <c r="S10" s="7"/>
      <c r="T10" s="7"/>
      <c r="U10" s="7"/>
      <c r="V10" s="6"/>
    </row>
    <row r="11" spans="1:22" x14ac:dyDescent="0.3">
      <c r="A11" s="6"/>
      <c r="B11" s="10" t="s">
        <v>92</v>
      </c>
      <c r="C11" s="6"/>
      <c r="D11" s="6"/>
      <c r="E11" s="6"/>
      <c r="F11" s="6"/>
      <c r="G11" s="6"/>
      <c r="H11" s="6"/>
      <c r="I11" s="45">
        <f>Fin_Proj!I24</f>
        <v>3936.7405140614114</v>
      </c>
      <c r="J11" s="45">
        <f>Fin_Proj!J24</f>
        <v>4143.6326245749278</v>
      </c>
      <c r="K11" s="45">
        <f>Fin_Proj!K24</f>
        <v>4352.1901026887917</v>
      </c>
      <c r="L11" s="45">
        <f>Fin_Proj!L24</f>
        <v>4569.7996078232318</v>
      </c>
      <c r="M11" s="45">
        <f>Fin_Proj!M24</f>
        <v>4798.2895882143939</v>
      </c>
      <c r="N11" s="45">
        <f>Fin_Proj!N24</f>
        <v>5038.2040676251136</v>
      </c>
      <c r="O11" s="45">
        <f>Fin_Proj!O24</f>
        <v>5290.1142710063696</v>
      </c>
      <c r="P11" s="45">
        <f>Fin_Proj!P24</f>
        <v>5554.619984556688</v>
      </c>
      <c r="Q11" s="45">
        <f>Fin_Proj!Q24</f>
        <v>5832.3509837845222</v>
      </c>
      <c r="R11" s="45">
        <f>Fin_Proj!R24</f>
        <v>6123.9685329737486</v>
      </c>
      <c r="S11" s="6"/>
      <c r="T11" s="6"/>
      <c r="U11" s="6"/>
      <c r="V11" s="6"/>
    </row>
    <row r="12" spans="1:22" x14ac:dyDescent="0.3">
      <c r="A12" s="6"/>
      <c r="B12" s="10" t="s">
        <v>94</v>
      </c>
      <c r="C12" s="6"/>
      <c r="D12" s="6"/>
      <c r="E12" s="6"/>
      <c r="F12" s="6"/>
      <c r="G12" s="6"/>
      <c r="H12" s="6"/>
      <c r="I12" s="48">
        <f>Fin_Proj!I30</f>
        <v>0.70515718596073573</v>
      </c>
      <c r="J12" s="48">
        <f>Fin_Proj!J30</f>
        <v>0.72536224156215123</v>
      </c>
      <c r="K12" s="48">
        <f>Fin_Proj!K30</f>
        <v>0.73529403128054704</v>
      </c>
      <c r="L12" s="48">
        <f>Fin_Proj!L30</f>
        <v>0.73529403128054716</v>
      </c>
      <c r="M12" s="48">
        <f>Fin_Proj!M30</f>
        <v>0.73529403128054716</v>
      </c>
      <c r="N12" s="48">
        <f>Fin_Proj!N30</f>
        <v>0.73529403128054704</v>
      </c>
      <c r="O12" s="48">
        <f>Fin_Proj!O30</f>
        <v>0.73529403128054716</v>
      </c>
      <c r="P12" s="48">
        <f>Fin_Proj!P30</f>
        <v>0.73529403128054693</v>
      </c>
      <c r="Q12" s="48">
        <f>Fin_Proj!Q30</f>
        <v>0.73529403128054704</v>
      </c>
      <c r="R12" s="48">
        <f>Fin_Proj!R30</f>
        <v>0.73529403128054704</v>
      </c>
      <c r="S12" s="6"/>
      <c r="T12" s="6"/>
      <c r="U12" s="6"/>
      <c r="V12" s="6"/>
    </row>
    <row r="13" spans="1:22" x14ac:dyDescent="0.3">
      <c r="A13" s="6"/>
      <c r="B13" s="10" t="s">
        <v>823</v>
      </c>
      <c r="C13" s="6"/>
      <c r="D13" s="6"/>
      <c r="E13" s="6"/>
      <c r="F13" s="6"/>
      <c r="G13" s="6"/>
      <c r="H13" s="6"/>
      <c r="I13" s="45">
        <f>Fin_Proj!I31</f>
        <v>580</v>
      </c>
      <c r="J13" s="45">
        <f>Fin_Proj!J31</f>
        <v>589.17721518987344</v>
      </c>
      <c r="K13" s="45">
        <f>Fin_Proj!K31</f>
        <v>602.4331926863573</v>
      </c>
      <c r="L13" s="45">
        <f>Fin_Proj!L31</f>
        <v>608.45752461322093</v>
      </c>
      <c r="M13" s="45">
        <f>Fin_Proj!M31</f>
        <v>614.54209985935313</v>
      </c>
      <c r="N13" s="45">
        <f>Fin_Proj!N31</f>
        <v>620.68752085794665</v>
      </c>
      <c r="O13" s="45">
        <f>Fin_Proj!O31</f>
        <v>626.89439606652616</v>
      </c>
      <c r="P13" s="45">
        <f>Fin_Proj!P31</f>
        <v>633.16334002719145</v>
      </c>
      <c r="Q13" s="45">
        <f>Fin_Proj!Q31</f>
        <v>639.49497342746338</v>
      </c>
      <c r="R13" s="45">
        <f>Fin_Proj!R31</f>
        <v>645.88992316173801</v>
      </c>
      <c r="S13" s="6"/>
      <c r="T13" s="6"/>
      <c r="U13" s="6"/>
      <c r="V13" s="6"/>
    </row>
    <row r="14" spans="1:22" x14ac:dyDescent="0.3">
      <c r="A14" s="6"/>
      <c r="B14" s="10" t="s">
        <v>824</v>
      </c>
      <c r="C14" s="6"/>
      <c r="D14" s="6"/>
      <c r="E14" s="6"/>
      <c r="F14" s="6"/>
      <c r="G14" s="6"/>
      <c r="H14" s="6"/>
      <c r="I14" s="45">
        <f>Fin_Proj!I13</f>
        <v>0.24</v>
      </c>
      <c r="J14" s="45">
        <f>Fin_Proj!J13</f>
        <v>0.25</v>
      </c>
      <c r="K14" s="45">
        <f>Fin_Proj!K13</f>
        <v>0.26</v>
      </c>
      <c r="L14" s="45">
        <f>Fin_Proj!L13</f>
        <v>0.25169999999999998</v>
      </c>
      <c r="M14" s="45">
        <f>Fin_Proj!M13</f>
        <v>0.25169999999999998</v>
      </c>
      <c r="N14" s="45">
        <f>Fin_Proj!N13</f>
        <v>0.25169999999999998</v>
      </c>
      <c r="O14" s="45">
        <f>Fin_Proj!O13</f>
        <v>0.25169999999999998</v>
      </c>
      <c r="P14" s="45">
        <f>Fin_Proj!P13</f>
        <v>0.25169999999999998</v>
      </c>
      <c r="Q14" s="45">
        <f>Fin_Proj!Q13</f>
        <v>0.25169999999999998</v>
      </c>
      <c r="R14" s="45">
        <f>Fin_Proj!R13</f>
        <v>0.25169999999999998</v>
      </c>
      <c r="S14" s="6"/>
      <c r="T14" s="6"/>
      <c r="U14" s="6"/>
      <c r="V14" s="6"/>
    </row>
    <row r="15" spans="1:22" x14ac:dyDescent="0.3">
      <c r="A15" s="6"/>
      <c r="B15" s="10" t="s">
        <v>825</v>
      </c>
      <c r="C15" s="6"/>
      <c r="D15" s="6"/>
      <c r="E15" s="6"/>
      <c r="F15" s="6"/>
      <c r="G15" s="6"/>
      <c r="H15" s="6"/>
      <c r="I15" s="45">
        <f>Fin_Proj!I68+Fin_Proj!I70</f>
        <v>315.78192429692939</v>
      </c>
      <c r="J15" s="45">
        <f>Fin_Proj!J68+Fin_Proj!J70</f>
        <v>569.61151447432428</v>
      </c>
      <c r="K15" s="45">
        <f>Fin_Proj!K68+Fin_Proj!K70</f>
        <v>428.24233049430677</v>
      </c>
      <c r="L15" s="45">
        <f>Fin_Proj!L68+Fin_Proj!L70</f>
        <v>170.02363834127797</v>
      </c>
      <c r="M15" s="45">
        <f>Fin_Proj!M68+Fin_Proj!M70</f>
        <v>173.12029969035186</v>
      </c>
      <c r="N15" s="45">
        <f>Fin_Proj!N68+Fin_Proj!N70</f>
        <v>176.35359068131993</v>
      </c>
      <c r="O15" s="45">
        <f>Fin_Proj!O68+Fin_Proj!O70</f>
        <v>179.72952364212659</v>
      </c>
      <c r="P15" s="45">
        <f>Fin_Proj!P68+Fin_Proj!P70</f>
        <v>183.25437465517703</v>
      </c>
      <c r="Q15" s="45">
        <f>Fin_Proj!Q68+Fin_Proj!Q70</f>
        <v>186.93469508627237</v>
      </c>
      <c r="R15" s="45">
        <f>Fin_Proj!R68+Fin_Proj!R70</f>
        <v>190.77732361534765</v>
      </c>
      <c r="S15" s="6"/>
      <c r="T15" s="6"/>
      <c r="U15" s="6"/>
      <c r="V15" s="6"/>
    </row>
    <row r="16" spans="1:22" x14ac:dyDescent="0.3">
      <c r="A16" s="6"/>
      <c r="B16" s="10" t="s">
        <v>826</v>
      </c>
      <c r="C16" s="6"/>
      <c r="D16" s="6"/>
      <c r="E16" s="6"/>
      <c r="F16" s="6"/>
      <c r="G16" s="6"/>
      <c r="H16" s="6"/>
      <c r="I16" s="48">
        <f>DCF_FCFF!I18</f>
        <v>0.47123287671232877</v>
      </c>
      <c r="J16" s="48">
        <f>DCF_FCFF!J18</f>
        <v>1</v>
      </c>
      <c r="K16" s="48">
        <f>DCF_FCFF!K18</f>
        <v>1</v>
      </c>
      <c r="L16" s="48">
        <f>DCF_FCFF!L18</f>
        <v>1</v>
      </c>
      <c r="M16" s="48">
        <f>DCF_FCFF!M18</f>
        <v>1</v>
      </c>
      <c r="N16" s="48">
        <f>DCF_FCFF!N18</f>
        <v>1</v>
      </c>
      <c r="O16" s="48">
        <f>DCF_FCFF!O18</f>
        <v>1</v>
      </c>
      <c r="P16" s="48">
        <f>DCF_FCFF!P18</f>
        <v>1</v>
      </c>
      <c r="Q16" s="48">
        <f>DCF_FCFF!Q18</f>
        <v>1</v>
      </c>
      <c r="R16" s="48">
        <f>DCF_FCFF!R18</f>
        <v>1</v>
      </c>
      <c r="S16" s="6"/>
      <c r="T16" s="6"/>
      <c r="U16" s="6"/>
      <c r="V16" s="6"/>
    </row>
    <row r="17" spans="1:22" x14ac:dyDescent="0.3">
      <c r="A17" s="6"/>
      <c r="B17" s="10" t="s">
        <v>827</v>
      </c>
      <c r="C17" s="6"/>
      <c r="D17" s="6"/>
      <c r="E17" s="6"/>
      <c r="F17" s="6"/>
      <c r="G17" s="6"/>
      <c r="H17" s="6"/>
      <c r="I17" s="48">
        <f>DCF_FCFF!I20</f>
        <v>0.23561643835616439</v>
      </c>
      <c r="J17" s="48">
        <f>DCF_FCFF!J20</f>
        <v>0.97123287671232861</v>
      </c>
      <c r="K17" s="48">
        <f>DCF_FCFF!K20</f>
        <v>1.9712328767123286</v>
      </c>
      <c r="L17" s="48">
        <f>DCF_FCFF!L20</f>
        <v>2.9712328767123291</v>
      </c>
      <c r="M17" s="48">
        <f>DCF_FCFF!M20</f>
        <v>3.9712328767123291</v>
      </c>
      <c r="N17" s="48">
        <f>DCF_FCFF!N20</f>
        <v>4.9712328767123291</v>
      </c>
      <c r="O17" s="48">
        <f>DCF_FCFF!O20</f>
        <v>5.9712328767123291</v>
      </c>
      <c r="P17" s="48">
        <f>DCF_FCFF!P20</f>
        <v>6.9712328767123282</v>
      </c>
      <c r="Q17" s="48">
        <f>DCF_FCFF!Q20</f>
        <v>7.9712328767123282</v>
      </c>
      <c r="R17" s="48">
        <f>DCF_FCFF!R20</f>
        <v>8.9712328767123282</v>
      </c>
      <c r="S17" s="6"/>
      <c r="T17" s="6"/>
      <c r="U17" s="6"/>
      <c r="V17" s="6"/>
    </row>
    <row r="18" spans="1:22" x14ac:dyDescent="0.3">
      <c r="A18" s="6"/>
      <c r="B18" s="10" t="s">
        <v>575</v>
      </c>
      <c r="C18" s="6"/>
      <c r="D18" s="6"/>
      <c r="E18" s="6"/>
      <c r="F18" s="6"/>
      <c r="G18" s="6"/>
      <c r="H18" s="6"/>
      <c r="I18" s="45">
        <f>DCF_FCFF!I5</f>
        <v>1</v>
      </c>
      <c r="J18" s="45">
        <f>DCF_FCFF!J5</f>
        <v>2</v>
      </c>
      <c r="K18" s="45">
        <f>DCF_FCFF!K5</f>
        <v>3</v>
      </c>
      <c r="L18" s="45">
        <f>DCF_FCFF!L5</f>
        <v>4</v>
      </c>
      <c r="M18" s="45">
        <f>DCF_FCFF!M5</f>
        <v>5</v>
      </c>
      <c r="N18" s="45">
        <f>DCF_FCFF!N5</f>
        <v>6</v>
      </c>
      <c r="O18" s="45">
        <f>DCF_FCFF!O5</f>
        <v>7</v>
      </c>
      <c r="P18" s="45">
        <f>DCF_FCFF!P5</f>
        <v>8</v>
      </c>
      <c r="Q18" s="45">
        <f>DCF_FCFF!Q5</f>
        <v>9</v>
      </c>
      <c r="R18" s="45">
        <f>DCF_FCFF!R5</f>
        <v>10</v>
      </c>
      <c r="S18" s="6"/>
      <c r="T18" s="6"/>
      <c r="U18" s="6"/>
      <c r="V18" s="6"/>
    </row>
    <row r="19" spans="1:22" x14ac:dyDescent="0.3">
      <c r="A19" s="6"/>
      <c r="B19" s="10" t="s">
        <v>828</v>
      </c>
      <c r="C19" s="18">
        <f>Rev_Build!$Q$67</f>
        <v>0.94072731888964112</v>
      </c>
      <c r="D19" s="6"/>
      <c r="E19" s="6"/>
      <c r="F19" s="6"/>
      <c r="G19" s="6"/>
      <c r="H19" s="6"/>
      <c r="I19" s="6"/>
      <c r="J19" s="6"/>
      <c r="K19" s="6"/>
      <c r="L19" s="6"/>
      <c r="M19" s="6"/>
      <c r="N19" s="6"/>
      <c r="O19" s="6"/>
      <c r="P19" s="6"/>
      <c r="Q19" s="6"/>
      <c r="R19" s="6"/>
      <c r="S19" s="6"/>
      <c r="T19" s="6"/>
      <c r="U19" s="6"/>
      <c r="V19" s="6"/>
    </row>
    <row r="20" spans="1:22" x14ac:dyDescent="0.3">
      <c r="A20" s="6"/>
      <c r="B20" s="6"/>
      <c r="C20" s="6"/>
      <c r="D20" s="6"/>
      <c r="E20" s="6"/>
      <c r="F20" s="6"/>
      <c r="G20" s="6"/>
      <c r="H20" s="6"/>
      <c r="I20" s="6"/>
      <c r="J20" s="6"/>
      <c r="K20" s="6"/>
      <c r="L20" s="6"/>
      <c r="M20" s="6"/>
      <c r="N20" s="6"/>
      <c r="O20" s="6"/>
      <c r="P20" s="6"/>
      <c r="Q20" s="6"/>
      <c r="R20" s="6"/>
      <c r="S20" s="6"/>
      <c r="T20" s="6"/>
      <c r="U20" s="6"/>
      <c r="V20" s="6"/>
    </row>
    <row r="21" spans="1:22" x14ac:dyDescent="0.3">
      <c r="A21" s="6"/>
      <c r="B21" s="23" t="s">
        <v>829</v>
      </c>
      <c r="C21" s="6"/>
      <c r="D21" s="6"/>
      <c r="E21" s="6"/>
      <c r="F21" s="6"/>
      <c r="G21" s="6"/>
      <c r="H21" s="6"/>
      <c r="I21" s="6"/>
      <c r="J21" s="6"/>
      <c r="K21" s="6"/>
      <c r="L21" s="6"/>
      <c r="M21" s="6"/>
      <c r="N21" s="6"/>
      <c r="O21" s="6"/>
      <c r="P21" s="6"/>
      <c r="Q21" s="6"/>
      <c r="R21" s="6"/>
      <c r="S21" s="6"/>
      <c r="T21" s="6"/>
      <c r="U21" s="62">
        <f>SUMPRODUCT(C6:C8,U6:U8)</f>
        <v>336.87227271089029</v>
      </c>
      <c r="V21" s="6"/>
    </row>
    <row r="22" spans="1:22" x14ac:dyDescent="0.3">
      <c r="A22" s="6"/>
      <c r="B22" s="10" t="s">
        <v>830</v>
      </c>
      <c r="C22" s="6"/>
      <c r="D22" s="6"/>
      <c r="E22" s="6"/>
      <c r="F22" s="6"/>
      <c r="G22" s="6"/>
      <c r="H22" s="6"/>
      <c r="I22" s="6"/>
      <c r="J22" s="6"/>
      <c r="K22" s="6"/>
      <c r="L22" s="6"/>
      <c r="M22" s="6"/>
      <c r="N22" s="6"/>
      <c r="O22" s="6"/>
      <c r="P22" s="6"/>
      <c r="Q22" s="6"/>
      <c r="R22" s="6"/>
      <c r="S22" s="6"/>
      <c r="T22" s="6"/>
      <c r="U22" s="16">
        <f>SUM(C6:C8)</f>
        <v>1</v>
      </c>
      <c r="V22" s="6"/>
    </row>
    <row r="23" spans="1:22" x14ac:dyDescent="0.3">
      <c r="A23" s="6"/>
      <c r="B23" s="10" t="s">
        <v>831</v>
      </c>
      <c r="C23" s="6"/>
      <c r="D23" s="6"/>
      <c r="E23" s="6"/>
      <c r="F23" s="6"/>
      <c r="G23" s="6"/>
      <c r="H23" s="6"/>
      <c r="I23" s="6"/>
      <c r="J23" s="6"/>
      <c r="K23" s="6"/>
      <c r="L23" s="6"/>
      <c r="M23" s="6"/>
      <c r="N23" s="6"/>
      <c r="O23" s="6"/>
      <c r="P23" s="6"/>
      <c r="Q23" s="6"/>
      <c r="R23" s="6"/>
      <c r="S23" s="6"/>
      <c r="T23" s="6"/>
      <c r="U23" s="16">
        <f>U21/Inputs!$C$10-1</f>
        <v>2.4550707758182133E-2</v>
      </c>
      <c r="V23" s="6"/>
    </row>
    <row r="24" spans="1:22" x14ac:dyDescent="0.3">
      <c r="A24" s="6"/>
      <c r="B24" s="10" t="s">
        <v>832</v>
      </c>
      <c r="C24" s="6"/>
      <c r="D24" s="6"/>
      <c r="E24" s="6"/>
      <c r="F24" s="6"/>
      <c r="G24" s="6"/>
      <c r="H24" s="6"/>
      <c r="I24" s="6"/>
      <c r="J24" s="6"/>
      <c r="K24" s="6"/>
      <c r="L24" s="6"/>
      <c r="M24" s="6"/>
      <c r="N24" s="6"/>
      <c r="O24" s="6"/>
      <c r="P24" s="6"/>
      <c r="Q24" s="6"/>
      <c r="R24" s="6"/>
      <c r="S24" s="6"/>
      <c r="T24" s="6"/>
      <c r="U24" s="15">
        <f>SQRT(SUMPRODUCT(C6:C8,(U6:U8-U21)^2))</f>
        <v>84.053770228409817</v>
      </c>
      <c r="V24" s="6"/>
    </row>
    <row r="25" spans="1:22" x14ac:dyDescent="0.3">
      <c r="A25" s="6"/>
      <c r="B25" s="6"/>
      <c r="C25" s="6"/>
      <c r="D25" s="6"/>
      <c r="E25" s="6"/>
      <c r="F25" s="6"/>
      <c r="G25" s="6"/>
      <c r="H25" s="6"/>
      <c r="I25" s="6"/>
      <c r="J25" s="6"/>
      <c r="K25" s="6"/>
      <c r="L25" s="6"/>
      <c r="M25" s="6"/>
      <c r="N25" s="6"/>
      <c r="O25" s="6"/>
      <c r="P25" s="6"/>
      <c r="Q25" s="6"/>
      <c r="R25" s="6"/>
      <c r="S25" s="6"/>
      <c r="T25" s="6"/>
      <c r="U25" s="6"/>
      <c r="V25" s="6"/>
    </row>
    <row r="26" spans="1:22" x14ac:dyDescent="0.3">
      <c r="A26" s="6"/>
      <c r="B26" s="7" t="s">
        <v>833</v>
      </c>
      <c r="C26" s="7"/>
      <c r="D26" s="7"/>
      <c r="E26" s="7"/>
      <c r="F26" s="7"/>
      <c r="G26" s="7"/>
      <c r="H26" s="7"/>
      <c r="I26" s="7"/>
      <c r="J26" s="7"/>
      <c r="K26" s="7"/>
      <c r="L26" s="7"/>
      <c r="M26" s="6"/>
      <c r="N26" s="6"/>
      <c r="O26" s="6"/>
      <c r="P26" s="6"/>
      <c r="Q26" s="6"/>
      <c r="R26" s="6"/>
      <c r="S26" s="6"/>
      <c r="T26" s="6"/>
      <c r="U26" s="6"/>
      <c r="V26" s="6"/>
    </row>
    <row r="27" spans="1:22" x14ac:dyDescent="0.3">
      <c r="A27" s="6"/>
      <c r="B27" s="10" t="s">
        <v>834</v>
      </c>
      <c r="C27" s="17">
        <f>Fin_Proj!J54</f>
        <v>15284.782800000001</v>
      </c>
      <c r="D27" s="6"/>
      <c r="E27" s="6"/>
      <c r="F27" s="6"/>
      <c r="G27" s="6"/>
      <c r="H27" s="6"/>
      <c r="I27" s="6"/>
      <c r="J27" s="6"/>
      <c r="K27" s="6"/>
      <c r="L27" s="6"/>
      <c r="M27" s="6"/>
      <c r="N27" s="6"/>
      <c r="O27" s="6"/>
      <c r="P27" s="6"/>
      <c r="Q27" s="6"/>
      <c r="R27" s="6"/>
      <c r="S27" s="6"/>
      <c r="T27" s="6"/>
      <c r="U27" s="6"/>
      <c r="V27" s="6"/>
    </row>
    <row r="28" spans="1:22" x14ac:dyDescent="0.3">
      <c r="A28" s="6"/>
      <c r="B28" s="10" t="s">
        <v>835</v>
      </c>
      <c r="C28" s="35">
        <v>0.9</v>
      </c>
      <c r="D28" s="6"/>
      <c r="E28" s="6"/>
      <c r="F28" s="6"/>
      <c r="G28" s="6"/>
      <c r="H28" s="6"/>
      <c r="I28" s="6"/>
      <c r="J28" s="6"/>
      <c r="K28" s="6"/>
      <c r="L28" s="6"/>
      <c r="M28" s="6"/>
      <c r="N28" s="6"/>
      <c r="O28" s="6"/>
      <c r="P28" s="6"/>
      <c r="Q28" s="6"/>
      <c r="R28" s="6"/>
      <c r="S28" s="6"/>
      <c r="T28" s="6"/>
      <c r="U28" s="6"/>
      <c r="V28" s="6"/>
    </row>
    <row r="29" spans="1:22" x14ac:dyDescent="0.3">
      <c r="A29" s="6"/>
      <c r="B29" s="10" t="s">
        <v>836</v>
      </c>
      <c r="C29" s="35">
        <v>0.5</v>
      </c>
      <c r="D29" s="6"/>
      <c r="E29" s="6"/>
      <c r="F29" s="6"/>
      <c r="G29" s="6"/>
      <c r="H29" s="6"/>
      <c r="I29" s="6"/>
      <c r="J29" s="6"/>
      <c r="K29" s="6"/>
      <c r="L29" s="6"/>
      <c r="M29" s="6"/>
      <c r="N29" s="6"/>
      <c r="O29" s="6"/>
      <c r="P29" s="6"/>
      <c r="Q29" s="6"/>
      <c r="R29" s="6"/>
      <c r="S29" s="6"/>
      <c r="T29" s="6"/>
      <c r="U29" s="6"/>
      <c r="V29" s="6"/>
    </row>
    <row r="30" spans="1:22" x14ac:dyDescent="0.3">
      <c r="A30" s="6"/>
      <c r="B30" s="10" t="s">
        <v>837</v>
      </c>
      <c r="C30" s="36">
        <v>4.0000000000000001E-3</v>
      </c>
      <c r="D30" s="6"/>
      <c r="E30" s="6"/>
      <c r="F30" s="6"/>
      <c r="G30" s="6"/>
      <c r="H30" s="6"/>
      <c r="I30" s="6"/>
      <c r="J30" s="6"/>
      <c r="K30" s="6"/>
      <c r="L30" s="6"/>
      <c r="M30" s="6"/>
      <c r="N30" s="6"/>
      <c r="O30" s="6"/>
      <c r="P30" s="6"/>
      <c r="Q30" s="6"/>
      <c r="R30" s="6"/>
      <c r="S30" s="6"/>
      <c r="T30" s="6"/>
      <c r="U30" s="6"/>
      <c r="V30" s="6"/>
    </row>
    <row r="31" spans="1:22" x14ac:dyDescent="0.3">
      <c r="A31" s="6"/>
      <c r="B31" s="10" t="s">
        <v>66</v>
      </c>
      <c r="C31" s="18">
        <f>WACC!$C$26</f>
        <v>0.10727921067014926</v>
      </c>
      <c r="D31" s="6"/>
      <c r="E31" s="6"/>
      <c r="F31" s="6"/>
      <c r="G31" s="6"/>
      <c r="H31" s="6"/>
      <c r="I31" s="6"/>
      <c r="J31" s="6"/>
      <c r="K31" s="6"/>
      <c r="L31" s="6"/>
      <c r="M31" s="6"/>
      <c r="N31" s="6"/>
      <c r="O31" s="6"/>
      <c r="P31" s="6"/>
      <c r="Q31" s="6"/>
      <c r="R31" s="6"/>
      <c r="S31" s="6"/>
      <c r="T31" s="6"/>
      <c r="U31" s="6"/>
      <c r="V31" s="6"/>
    </row>
    <row r="32" spans="1:22" x14ac:dyDescent="0.3">
      <c r="A32" s="6"/>
      <c r="B32" s="10" t="s">
        <v>838</v>
      </c>
      <c r="C32" s="18">
        <f>DDM_NDCF!C14</f>
        <v>0.04</v>
      </c>
      <c r="D32" s="6"/>
      <c r="E32" s="6"/>
      <c r="F32" s="6"/>
      <c r="G32" s="6"/>
      <c r="H32" s="6"/>
      <c r="I32" s="6"/>
      <c r="J32" s="6"/>
      <c r="K32" s="6"/>
      <c r="L32" s="6"/>
      <c r="M32" s="6"/>
      <c r="N32" s="6"/>
      <c r="O32" s="6"/>
      <c r="P32" s="6"/>
      <c r="Q32" s="6"/>
      <c r="R32" s="6"/>
      <c r="S32" s="6"/>
      <c r="T32" s="6"/>
      <c r="U32" s="6"/>
      <c r="V32" s="6"/>
    </row>
    <row r="33" spans="1:22" x14ac:dyDescent="0.3">
      <c r="A33" s="6"/>
      <c r="B33" s="6"/>
      <c r="C33" s="6"/>
      <c r="D33" s="6"/>
      <c r="E33" s="6"/>
      <c r="F33" s="6"/>
      <c r="G33" s="6"/>
      <c r="H33" s="6"/>
      <c r="I33" s="6"/>
      <c r="J33" s="6"/>
      <c r="K33" s="6"/>
      <c r="L33" s="6"/>
      <c r="M33" s="6"/>
      <c r="N33" s="6"/>
      <c r="O33" s="6"/>
      <c r="P33" s="6"/>
      <c r="Q33" s="6"/>
      <c r="R33" s="6"/>
      <c r="S33" s="6"/>
      <c r="T33" s="6"/>
      <c r="U33" s="6"/>
      <c r="V33" s="6"/>
    </row>
    <row r="34" spans="1:22" ht="43.5" customHeight="1" x14ac:dyDescent="0.3">
      <c r="A34" s="6"/>
      <c r="B34" s="8" t="s">
        <v>839</v>
      </c>
      <c r="C34" s="8" t="s">
        <v>812</v>
      </c>
      <c r="D34" s="8" t="s">
        <v>840</v>
      </c>
      <c r="E34" s="8" t="s">
        <v>841</v>
      </c>
      <c r="F34" s="8" t="s">
        <v>842</v>
      </c>
      <c r="G34" s="8" t="s">
        <v>843</v>
      </c>
      <c r="H34" s="8" t="s">
        <v>844</v>
      </c>
      <c r="I34" s="6"/>
      <c r="J34" s="6"/>
      <c r="K34" s="6"/>
      <c r="L34" s="6"/>
      <c r="M34" s="6"/>
      <c r="N34" s="6"/>
      <c r="O34" s="6"/>
      <c r="P34" s="6"/>
      <c r="Q34" s="6"/>
      <c r="R34" s="6"/>
      <c r="S34" s="6"/>
      <c r="T34" s="6"/>
      <c r="U34" s="6"/>
      <c r="V34" s="6"/>
    </row>
    <row r="35" spans="1:22" x14ac:dyDescent="0.3">
      <c r="A35" s="6"/>
      <c r="B35" s="10" t="s">
        <v>845</v>
      </c>
      <c r="C35" s="35">
        <v>0.35</v>
      </c>
      <c r="D35" s="36">
        <v>0.01</v>
      </c>
      <c r="E35" s="34">
        <f>$C$27*$C$28*D35</f>
        <v>137.5630452</v>
      </c>
      <c r="F35" s="34">
        <f>$C$27*$C$28*((1-$C$29)*D35+$C$29*$C$30)</f>
        <v>96.294131640000018</v>
      </c>
      <c r="G35" s="15">
        <f>-E35*(1-Inputs!$C$56)*(1-Inputs!$C$42*Fin_Proj!$J$14)/Inputs!$C$11/($C$31-$C$32)</f>
        <v>-18.833815774681163</v>
      </c>
      <c r="H35" s="15">
        <f>-F35*(1-Inputs!$C$56)*(1-Inputs!$C$42*Fin_Proj!$J$14)/Inputs!$C$11/($C$31-$C$32)</f>
        <v>-13.183671042276821</v>
      </c>
      <c r="I35" s="6"/>
      <c r="J35" s="6"/>
      <c r="K35" s="6"/>
      <c r="L35" s="6"/>
      <c r="M35" s="6"/>
      <c r="N35" s="6"/>
      <c r="O35" s="6"/>
      <c r="P35" s="6"/>
      <c r="Q35" s="6"/>
      <c r="R35" s="6"/>
      <c r="S35" s="6"/>
      <c r="T35" s="6"/>
      <c r="U35" s="6"/>
      <c r="V35" s="6"/>
    </row>
    <row r="36" spans="1:22" x14ac:dyDescent="0.3">
      <c r="A36" s="6"/>
      <c r="B36" s="10" t="s">
        <v>846</v>
      </c>
      <c r="C36" s="35">
        <v>0.45</v>
      </c>
      <c r="D36" s="36">
        <v>0</v>
      </c>
      <c r="E36" s="34">
        <f>$C$27*$C$28*D36</f>
        <v>0</v>
      </c>
      <c r="F36" s="34">
        <f>$C$27*$C$28*((1-$C$29)*D36+$C$29*$C$30)</f>
        <v>27.512609040000005</v>
      </c>
      <c r="G36" s="15">
        <f>-E36*(1-Inputs!$C$56)*(1-Inputs!$C$42*Fin_Proj!$J$14)/Inputs!$C$11/($C$31-$C$32)</f>
        <v>0</v>
      </c>
      <c r="H36" s="15">
        <f>-F36*(1-Inputs!$C$56)*(1-Inputs!$C$42*Fin_Proj!$J$14)/Inputs!$C$11/($C$31-$C$32)</f>
        <v>-3.7667631549362337</v>
      </c>
      <c r="I36" s="6"/>
      <c r="J36" s="6"/>
      <c r="K36" s="6"/>
      <c r="L36" s="6"/>
      <c r="M36" s="6"/>
      <c r="N36" s="6"/>
      <c r="O36" s="6"/>
      <c r="P36" s="6"/>
      <c r="Q36" s="6"/>
      <c r="R36" s="6"/>
      <c r="S36" s="6"/>
      <c r="T36" s="6"/>
      <c r="U36" s="6"/>
      <c r="V36" s="6"/>
    </row>
    <row r="37" spans="1:22" x14ac:dyDescent="0.3">
      <c r="A37" s="6"/>
      <c r="B37" s="10" t="s">
        <v>847</v>
      </c>
      <c r="C37" s="35">
        <v>0.2</v>
      </c>
      <c r="D37" s="36">
        <v>-0.01</v>
      </c>
      <c r="E37" s="34">
        <f>$C$27*$C$28*D37</f>
        <v>-137.5630452</v>
      </c>
      <c r="F37" s="34">
        <f>$C$27*$C$28*((1-$C$29)*D37+$C$29*$C$30)</f>
        <v>-41.268913560000009</v>
      </c>
      <c r="G37" s="15">
        <f>-E37*(1-Inputs!$C$56)*(1-Inputs!$C$42*Fin_Proj!$J$14)/Inputs!$C$11/($C$31-$C$32)</f>
        <v>18.833815774681163</v>
      </c>
      <c r="H37" s="15">
        <f>-F37*(1-Inputs!$C$56)*(1-Inputs!$C$42*Fin_Proj!$J$14)/Inputs!$C$11/($C$31-$C$32)</f>
        <v>5.6501447324043506</v>
      </c>
      <c r="I37" s="6"/>
      <c r="J37" s="6"/>
      <c r="K37" s="6"/>
      <c r="L37" s="6"/>
      <c r="M37" s="6"/>
      <c r="N37" s="6"/>
      <c r="O37" s="6"/>
      <c r="P37" s="6"/>
      <c r="Q37" s="6"/>
      <c r="R37" s="6"/>
      <c r="S37" s="6"/>
      <c r="T37" s="6"/>
      <c r="U37" s="6"/>
      <c r="V37" s="6"/>
    </row>
    <row r="38" spans="1:22" x14ac:dyDescent="0.3">
      <c r="A38" s="6"/>
      <c r="B38" s="23" t="s">
        <v>848</v>
      </c>
      <c r="C38" s="6"/>
      <c r="D38" s="6"/>
      <c r="E38" s="6"/>
      <c r="F38" s="6"/>
      <c r="G38" s="68">
        <f>SUMPRODUCT($C$35:$C$37,G35:G37)</f>
        <v>-2.8250723662021739</v>
      </c>
      <c r="H38" s="68">
        <f>SUMPRODUCT($C$35:$C$37,H35:H37)</f>
        <v>-5.179299338037322</v>
      </c>
      <c r="I38" s="6"/>
      <c r="J38" s="6"/>
      <c r="K38" s="6"/>
      <c r="L38" s="6"/>
      <c r="M38" s="6"/>
      <c r="N38" s="6"/>
      <c r="O38" s="6"/>
      <c r="P38" s="6"/>
      <c r="Q38" s="6"/>
      <c r="R38" s="6"/>
      <c r="S38" s="6"/>
      <c r="T38" s="6"/>
      <c r="U38" s="6"/>
      <c r="V38" s="6"/>
    </row>
    <row r="39" spans="1:22" x14ac:dyDescent="0.3">
      <c r="A39" s="6"/>
      <c r="B39" s="23" t="s">
        <v>849</v>
      </c>
      <c r="C39" s="6"/>
      <c r="D39" s="6"/>
      <c r="E39" s="6"/>
      <c r="F39" s="6"/>
      <c r="G39" s="23" t="str">
        <f>IF(H38&gt;G38,"Hedge (fix part of floating debt)","Stay floating")</f>
        <v>Stay floating</v>
      </c>
      <c r="H39" s="6"/>
      <c r="I39" s="6"/>
      <c r="J39" s="6"/>
      <c r="K39" s="6"/>
      <c r="L39" s="6"/>
      <c r="M39" s="6"/>
      <c r="N39" s="6"/>
      <c r="O39" s="6"/>
      <c r="P39" s="6"/>
      <c r="Q39" s="6"/>
      <c r="R39" s="6"/>
      <c r="S39" s="6"/>
      <c r="T39" s="6"/>
      <c r="U39" s="6"/>
      <c r="V39" s="6"/>
    </row>
    <row r="40" spans="1:22" x14ac:dyDescent="0.3">
      <c r="A40" s="6"/>
      <c r="B40" s="11" t="s">
        <v>850</v>
      </c>
      <c r="C40" s="6"/>
      <c r="D40" s="6"/>
      <c r="E40" s="6"/>
      <c r="F40" s="6"/>
      <c r="G40" s="6"/>
      <c r="H40" s="6"/>
      <c r="I40" s="6"/>
      <c r="J40" s="6"/>
      <c r="K40" s="6"/>
      <c r="L40" s="6"/>
      <c r="M40" s="6"/>
      <c r="N40" s="6"/>
      <c r="O40" s="6"/>
      <c r="P40" s="6"/>
      <c r="Q40" s="6"/>
      <c r="R40" s="6"/>
      <c r="S40" s="6"/>
      <c r="T40" s="6"/>
      <c r="U40" s="6"/>
      <c r="V40" s="6"/>
    </row>
    <row r="41" spans="1:22" x14ac:dyDescent="0.3">
      <c r="A41" s="6"/>
      <c r="B41" s="6"/>
      <c r="C41" s="6"/>
      <c r="D41" s="6"/>
      <c r="E41" s="6"/>
      <c r="F41" s="6"/>
      <c r="G41" s="6"/>
      <c r="H41" s="6"/>
      <c r="I41" s="6"/>
      <c r="J41" s="6"/>
      <c r="K41" s="6"/>
      <c r="L41" s="6"/>
      <c r="M41" s="6"/>
      <c r="N41" s="6"/>
      <c r="O41" s="6"/>
      <c r="P41" s="6"/>
      <c r="Q41" s="6"/>
      <c r="R41" s="6"/>
      <c r="S41" s="6"/>
      <c r="T41" s="6"/>
      <c r="U41" s="6"/>
      <c r="V41" s="6"/>
    </row>
    <row r="42" spans="1:22" x14ac:dyDescent="0.3">
      <c r="A42" s="6"/>
      <c r="B42" s="7" t="s">
        <v>851</v>
      </c>
      <c r="C42" s="7"/>
      <c r="D42" s="7"/>
      <c r="E42" s="7"/>
      <c r="F42" s="7"/>
      <c r="G42" s="7"/>
      <c r="H42" s="7"/>
      <c r="I42" s="7"/>
      <c r="J42" s="7"/>
      <c r="K42" s="7"/>
      <c r="L42" s="7"/>
      <c r="M42" s="6"/>
      <c r="N42" s="6"/>
      <c r="O42" s="6"/>
      <c r="P42" s="6"/>
      <c r="Q42" s="6"/>
      <c r="R42" s="6"/>
      <c r="S42" s="6"/>
      <c r="T42" s="6"/>
      <c r="U42" s="6"/>
      <c r="V42" s="6"/>
    </row>
    <row r="43" spans="1:22" x14ac:dyDescent="0.3">
      <c r="A43" s="6"/>
      <c r="B43" s="10" t="s">
        <v>852</v>
      </c>
      <c r="C43" s="38">
        <v>4300</v>
      </c>
      <c r="D43" s="11" t="s">
        <v>853</v>
      </c>
      <c r="E43" s="6"/>
      <c r="F43" s="6"/>
      <c r="G43" s="6"/>
      <c r="H43" s="6"/>
      <c r="I43" s="6"/>
      <c r="J43" s="6"/>
      <c r="K43" s="6"/>
      <c r="L43" s="6"/>
      <c r="M43" s="6"/>
      <c r="N43" s="6"/>
      <c r="O43" s="6"/>
      <c r="P43" s="6"/>
      <c r="Q43" s="6"/>
      <c r="R43" s="6"/>
      <c r="S43" s="6"/>
      <c r="T43" s="6"/>
      <c r="U43" s="6"/>
      <c r="V43" s="6"/>
    </row>
    <row r="44" spans="1:22" x14ac:dyDescent="0.3">
      <c r="A44" s="6"/>
      <c r="B44" s="10" t="s">
        <v>854</v>
      </c>
      <c r="C44" s="35">
        <v>0.01</v>
      </c>
      <c r="D44" s="6"/>
      <c r="E44" s="6"/>
      <c r="F44" s="6"/>
      <c r="G44" s="6"/>
      <c r="H44" s="6"/>
      <c r="I44" s="6"/>
      <c r="J44" s="6"/>
      <c r="K44" s="6"/>
      <c r="L44" s="6"/>
      <c r="M44" s="6"/>
      <c r="N44" s="6"/>
      <c r="O44" s="6"/>
      <c r="P44" s="6"/>
      <c r="Q44" s="6"/>
      <c r="R44" s="6"/>
      <c r="S44" s="6"/>
      <c r="T44" s="6"/>
      <c r="U44" s="6"/>
      <c r="V44" s="6"/>
    </row>
    <row r="45" spans="1:22" x14ac:dyDescent="0.3">
      <c r="A45" s="6"/>
      <c r="B45" s="10" t="s">
        <v>855</v>
      </c>
      <c r="C45" s="35">
        <v>0.06</v>
      </c>
      <c r="D45" s="6"/>
      <c r="E45" s="6"/>
      <c r="F45" s="6"/>
      <c r="G45" s="6"/>
      <c r="H45" s="6"/>
      <c r="I45" s="6"/>
      <c r="J45" s="6"/>
      <c r="K45" s="6"/>
      <c r="L45" s="6"/>
      <c r="M45" s="6"/>
      <c r="N45" s="6"/>
      <c r="O45" s="6"/>
      <c r="P45" s="6"/>
      <c r="Q45" s="6"/>
      <c r="R45" s="6"/>
      <c r="S45" s="6"/>
      <c r="T45" s="6"/>
      <c r="U45" s="6"/>
      <c r="V45" s="6"/>
    </row>
    <row r="46" spans="1:22" x14ac:dyDescent="0.3">
      <c r="A46" s="6"/>
      <c r="B46" s="6"/>
      <c r="C46" s="6"/>
      <c r="D46" s="6"/>
      <c r="E46" s="6"/>
      <c r="F46" s="6"/>
      <c r="G46" s="6"/>
      <c r="H46" s="6"/>
      <c r="I46" s="6"/>
      <c r="J46" s="6"/>
      <c r="K46" s="6"/>
      <c r="L46" s="6"/>
      <c r="M46" s="6"/>
      <c r="N46" s="6"/>
      <c r="O46" s="6"/>
      <c r="P46" s="6"/>
      <c r="Q46" s="6"/>
      <c r="R46" s="6"/>
      <c r="S46" s="6"/>
      <c r="T46" s="6"/>
      <c r="U46" s="6"/>
      <c r="V46" s="6"/>
    </row>
    <row r="47" spans="1:22" ht="30" customHeight="1" x14ac:dyDescent="0.3">
      <c r="A47" s="6"/>
      <c r="B47" s="8" t="s">
        <v>856</v>
      </c>
      <c r="C47" s="8" t="s">
        <v>812</v>
      </c>
      <c r="D47" s="8" t="s">
        <v>857</v>
      </c>
      <c r="E47" s="8" t="s">
        <v>858</v>
      </c>
      <c r="F47" s="6"/>
      <c r="G47" s="6"/>
      <c r="H47" s="6"/>
      <c r="I47" s="6"/>
      <c r="J47" s="6"/>
      <c r="K47" s="6"/>
      <c r="L47" s="6"/>
      <c r="M47" s="6"/>
      <c r="N47" s="6"/>
      <c r="O47" s="6"/>
      <c r="P47" s="6"/>
      <c r="Q47" s="6"/>
      <c r="R47" s="6"/>
      <c r="S47" s="6"/>
      <c r="T47" s="6"/>
      <c r="U47" s="6"/>
      <c r="V47" s="6"/>
    </row>
    <row r="48" spans="1:22" x14ac:dyDescent="0.3">
      <c r="A48" s="6"/>
      <c r="B48" s="10" t="s">
        <v>859</v>
      </c>
      <c r="C48" s="35">
        <v>0.3</v>
      </c>
      <c r="D48" s="37">
        <v>1.06</v>
      </c>
      <c r="E48" s="17">
        <f>$C$43*(D48-1-$C$44)</f>
        <v>215.00000000000023</v>
      </c>
      <c r="F48" s="6"/>
      <c r="G48" s="6"/>
      <c r="H48" s="6"/>
      <c r="I48" s="6"/>
      <c r="J48" s="6"/>
      <c r="K48" s="6"/>
      <c r="L48" s="6"/>
      <c r="M48" s="6"/>
      <c r="N48" s="6"/>
      <c r="O48" s="6"/>
      <c r="P48" s="6"/>
      <c r="Q48" s="6"/>
      <c r="R48" s="6"/>
      <c r="S48" s="6"/>
      <c r="T48" s="6"/>
      <c r="U48" s="6"/>
      <c r="V48" s="6"/>
    </row>
    <row r="49" spans="1:22" x14ac:dyDescent="0.3">
      <c r="A49" s="6"/>
      <c r="B49" s="10" t="s">
        <v>860</v>
      </c>
      <c r="C49" s="35">
        <v>0.5</v>
      </c>
      <c r="D49" s="37">
        <v>1.02</v>
      </c>
      <c r="E49" s="17">
        <f>$C$43*(D49-1-$C$44)</f>
        <v>43.000000000000078</v>
      </c>
      <c r="F49" s="6"/>
      <c r="G49" s="6"/>
      <c r="H49" s="6"/>
      <c r="I49" s="6"/>
      <c r="J49" s="6"/>
      <c r="K49" s="6"/>
      <c r="L49" s="6"/>
      <c r="M49" s="6"/>
      <c r="N49" s="6"/>
      <c r="O49" s="6"/>
      <c r="P49" s="6"/>
      <c r="Q49" s="6"/>
      <c r="R49" s="6"/>
      <c r="S49" s="6"/>
      <c r="T49" s="6"/>
      <c r="U49" s="6"/>
      <c r="V49" s="6"/>
    </row>
    <row r="50" spans="1:22" x14ac:dyDescent="0.3">
      <c r="A50" s="6"/>
      <c r="B50" s="10" t="s">
        <v>861</v>
      </c>
      <c r="C50" s="35">
        <v>0.2</v>
      </c>
      <c r="D50" s="37">
        <v>0.95</v>
      </c>
      <c r="E50" s="17">
        <f>$C$43*(D50-1-$C$44)</f>
        <v>-258.00000000000023</v>
      </c>
      <c r="F50" s="6"/>
      <c r="G50" s="6"/>
      <c r="H50" s="6"/>
      <c r="I50" s="6"/>
      <c r="J50" s="6"/>
      <c r="K50" s="6"/>
      <c r="L50" s="6"/>
      <c r="M50" s="6"/>
      <c r="N50" s="6"/>
      <c r="O50" s="6"/>
      <c r="P50" s="6"/>
      <c r="Q50" s="6"/>
      <c r="R50" s="6"/>
      <c r="S50" s="6"/>
      <c r="T50" s="6"/>
      <c r="U50" s="6"/>
      <c r="V50" s="6"/>
    </row>
    <row r="51" spans="1:22" x14ac:dyDescent="0.3">
      <c r="A51" s="6"/>
      <c r="B51" s="6"/>
      <c r="C51" s="6"/>
      <c r="D51" s="6"/>
      <c r="E51" s="6"/>
      <c r="F51" s="6"/>
      <c r="G51" s="6"/>
      <c r="H51" s="6"/>
      <c r="I51" s="6"/>
      <c r="J51" s="6"/>
      <c r="K51" s="6"/>
      <c r="L51" s="6"/>
      <c r="M51" s="6"/>
      <c r="N51" s="6"/>
      <c r="O51" s="6"/>
      <c r="P51" s="6"/>
      <c r="Q51" s="6"/>
      <c r="R51" s="6"/>
      <c r="S51" s="6"/>
      <c r="T51" s="6"/>
      <c r="U51" s="6"/>
      <c r="V51" s="6"/>
    </row>
    <row r="52" spans="1:22" ht="39.6" x14ac:dyDescent="0.3">
      <c r="A52" s="6"/>
      <c r="B52" s="8" t="s">
        <v>862</v>
      </c>
      <c r="C52" s="8" t="s">
        <v>863</v>
      </c>
      <c r="D52" s="8" t="s">
        <v>52</v>
      </c>
      <c r="E52" s="6"/>
      <c r="F52" s="6"/>
      <c r="G52" s="6"/>
      <c r="H52" s="6"/>
      <c r="I52" s="6"/>
      <c r="J52" s="6"/>
      <c r="K52" s="6"/>
      <c r="L52" s="6"/>
      <c r="M52" s="6"/>
      <c r="N52" s="6"/>
      <c r="O52" s="6"/>
      <c r="P52" s="6"/>
      <c r="Q52" s="6"/>
      <c r="R52" s="6"/>
      <c r="S52" s="6"/>
      <c r="T52" s="6"/>
      <c r="U52" s="6"/>
      <c r="V52" s="6"/>
    </row>
    <row r="53" spans="1:22" x14ac:dyDescent="0.3">
      <c r="A53" s="6"/>
      <c r="B53" s="10" t="s">
        <v>864</v>
      </c>
      <c r="C53" s="17">
        <f>SUMPRODUCT(C48:C50,E48:E50)</f>
        <v>34.400000000000063</v>
      </c>
      <c r="D53" s="15">
        <f>C53*(1-DCF_FCFF!$C$50)/Inputs!$C$11</f>
        <v>0.33019763546829639</v>
      </c>
      <c r="E53" s="6"/>
      <c r="F53" s="6"/>
      <c r="G53" s="6"/>
      <c r="H53" s="6"/>
      <c r="I53" s="6"/>
      <c r="J53" s="6"/>
      <c r="K53" s="6"/>
      <c r="L53" s="6"/>
      <c r="M53" s="6"/>
      <c r="N53" s="6"/>
      <c r="O53" s="6"/>
      <c r="P53" s="6"/>
      <c r="Q53" s="6"/>
      <c r="R53" s="6"/>
      <c r="S53" s="6"/>
      <c r="T53" s="6"/>
      <c r="U53" s="6"/>
      <c r="V53" s="6"/>
    </row>
    <row r="54" spans="1:22" x14ac:dyDescent="0.3">
      <c r="A54" s="6"/>
      <c r="B54" s="10" t="s">
        <v>865</v>
      </c>
      <c r="C54" s="17">
        <f>C43*(WACC!$C$30-C45)*(1-Inputs!$C$42)/WACC!$C$26</f>
        <v>449.90403731065078</v>
      </c>
      <c r="D54" s="15">
        <f>C54*(1-DCF_FCFF!$C$50)/Inputs!$C$11</f>
        <v>4.3185246891749074</v>
      </c>
      <c r="E54" s="6"/>
      <c r="F54" s="6"/>
      <c r="G54" s="6"/>
      <c r="H54" s="6"/>
      <c r="I54" s="6"/>
      <c r="J54" s="6"/>
      <c r="K54" s="6"/>
      <c r="L54" s="6"/>
      <c r="M54" s="6"/>
      <c r="N54" s="6"/>
      <c r="O54" s="6"/>
      <c r="P54" s="6"/>
      <c r="Q54" s="6"/>
      <c r="R54" s="6"/>
      <c r="S54" s="6"/>
      <c r="T54" s="6"/>
      <c r="U54" s="6"/>
      <c r="V54" s="6"/>
    </row>
    <row r="55" spans="1:22" x14ac:dyDescent="0.3">
      <c r="A55" s="6"/>
      <c r="B55" s="10" t="s">
        <v>866</v>
      </c>
      <c r="C55" s="38">
        <v>0</v>
      </c>
      <c r="D55" s="15">
        <f>C55*(1-DCF_FCFF!$C$50)/Inputs!$C$11</f>
        <v>0</v>
      </c>
      <c r="E55" s="6"/>
      <c r="F55" s="6"/>
      <c r="G55" s="6"/>
      <c r="H55" s="6"/>
      <c r="I55" s="6"/>
      <c r="J55" s="6"/>
      <c r="K55" s="6"/>
      <c r="L55" s="6"/>
      <c r="M55" s="6"/>
      <c r="N55" s="6"/>
      <c r="O55" s="6"/>
      <c r="P55" s="6"/>
      <c r="Q55" s="6"/>
      <c r="R55" s="6"/>
      <c r="S55" s="6"/>
      <c r="T55" s="6"/>
      <c r="U55" s="6"/>
      <c r="V55" s="6"/>
    </row>
    <row r="56" spans="1:22" x14ac:dyDescent="0.3">
      <c r="A56" s="6"/>
      <c r="B56" s="23" t="s">
        <v>849</v>
      </c>
      <c r="C56" s="23" t="str">
        <f>INDEX(B53:B55,MATCH(MAX(D53:D55),D53:D55,0))</f>
        <v>Prepay debt</v>
      </c>
      <c r="D56" s="6"/>
      <c r="E56" s="6"/>
      <c r="F56" s="6"/>
      <c r="G56" s="6"/>
      <c r="H56" s="6"/>
      <c r="I56" s="6"/>
      <c r="J56" s="6"/>
      <c r="K56" s="6"/>
      <c r="L56" s="6"/>
      <c r="M56" s="6"/>
      <c r="N56" s="6"/>
      <c r="O56" s="6"/>
      <c r="P56" s="6"/>
      <c r="Q56" s="6"/>
      <c r="R56" s="6"/>
      <c r="S56" s="6"/>
      <c r="T56" s="6"/>
      <c r="U56" s="6"/>
      <c r="V56" s="6"/>
    </row>
    <row r="57" spans="1:22" x14ac:dyDescent="0.3">
      <c r="A57" s="6"/>
      <c r="B57" s="11" t="s">
        <v>867</v>
      </c>
      <c r="C57" s="6"/>
      <c r="D57" s="6"/>
      <c r="E57" s="6"/>
      <c r="F57" s="6"/>
      <c r="G57" s="6"/>
      <c r="H57" s="6"/>
      <c r="I57" s="6"/>
      <c r="J57" s="6"/>
      <c r="K57" s="6"/>
      <c r="L57" s="6"/>
      <c r="M57" s="6"/>
      <c r="N57" s="6"/>
      <c r="O57" s="6"/>
      <c r="P57" s="6"/>
      <c r="Q57" s="6"/>
      <c r="R57" s="6"/>
      <c r="S57" s="6"/>
      <c r="T57" s="6"/>
      <c r="U57" s="6"/>
      <c r="V57" s="6"/>
    </row>
  </sheetData>
  <pageMargins left="0.75" right="0.75" top="1" bottom="1" header="0.511811023622047" footer="0.511811023622047"/>
  <pageSetup fitToHeight="0"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G531"/>
  <sheetViews>
    <sheetView zoomScale="90" zoomScaleNormal="90" workbookViewId="0">
      <pane xSplit="2" ySplit="30" topLeftCell="C31" activePane="bottomRight" state="frozen"/>
      <selection pane="topRight" activeCell="C1" sqref="C1"/>
      <selection pane="bottomLeft" activeCell="A31" sqref="A31"/>
      <selection pane="bottomRight"/>
    </sheetView>
  </sheetViews>
  <sheetFormatPr defaultColWidth="8.6640625" defaultRowHeight="14.4" x14ac:dyDescent="0.3"/>
  <cols>
    <col min="1" max="1" width="2" customWidth="1"/>
    <col min="2" max="2" width="40" customWidth="1"/>
    <col min="3" max="3" width="11" customWidth="1"/>
    <col min="4" max="17" width="9" customWidth="1"/>
    <col min="18" max="30" width="10" customWidth="1"/>
    <col min="31" max="31" width="3" customWidth="1"/>
    <col min="32" max="32" width="14" customWidth="1"/>
    <col min="33" max="33" width="10" customWidth="1"/>
  </cols>
  <sheetData>
    <row r="1" spans="1:33" ht="24" customHeight="1" x14ac:dyDescent="0.3">
      <c r="A1" s="2"/>
      <c r="B1" s="4" t="s">
        <v>868</v>
      </c>
      <c r="C1" s="2"/>
      <c r="D1" s="2"/>
      <c r="E1" s="2"/>
      <c r="F1" s="2"/>
      <c r="G1" s="2"/>
      <c r="H1" s="2"/>
      <c r="I1" s="2"/>
      <c r="J1" s="2"/>
      <c r="K1" s="2"/>
      <c r="L1" s="2"/>
      <c r="M1" s="2"/>
      <c r="N1" s="2"/>
      <c r="O1" s="2"/>
      <c r="P1" s="2"/>
      <c r="Q1" s="2"/>
      <c r="R1" s="2"/>
      <c r="S1" s="2"/>
      <c r="T1" s="2"/>
      <c r="U1" s="2"/>
      <c r="V1" s="2"/>
      <c r="W1" s="2"/>
      <c r="X1" s="2"/>
      <c r="Y1" s="2"/>
      <c r="Z1" s="2"/>
      <c r="AA1" s="2"/>
      <c r="AB1" s="2"/>
      <c r="AC1" s="2"/>
      <c r="AD1" s="2"/>
      <c r="AE1" s="2"/>
      <c r="AF1" s="6"/>
      <c r="AG1" s="6"/>
    </row>
    <row r="2" spans="1:33" x14ac:dyDescent="0.3">
      <c r="A2" s="2"/>
      <c r="B2" s="14" t="s">
        <v>869</v>
      </c>
      <c r="C2" s="2"/>
      <c r="D2" s="2"/>
      <c r="E2" s="2"/>
      <c r="F2" s="2"/>
      <c r="G2" s="2"/>
      <c r="H2" s="2"/>
      <c r="I2" s="2"/>
      <c r="J2" s="2"/>
      <c r="K2" s="2"/>
      <c r="L2" s="2"/>
      <c r="M2" s="2"/>
      <c r="N2" s="2"/>
      <c r="O2" s="2"/>
      <c r="P2" s="2"/>
      <c r="Q2" s="2"/>
      <c r="R2" s="2"/>
      <c r="S2" s="2"/>
      <c r="T2" s="2"/>
      <c r="U2" s="2"/>
      <c r="V2" s="2"/>
      <c r="W2" s="2"/>
      <c r="X2" s="2"/>
      <c r="Y2" s="2"/>
      <c r="Z2" s="2"/>
      <c r="AA2" s="2"/>
      <c r="AB2" s="2"/>
      <c r="AC2" s="2"/>
      <c r="AD2" s="2"/>
      <c r="AE2" s="2"/>
      <c r="AF2" s="6"/>
      <c r="AG2" s="6"/>
    </row>
    <row r="3" spans="1:33" x14ac:dyDescent="0.3">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row>
    <row r="4" spans="1:33" x14ac:dyDescent="0.3">
      <c r="A4" s="6"/>
      <c r="B4" s="7" t="s">
        <v>870</v>
      </c>
      <c r="C4" s="7"/>
      <c r="D4" s="6"/>
      <c r="E4" s="6"/>
      <c r="F4" s="6"/>
      <c r="G4" s="6"/>
      <c r="H4" s="6"/>
      <c r="I4" s="6"/>
      <c r="J4" s="6"/>
      <c r="K4" s="6"/>
      <c r="L4" s="6"/>
      <c r="M4" s="6"/>
      <c r="N4" s="6"/>
      <c r="O4" s="6"/>
      <c r="P4" s="6"/>
      <c r="Q4" s="6"/>
      <c r="R4" s="6"/>
      <c r="S4" s="6"/>
      <c r="T4" s="6"/>
      <c r="U4" s="6"/>
      <c r="V4" s="6"/>
      <c r="W4" s="6"/>
      <c r="X4" s="6"/>
      <c r="Y4" s="6"/>
      <c r="Z4" s="6"/>
      <c r="AA4" s="6"/>
      <c r="AB4" s="6"/>
      <c r="AC4" s="6"/>
      <c r="AD4" s="6"/>
      <c r="AE4" s="6"/>
      <c r="AF4" s="6"/>
      <c r="AG4" s="6"/>
    </row>
    <row r="5" spans="1:33" x14ac:dyDescent="0.3">
      <c r="A5" s="6"/>
      <c r="B5" s="10" t="s">
        <v>871</v>
      </c>
      <c r="C5" s="36">
        <v>0.02</v>
      </c>
      <c r="D5" s="6"/>
      <c r="E5" s="6"/>
      <c r="F5" s="6"/>
      <c r="G5" s="6"/>
      <c r="H5" s="6"/>
      <c r="I5" s="6"/>
      <c r="J5" s="6"/>
      <c r="K5" s="6"/>
      <c r="L5" s="6"/>
      <c r="M5" s="6"/>
      <c r="N5" s="6"/>
      <c r="O5" s="6"/>
      <c r="P5" s="6"/>
      <c r="Q5" s="6"/>
      <c r="R5" s="6"/>
      <c r="S5" s="6"/>
      <c r="T5" s="6"/>
      <c r="U5" s="6"/>
      <c r="V5" s="6"/>
      <c r="W5" s="6"/>
      <c r="X5" s="6"/>
      <c r="Y5" s="6"/>
      <c r="Z5" s="6"/>
      <c r="AA5" s="6"/>
      <c r="AB5" s="6"/>
      <c r="AC5" s="6"/>
      <c r="AD5" s="6"/>
      <c r="AE5" s="6"/>
      <c r="AF5" s="6"/>
      <c r="AG5" s="6"/>
    </row>
    <row r="6" spans="1:33" x14ac:dyDescent="0.3">
      <c r="A6" s="6"/>
      <c r="B6" s="10" t="s">
        <v>872</v>
      </c>
      <c r="C6" s="36">
        <v>8.0000000000000002E-3</v>
      </c>
      <c r="D6" s="6"/>
      <c r="E6" s="6"/>
      <c r="F6" s="6"/>
      <c r="G6" s="6"/>
      <c r="H6" s="6"/>
      <c r="I6" s="6"/>
      <c r="J6" s="6"/>
      <c r="K6" s="6"/>
      <c r="L6" s="6"/>
      <c r="M6" s="6"/>
      <c r="N6" s="6"/>
      <c r="O6" s="6"/>
      <c r="P6" s="6"/>
      <c r="Q6" s="6"/>
      <c r="R6" s="6"/>
      <c r="S6" s="6"/>
      <c r="T6" s="6"/>
      <c r="U6" s="6"/>
      <c r="V6" s="6"/>
      <c r="W6" s="6"/>
      <c r="X6" s="6"/>
      <c r="Y6" s="6"/>
      <c r="Z6" s="6"/>
      <c r="AA6" s="6"/>
      <c r="AB6" s="6"/>
      <c r="AC6" s="6"/>
      <c r="AD6" s="6"/>
      <c r="AE6" s="6"/>
      <c r="AF6" s="6"/>
      <c r="AG6" s="6"/>
    </row>
    <row r="7" spans="1:33" x14ac:dyDescent="0.3">
      <c r="A7" s="6"/>
      <c r="B7" s="10" t="s">
        <v>873</v>
      </c>
      <c r="C7" s="36">
        <v>1.2E-2</v>
      </c>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3" x14ac:dyDescent="0.3">
      <c r="A8" s="6"/>
      <c r="B8" s="10" t="s">
        <v>874</v>
      </c>
      <c r="C8" s="36">
        <v>6.0000000000000001E-3</v>
      </c>
      <c r="D8" s="6"/>
      <c r="E8" s="6"/>
      <c r="F8" s="6"/>
      <c r="G8" s="6"/>
      <c r="H8" s="6"/>
      <c r="I8" s="6"/>
      <c r="J8" s="6"/>
      <c r="K8" s="6"/>
      <c r="L8" s="6"/>
      <c r="M8" s="6"/>
      <c r="N8" s="6"/>
      <c r="O8" s="6"/>
      <c r="P8" s="6"/>
      <c r="Q8" s="6"/>
      <c r="R8" s="6"/>
      <c r="S8" s="6"/>
      <c r="T8" s="6"/>
      <c r="U8" s="6"/>
      <c r="V8" s="6"/>
      <c r="W8" s="6"/>
      <c r="X8" s="6"/>
      <c r="Y8" s="6"/>
      <c r="Z8" s="6"/>
      <c r="AA8" s="6"/>
      <c r="AB8" s="6"/>
      <c r="AC8" s="6"/>
      <c r="AD8" s="6"/>
      <c r="AE8" s="6"/>
      <c r="AF8" s="6"/>
      <c r="AG8" s="6"/>
    </row>
    <row r="9" spans="1:33" x14ac:dyDescent="0.3">
      <c r="A9" s="6"/>
      <c r="B9" s="10" t="s">
        <v>875</v>
      </c>
      <c r="C9" s="36">
        <v>4.0000000000000001E-3</v>
      </c>
      <c r="D9" s="6"/>
      <c r="E9" s="6"/>
      <c r="F9" s="6"/>
      <c r="G9" s="6"/>
      <c r="H9" s="6"/>
      <c r="I9" s="6"/>
      <c r="J9" s="6"/>
      <c r="K9" s="6"/>
      <c r="L9" s="6"/>
      <c r="M9" s="6"/>
      <c r="N9" s="6"/>
      <c r="O9" s="6"/>
      <c r="P9" s="6"/>
      <c r="Q9" s="6"/>
      <c r="R9" s="6"/>
      <c r="S9" s="6"/>
      <c r="T9" s="6"/>
      <c r="U9" s="6"/>
      <c r="V9" s="6"/>
      <c r="W9" s="6"/>
      <c r="X9" s="6"/>
      <c r="Y9" s="6"/>
      <c r="Z9" s="6"/>
      <c r="AA9" s="6"/>
      <c r="AB9" s="6"/>
      <c r="AC9" s="6"/>
      <c r="AD9" s="6"/>
      <c r="AE9" s="6"/>
      <c r="AF9" s="6"/>
      <c r="AG9" s="6"/>
    </row>
    <row r="10" spans="1:33" x14ac:dyDescent="0.3">
      <c r="A10" s="6"/>
      <c r="B10" s="10" t="s">
        <v>876</v>
      </c>
      <c r="C10" s="37">
        <v>0.5</v>
      </c>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row>
    <row r="11" spans="1:33"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row>
    <row r="12" spans="1:33" x14ac:dyDescent="0.3">
      <c r="A12" s="6"/>
      <c r="B12" s="7" t="s">
        <v>877</v>
      </c>
      <c r="C12" s="7"/>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row>
    <row r="13" spans="1:33" x14ac:dyDescent="0.3">
      <c r="A13" s="6"/>
      <c r="B13" s="10" t="s">
        <v>693</v>
      </c>
      <c r="C13" s="68">
        <f>AVERAGE($AD$32:$AD$531)</f>
        <v>342.99344393329409</v>
      </c>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row>
    <row r="14" spans="1:33" x14ac:dyDescent="0.3">
      <c r="A14" s="6"/>
      <c r="B14" s="10" t="s">
        <v>694</v>
      </c>
      <c r="C14" s="68">
        <f>MEDIAN($AD$32:$AD$531)</f>
        <v>338.01145690145586</v>
      </c>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row>
    <row r="15" spans="1:33" x14ac:dyDescent="0.3">
      <c r="A15" s="6"/>
      <c r="B15" s="10" t="s">
        <v>878</v>
      </c>
      <c r="C15" s="15">
        <f>STDEV($AD$32:$AD$531)</f>
        <v>64.018733387862156</v>
      </c>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row>
    <row r="16" spans="1:33" x14ac:dyDescent="0.3">
      <c r="A16" s="6"/>
      <c r="B16" s="10" t="s">
        <v>879</v>
      </c>
      <c r="C16" s="15">
        <f>PERCENTILE($AD$32:$AD$531,0.05)</f>
        <v>249.31771991280903</v>
      </c>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row>
    <row r="17" spans="1:33" x14ac:dyDescent="0.3">
      <c r="A17" s="6"/>
      <c r="B17" s="10" t="s">
        <v>880</v>
      </c>
      <c r="C17" s="15">
        <f>PERCENTILE($AD$32:$AD$531,0.1)</f>
        <v>266.63160626150068</v>
      </c>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row>
    <row r="18" spans="1:33" x14ac:dyDescent="0.3">
      <c r="A18" s="6"/>
      <c r="B18" s="10" t="s">
        <v>881</v>
      </c>
      <c r="C18" s="15">
        <f>PERCENTILE($AD$32:$AD$531,0.25)</f>
        <v>298.02315386887705</v>
      </c>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row>
    <row r="19" spans="1:33" x14ac:dyDescent="0.3">
      <c r="A19" s="6"/>
      <c r="B19" s="10" t="s">
        <v>882</v>
      </c>
      <c r="C19" s="15">
        <f>PERCENTILE($AD$32:$AD$531,0.75)</f>
        <v>379.10063558268456</v>
      </c>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row>
    <row r="20" spans="1:33" x14ac:dyDescent="0.3">
      <c r="A20" s="6"/>
      <c r="B20" s="10" t="s">
        <v>883</v>
      </c>
      <c r="C20" s="15">
        <f>PERCENTILE($AD$32:$AD$531,0.9)</f>
        <v>428.73443476943294</v>
      </c>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row>
    <row r="21" spans="1:33" x14ac:dyDescent="0.3">
      <c r="A21" s="6"/>
      <c r="B21" s="10" t="s">
        <v>884</v>
      </c>
      <c r="C21" s="15">
        <f>PERCENTILE($AD$32:$AD$531,0.95)</f>
        <v>452.00575195607183</v>
      </c>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row>
    <row r="22" spans="1:33" x14ac:dyDescent="0.3">
      <c r="A22" s="6"/>
      <c r="B22" s="10" t="s">
        <v>885</v>
      </c>
      <c r="C22" s="16">
        <f>COUNTIF($AD$32:$AD$531,"&gt;"&amp;Inputs!$C$10)/COUNT($AD$32:$AD$531)</f>
        <v>0.54800000000000004</v>
      </c>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row>
    <row r="23" spans="1:33" x14ac:dyDescent="0.3">
      <c r="A23" s="6"/>
      <c r="B23" s="10" t="s">
        <v>886</v>
      </c>
      <c r="C23" s="16">
        <f>COUNTIF($AD$32:$AD$531,"&gt;"&amp;Inputs!$C$13)/COUNT($AD$32:$AD$531)</f>
        <v>0.22600000000000001</v>
      </c>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row>
    <row r="24" spans="1:33" x14ac:dyDescent="0.3">
      <c r="A24" s="6"/>
      <c r="B24" s="10" t="s">
        <v>887</v>
      </c>
      <c r="C24" s="17">
        <f>COUNT($AD$32:$AD$531)</f>
        <v>500</v>
      </c>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row>
    <row r="25" spans="1:33"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row>
    <row r="26" spans="1:33" x14ac:dyDescent="0.3">
      <c r="A26" s="6"/>
      <c r="B26" s="10" t="s">
        <v>888</v>
      </c>
      <c r="C26" s="15">
        <f>AD31-DCF_FCFF!$C$61</f>
        <v>0</v>
      </c>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row>
    <row r="27" spans="1:33"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row>
    <row r="28" spans="1:33"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row>
    <row r="29" spans="1:33" x14ac:dyDescent="0.3">
      <c r="A29" s="6"/>
      <c r="B29" s="7" t="s">
        <v>889</v>
      </c>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6"/>
      <c r="AF29" s="6"/>
      <c r="AG29" s="6"/>
    </row>
    <row r="30" spans="1:33" ht="31.5" customHeight="1" x14ac:dyDescent="0.3">
      <c r="A30" s="6"/>
      <c r="B30" s="8" t="s">
        <v>890</v>
      </c>
      <c r="C30" s="8" t="s">
        <v>891</v>
      </c>
      <c r="D30" s="8" t="s">
        <v>892</v>
      </c>
      <c r="E30" s="8" t="s">
        <v>893</v>
      </c>
      <c r="F30" s="8" t="s">
        <v>894</v>
      </c>
      <c r="G30" s="8" t="s">
        <v>895</v>
      </c>
      <c r="H30" s="8" t="s">
        <v>896</v>
      </c>
      <c r="I30" s="8" t="s">
        <v>897</v>
      </c>
      <c r="J30" s="8" t="s">
        <v>898</v>
      </c>
      <c r="K30" s="8" t="s">
        <v>899</v>
      </c>
      <c r="L30" s="8" t="s">
        <v>900</v>
      </c>
      <c r="M30" s="8" t="s">
        <v>901</v>
      </c>
      <c r="N30" s="8" t="s">
        <v>902</v>
      </c>
      <c r="O30" s="8" t="s">
        <v>903</v>
      </c>
      <c r="P30" s="8" t="s">
        <v>816</v>
      </c>
      <c r="Q30" s="8" t="s">
        <v>904</v>
      </c>
      <c r="R30" s="8" t="s">
        <v>905</v>
      </c>
      <c r="S30" s="8" t="s">
        <v>906</v>
      </c>
      <c r="T30" s="8" t="s">
        <v>907</v>
      </c>
      <c r="U30" s="8" t="s">
        <v>908</v>
      </c>
      <c r="V30" s="8" t="s">
        <v>909</v>
      </c>
      <c r="W30" s="8" t="s">
        <v>910</v>
      </c>
      <c r="X30" s="8" t="s">
        <v>911</v>
      </c>
      <c r="Y30" s="8" t="s">
        <v>912</v>
      </c>
      <c r="Z30" s="8" t="s">
        <v>913</v>
      </c>
      <c r="AA30" s="8" t="s">
        <v>914</v>
      </c>
      <c r="AB30" s="8" t="s">
        <v>818</v>
      </c>
      <c r="AC30" s="8" t="s">
        <v>683</v>
      </c>
      <c r="AD30" s="8" t="s">
        <v>915</v>
      </c>
      <c r="AE30" s="6"/>
      <c r="AF30" s="8" t="s">
        <v>916</v>
      </c>
      <c r="AG30" s="8" t="s">
        <v>887</v>
      </c>
    </row>
    <row r="31" spans="1:33" x14ac:dyDescent="0.3">
      <c r="A31" s="6"/>
      <c r="B31" s="10" t="s">
        <v>917</v>
      </c>
      <c r="C31" s="15">
        <v>0.5</v>
      </c>
      <c r="D31" s="15">
        <v>0.5</v>
      </c>
      <c r="E31" s="15">
        <v>0.5</v>
      </c>
      <c r="F31" s="15">
        <v>0.5</v>
      </c>
      <c r="G31" s="15">
        <v>0.5</v>
      </c>
      <c r="H31" s="15">
        <f t="shared" ref="H31:H94" si="0">NORMSINV(C31)</f>
        <v>0</v>
      </c>
      <c r="I31" s="15">
        <f t="shared" ref="I31:I94" si="1">NORMSINV(D31)</f>
        <v>0</v>
      </c>
      <c r="J31" s="15">
        <f t="shared" ref="J31:J94" si="2">NORMSINV(E31)</f>
        <v>0</v>
      </c>
      <c r="K31" s="15">
        <f t="shared" ref="K31:K94" si="3">NORMSINV(F31)</f>
        <v>0</v>
      </c>
      <c r="L31" s="15">
        <f t="shared" ref="L31:L94" si="4">NORMSINV(G31)</f>
        <v>0</v>
      </c>
      <c r="M31" s="18">
        <f t="shared" ref="M31:M94" si="5">H31*$C$5</f>
        <v>0</v>
      </c>
      <c r="N31" s="18">
        <f t="shared" ref="N31:N94" si="6">($C$10*H31+SQRT(1-$C$10^2)*I31)*$C$6</f>
        <v>0</v>
      </c>
      <c r="O31" s="18">
        <f t="shared" ref="O31:O94" si="7">J31*$C$7</f>
        <v>0</v>
      </c>
      <c r="P31" s="18">
        <f t="shared" ref="P31:P94" si="8">K31*$C$8</f>
        <v>0</v>
      </c>
      <c r="Q31" s="18">
        <f t="shared" ref="Q31:Q94" si="9">L31*$C$9</f>
        <v>0</v>
      </c>
      <c r="R31" s="28">
        <f>((Scenario_DT!I$11*(IF(Scenario_DT!I$18=1,1,1+$M31/Scenario_DT!$C$19)*(1+$N31)^MAX(0,Scenario_DT!I$18-3))*(Scenario_DT!I$12+$O31)-Scenario_DT!I$13)*(1-Scenario_DT!I$14)+Scenario_DT!I$13-Scenario_DT!I$15)*Scenario_DT!I$16</f>
        <v>910.98453753430647</v>
      </c>
      <c r="S31" s="28">
        <f>((Scenario_DT!J$11*(IF(Scenario_DT!J$18=1,1,1+$M31/Scenario_DT!$C$19)*(1+$N31)^MAX(0,Scenario_DT!J$18-3))*(Scenario_DT!J$12+$O31)-Scenario_DT!J$13)*(1-Scenario_DT!J$14)+Scenario_DT!J$13-Scenario_DT!J$15)*Scenario_DT!J$16</f>
        <v>1831.9087759019412</v>
      </c>
      <c r="T31" s="28">
        <f>((Scenario_DT!K$11*(IF(Scenario_DT!K$18=1,1,1+$M31/Scenario_DT!$C$19)*(1+$N31)^MAX(0,Scenario_DT!K$18-3))*(Scenario_DT!K$12+$O31)-Scenario_DT!K$13)*(1-Scenario_DT!K$14)+Scenario_DT!K$13-Scenario_DT!K$15)*Scenario_DT!K$16</f>
        <v>2096.4934596780972</v>
      </c>
      <c r="U31" s="28">
        <f>((Scenario_DT!L$11*(IF(Scenario_DT!L$18=1,1,1+$M31/Scenario_DT!$C$19)*(1+$N31)^MAX(0,Scenario_DT!L$18-3))*(Scenario_DT!L$12+$O31)-Scenario_DT!L$13)*(1-Scenario_DT!L$14)+Scenario_DT!L$13-Scenario_DT!L$15)*Scenario_DT!L$16</f>
        <v>2497.5226536004984</v>
      </c>
      <c r="V31" s="28">
        <f>((Scenario_DT!M$11*(IF(Scenario_DT!M$18=1,1,1+$M31/Scenario_DT!$C$19)*(1+$N31)^MAX(0,Scenario_DT!M$18-3))*(Scenario_DT!M$12+$O31)-Scenario_DT!M$13)*(1-Scenario_DT!M$14)+Scenario_DT!M$13-Scenario_DT!M$15)*Scenario_DT!M$16</f>
        <v>2621.677356490708</v>
      </c>
      <c r="W31" s="28">
        <f>((Scenario_DT!N$11*(IF(Scenario_DT!N$18=1,1,1+$M31/Scenario_DT!$C$19)*(1+$N31)^MAX(0,Scenario_DT!N$18-3))*(Scenario_DT!N$12+$O31)-Scenario_DT!N$13)*(1-Scenario_DT!N$14)+Scenario_DT!N$13-Scenario_DT!N$15)*Scenario_DT!N$16</f>
        <v>2751.996738447408</v>
      </c>
      <c r="X31" s="28">
        <f>((Scenario_DT!O$11*(IF(Scenario_DT!O$18=1,1,1+$M31/Scenario_DT!$C$19)*(1+$N31)^MAX(0,Scenario_DT!O$18-3))*(Scenario_DT!O$12+$O31)-Scenario_DT!O$13)*(1-Scenario_DT!O$14)+Scenario_DT!O$13-Scenario_DT!O$15)*Scenario_DT!O$16</f>
        <v>2888.7892399830407</v>
      </c>
      <c r="Y31" s="28">
        <f>((Scenario_DT!P$11*(IF(Scenario_DT!P$18=1,1,1+$M31/Scenario_DT!$C$19)*(1+$N31)^MAX(0,Scenario_DT!P$18-3))*(Scenario_DT!P$12+$O31)-Scenario_DT!P$13)*(1-Scenario_DT!P$14)+Scenario_DT!P$13-Scenario_DT!P$15)*Scenario_DT!P$16</f>
        <v>3032.3787543716503</v>
      </c>
      <c r="Z31" s="28">
        <f>((Scenario_DT!Q$11*(IF(Scenario_DT!Q$18=1,1,1+$M31/Scenario_DT!$C$19)*(1+$N31)^MAX(0,Scenario_DT!Q$18-3))*(Scenario_DT!Q$12+$O31)-Scenario_DT!Q$13)*(1-Scenario_DT!Q$14)+Scenario_DT!Q$13-Scenario_DT!Q$15)*Scenario_DT!Q$16</f>
        <v>3183.1054018845025</v>
      </c>
      <c r="AA31" s="28">
        <f>((Scenario_DT!R$11*(IF(Scenario_DT!R$18=1,1,1+$M31/Scenario_DT!$C$19)*(1+$N31)^MAX(0,Scenario_DT!R$18-3))*(Scenario_DT!R$12+$O31)-Scenario_DT!R$13)*(1-Scenario_DT!R$14)+Scenario_DT!R$13-Scenario_DT!R$15)*Scenario_DT!R$16</f>
        <v>3341.3263428114983</v>
      </c>
      <c r="AB31" s="17">
        <f>(Scenario_DT!$R$11*(1+$M31/Scenario_DT!$C$19)*(1+$N31)^7*(Scenario_DT!$R$12+$O31)*(1+MIN(DCF_FCFF!$C$26+$Q31,(DCF_FCFF!$C$25+$P31)-0.02))*(1-DCF_FCFF!$C$27)*(1-DCF_FCFF!$C$28)/((DCF_FCFF!$C$25+$P31)-MIN(DCF_FCFF!$C$26+$Q31,(DCF_FCFF!$C$25+$P31)-0.02)))*(1+(DCF_FCFF!$C$25+$P31))^(-(Inputs!$C$9+9))</f>
        <v>28184.291218284681</v>
      </c>
      <c r="AC31" s="17">
        <f>SUMPRODUCT(R31:AA31*(1+(DCF_FCFF!$C$25+$P31))^(-Scenario_DT!$I$17:$R$17))+AB31</f>
        <v>44624.772822664367</v>
      </c>
      <c r="AD31" s="68">
        <f>((AC31-DCF_FCFF!$C$48)*(1-DCF_FCFF!$C$50)+DCF_FCFF!$C$57+DCF_FCFF!$C$58)/DCF_FCFF!$C$60</f>
        <v>331.89843467402909</v>
      </c>
      <c r="AE31" s="6"/>
      <c r="AF31" s="17">
        <v>100</v>
      </c>
      <c r="AG31" s="17">
        <f t="shared" ref="AG31:AG54" si="10">COUNTIFS($AD$32:$AD$531,"&gt;="&amp;AF31,$AD$32:$AD$531,"&lt;"&amp;AF31+25)</f>
        <v>0</v>
      </c>
    </row>
    <row r="32" spans="1:33" x14ac:dyDescent="0.3">
      <c r="A32" s="6"/>
      <c r="B32" s="72">
        <v>1</v>
      </c>
      <c r="C32" s="73">
        <v>0.77395604855596301</v>
      </c>
      <c r="D32" s="73">
        <v>0.43887843975205199</v>
      </c>
      <c r="E32" s="73">
        <v>0.85859791991138301</v>
      </c>
      <c r="F32" s="73">
        <v>0.69736802905936401</v>
      </c>
      <c r="G32" s="73">
        <v>9.4177347887649504E-2</v>
      </c>
      <c r="H32" s="15">
        <f t="shared" si="0"/>
        <v>0.75193873456507399</v>
      </c>
      <c r="I32" s="15">
        <f t="shared" si="1"/>
        <v>-0.15381338528610361</v>
      </c>
      <c r="J32" s="15">
        <f t="shared" si="2"/>
        <v>1.0740413253833228</v>
      </c>
      <c r="K32" s="15">
        <f t="shared" si="3"/>
        <v>0.51684560466471186</v>
      </c>
      <c r="L32" s="15">
        <f t="shared" si="4"/>
        <v>-1.3154619540328978</v>
      </c>
      <c r="M32" s="18">
        <f t="shared" si="5"/>
        <v>1.5038774691301481E-2</v>
      </c>
      <c r="N32" s="18">
        <f t="shared" si="6"/>
        <v>1.9421045454615015E-3</v>
      </c>
      <c r="O32" s="18">
        <f t="shared" si="7"/>
        <v>1.2888495904599874E-2</v>
      </c>
      <c r="P32" s="18">
        <f t="shared" si="8"/>
        <v>3.1010736279882714E-3</v>
      </c>
      <c r="Q32" s="18">
        <f t="shared" si="9"/>
        <v>-5.2618478161315912E-3</v>
      </c>
      <c r="R32" s="28">
        <f>((Scenario_DT!I$11*(IF(Scenario_DT!I$18=1,1,1+$M32/Scenario_DT!$C$19)*(1+$N32)^MAX(0,Scenario_DT!I$18-3))*(Scenario_DT!I$12+$O32)-Scenario_DT!I$13)*(1-Scenario_DT!I$14)+Scenario_DT!I$13-Scenario_DT!I$15)*Scenario_DT!I$16</f>
        <v>929.1559297457004</v>
      </c>
      <c r="S32" s="28">
        <f>((Scenario_DT!J$11*(IF(Scenario_DT!J$18=1,1,1+$M32/Scenario_DT!$C$19)*(1+$N32)^MAX(0,Scenario_DT!J$18-3))*(Scenario_DT!J$12+$O32)-Scenario_DT!J$13)*(1-Scenario_DT!J$14)+Scenario_DT!J$13-Scenario_DT!J$15)*Scenario_DT!J$16</f>
        <v>1908.6397787625829</v>
      </c>
      <c r="T32" s="28">
        <f>((Scenario_DT!K$11*(IF(Scenario_DT!K$18=1,1,1+$M32/Scenario_DT!$C$19)*(1+$N32)^MAX(0,Scenario_DT!K$18-3))*(Scenario_DT!K$12+$O32)-Scenario_DT!K$13)*(1-Scenario_DT!K$14)+Scenario_DT!K$13-Scenario_DT!K$15)*Scenario_DT!K$16</f>
        <v>2176.5232637015474</v>
      </c>
      <c r="U32" s="28">
        <f>((Scenario_DT!L$11*(IF(Scenario_DT!L$18=1,1,1+$M32/Scenario_DT!$C$19)*(1+$N32)^MAX(0,Scenario_DT!L$18-3))*(Scenario_DT!L$12+$O32)-Scenario_DT!L$13)*(1-Scenario_DT!L$14)+Scenario_DT!L$13-Scenario_DT!L$15)*Scenario_DT!L$16</f>
        <v>2587.5447118855795</v>
      </c>
      <c r="V32" s="28">
        <f>((Scenario_DT!M$11*(IF(Scenario_DT!M$18=1,1,1+$M32/Scenario_DT!$C$19)*(1+$N32)^MAX(0,Scenario_DT!M$18-3))*(Scenario_DT!M$12+$O32)-Scenario_DT!M$13)*(1-Scenario_DT!M$14)+Scenario_DT!M$13-Scenario_DT!M$15)*Scenario_DT!M$16</f>
        <v>2721.5114755728864</v>
      </c>
      <c r="W32" s="28">
        <f>((Scenario_DT!N$11*(IF(Scenario_DT!N$18=1,1,1+$M32/Scenario_DT!$C$19)*(1+$N32)^MAX(0,Scenario_DT!N$18-3))*(Scenario_DT!N$12+$O32)-Scenario_DT!N$13)*(1-Scenario_DT!N$14)+Scenario_DT!N$13-Scenario_DT!N$15)*Scenario_DT!N$16</f>
        <v>2862.409899417898</v>
      </c>
      <c r="X32" s="28">
        <f>((Scenario_DT!O$11*(IF(Scenario_DT!O$18=1,1,1+$M32/Scenario_DT!$C$19)*(1+$N32)^MAX(0,Scenario_DT!O$18-3))*(Scenario_DT!O$12+$O32)-Scenario_DT!O$13)*(1-Scenario_DT!O$14)+Scenario_DT!O$13-Scenario_DT!O$15)*Scenario_DT!O$16</f>
        <v>3010.6011554830079</v>
      </c>
      <c r="Y32" s="28">
        <f>((Scenario_DT!P$11*(IF(Scenario_DT!P$18=1,1,1+$M32/Scenario_DT!$C$19)*(1+$N32)^MAX(0,Scenario_DT!P$18-3))*(Scenario_DT!P$12+$O32)-Scenario_DT!P$13)*(1-Scenario_DT!P$14)+Scenario_DT!P$13-Scenario_DT!P$15)*Scenario_DT!P$16</f>
        <v>3166.4652536234057</v>
      </c>
      <c r="Z32" s="28">
        <f>((Scenario_DT!Q$11*(IF(Scenario_DT!Q$18=1,1,1+$M32/Scenario_DT!$C$19)*(1+$N32)^MAX(0,Scenario_DT!Q$18-3))*(Scenario_DT!Q$12+$O32)-Scenario_DT!Q$13)*(1-Scenario_DT!Q$14)+Scenario_DT!Q$13-Scenario_DT!Q$15)*Scenario_DT!Q$16</f>
        <v>3330.4020239231932</v>
      </c>
      <c r="AA32" s="28">
        <f>((Scenario_DT!R$11*(IF(Scenario_DT!R$18=1,1,1+$M32/Scenario_DT!$C$19)*(1+$N32)^MAX(0,Scenario_DT!R$18-3))*(Scenario_DT!R$12+$O32)-Scenario_DT!R$13)*(1-Scenario_DT!R$14)+Scenario_DT!R$13-Scenario_DT!R$15)*Scenario_DT!R$16</f>
        <v>3502.8321503541893</v>
      </c>
      <c r="AB32" s="17">
        <f>(Scenario_DT!$R$11*(1+$M32/Scenario_DT!$C$19)*(1+$N32)^7*(Scenario_DT!$R$12+$O32)*(1+MIN(DCF_FCFF!$C$26+$Q32,(DCF_FCFF!$C$25+$P32)-0.02))*(1-DCF_FCFF!$C$27)*(1-DCF_FCFF!$C$28)/((DCF_FCFF!$C$25+$P32)-MIN(DCF_FCFF!$C$26+$Q32,(DCF_FCFF!$C$25+$P32)-0.02)))*(1+(DCF_FCFF!$C$25+$P32))^(-(Inputs!$C$9+9))</f>
        <v>24534.63112704577</v>
      </c>
      <c r="AC32" s="17">
        <f>SUMPRODUCT(R32:AA32*(1+(DCF_FCFF!$C$25+$P32))^(-Scenario_DT!$I$17:$R$17))+AB32</f>
        <v>41415.026884128529</v>
      </c>
      <c r="AD32" s="68">
        <f>((AC32-DCF_FCFF!$C$48)*(1-DCF_FCFF!$C$50)+DCF_FCFF!$C$57+DCF_FCFF!$C$58)/DCF_FCFF!$C$60</f>
        <v>301.08882655314244</v>
      </c>
      <c r="AE32" s="6"/>
      <c r="AF32" s="17">
        <v>125</v>
      </c>
      <c r="AG32" s="17">
        <f t="shared" si="10"/>
        <v>0</v>
      </c>
    </row>
    <row r="33" spans="1:33" x14ac:dyDescent="0.3">
      <c r="A33" s="6"/>
      <c r="B33" s="72">
        <v>2</v>
      </c>
      <c r="C33" s="73">
        <v>0.97562235163675604</v>
      </c>
      <c r="D33" s="73">
        <v>0.76113970199035297</v>
      </c>
      <c r="E33" s="73">
        <v>0.78606430527695403</v>
      </c>
      <c r="F33" s="73">
        <v>0.12811363267554601</v>
      </c>
      <c r="G33" s="73">
        <v>0.45038593789556702</v>
      </c>
      <c r="H33" s="15">
        <f t="shared" si="0"/>
        <v>1.9707253727244756</v>
      </c>
      <c r="I33" s="15">
        <f t="shared" si="1"/>
        <v>0.70997345728390138</v>
      </c>
      <c r="J33" s="15">
        <f t="shared" si="2"/>
        <v>0.79283941452418794</v>
      </c>
      <c r="K33" s="15">
        <f t="shared" si="3"/>
        <v>-1.1353534262839406</v>
      </c>
      <c r="L33" s="15">
        <f t="shared" si="4"/>
        <v>-0.12468633533962142</v>
      </c>
      <c r="M33" s="18">
        <f t="shared" si="5"/>
        <v>3.941450745448951E-2</v>
      </c>
      <c r="N33" s="18">
        <f t="shared" si="6"/>
        <v>1.2801741891062099E-2</v>
      </c>
      <c r="O33" s="18">
        <f t="shared" si="7"/>
        <v>9.5140729742902563E-3</v>
      </c>
      <c r="P33" s="18">
        <f t="shared" si="8"/>
        <v>-6.8121205577036442E-3</v>
      </c>
      <c r="Q33" s="18">
        <f t="shared" si="9"/>
        <v>-4.9874534135848573E-4</v>
      </c>
      <c r="R33" s="28">
        <f>((Scenario_DT!I$11*(IF(Scenario_DT!I$18=1,1,1+$M33/Scenario_DT!$C$19)*(1+$N33)^MAX(0,Scenario_DT!I$18-3))*(Scenario_DT!I$12+$O33)-Scenario_DT!I$13)*(1-Scenario_DT!I$14)+Scenario_DT!I$13-Scenario_DT!I$15)*Scenario_DT!I$16</f>
        <v>924.39835655735874</v>
      </c>
      <c r="S33" s="28">
        <f>((Scenario_DT!J$11*(IF(Scenario_DT!J$18=1,1,1+$M33/Scenario_DT!$C$19)*(1+$N33)^MAX(0,Scenario_DT!J$18-3))*(Scenario_DT!J$12+$O33)-Scenario_DT!J$13)*(1-Scenario_DT!J$14)+Scenario_DT!J$13-Scenario_DT!J$15)*Scenario_DT!J$16</f>
        <v>1957.1620485680983</v>
      </c>
      <c r="T33" s="28">
        <f>((Scenario_DT!K$11*(IF(Scenario_DT!K$18=1,1,1+$M33/Scenario_DT!$C$19)*(1+$N33)^MAX(0,Scenario_DT!K$18-3))*(Scenario_DT!K$12+$O33)-Scenario_DT!K$13)*(1-Scenario_DT!K$14)+Scenario_DT!K$13-Scenario_DT!K$15)*Scenario_DT!K$16</f>
        <v>2227.6370531954831</v>
      </c>
      <c r="U33" s="28">
        <f>((Scenario_DT!L$11*(IF(Scenario_DT!L$18=1,1,1+$M33/Scenario_DT!$C$19)*(1+$N33)^MAX(0,Scenario_DT!L$18-3))*(Scenario_DT!L$12+$O33)-Scenario_DT!L$13)*(1-Scenario_DT!L$14)+Scenario_DT!L$13-Scenario_DT!L$15)*Scenario_DT!L$16</f>
        <v>2670.739158479973</v>
      </c>
      <c r="V33" s="28">
        <f>((Scenario_DT!M$11*(IF(Scenario_DT!M$18=1,1,1+$M33/Scenario_DT!$C$19)*(1+$N33)^MAX(0,Scenario_DT!M$18-3))*(Scenario_DT!M$12+$O33)-Scenario_DT!M$13)*(1-Scenario_DT!M$14)+Scenario_DT!M$13-Scenario_DT!M$15)*Scenario_DT!M$16</f>
        <v>2839.6811348906263</v>
      </c>
      <c r="W33" s="28">
        <f>((Scenario_DT!N$11*(IF(Scenario_DT!N$18=1,1,1+$M33/Scenario_DT!$C$19)*(1+$N33)^MAX(0,Scenario_DT!N$18-3))*(Scenario_DT!N$12+$O33)-Scenario_DT!N$13)*(1-Scenario_DT!N$14)+Scenario_DT!N$13-Scenario_DT!N$15)*Scenario_DT!N$16</f>
        <v>3019.319081997206</v>
      </c>
      <c r="X33" s="28">
        <f>((Scenario_DT!O$11*(IF(Scenario_DT!O$18=1,1,1+$M33/Scenario_DT!$C$19)*(1+$N33)^MAX(0,Scenario_DT!O$18-3))*(Scenario_DT!O$12+$O33)-Scenario_DT!O$13)*(1-Scenario_DT!O$14)+Scenario_DT!O$13-Scenario_DT!O$15)*Scenario_DT!O$16</f>
        <v>3210.333408994893</v>
      </c>
      <c r="Y33" s="28">
        <f>((Scenario_DT!P$11*(IF(Scenario_DT!P$18=1,1,1+$M33/Scenario_DT!$C$19)*(1+$N33)^MAX(0,Scenario_DT!P$18-3))*(Scenario_DT!P$12+$O33)-Scenario_DT!P$13)*(1-Scenario_DT!P$14)+Scenario_DT!P$13-Scenario_DT!P$15)*Scenario_DT!P$16</f>
        <v>3413.4478009767349</v>
      </c>
      <c r="Z33" s="28">
        <f>((Scenario_DT!Q$11*(IF(Scenario_DT!Q$18=1,1,1+$M33/Scenario_DT!$C$19)*(1+$N33)^MAX(0,Scenario_DT!Q$18-3))*(Scenario_DT!Q$12+$O33)-Scenario_DT!Q$13)*(1-Scenario_DT!Q$14)+Scenario_DT!Q$13-Scenario_DT!Q$15)*Scenario_DT!Q$16</f>
        <v>3629.4319695580516</v>
      </c>
      <c r="AA33" s="28">
        <f>((Scenario_DT!R$11*(IF(Scenario_DT!R$18=1,1,1+$M33/Scenario_DT!$C$19)*(1+$N33)^MAX(0,Scenario_DT!R$18-3))*(Scenario_DT!R$12+$O33)-Scenario_DT!R$13)*(1-Scenario_DT!R$14)+Scenario_DT!R$13-Scenario_DT!R$15)*Scenario_DT!R$16</f>
        <v>3859.1045782342653</v>
      </c>
      <c r="AB33" s="17">
        <f>(Scenario_DT!$R$11*(1+$M33/Scenario_DT!$C$19)*(1+$N33)^7*(Scenario_DT!$R$12+$O33)*(1+MIN(DCF_FCFF!$C$26+$Q33,(DCF_FCFF!$C$25+$P33)-0.02))*(1-DCF_FCFF!$C$27)*(1-DCF_FCFF!$C$28)/((DCF_FCFF!$C$25+$P33)-MIN(DCF_FCFF!$C$26+$Q33,(DCF_FCFF!$C$25+$P33)-0.02)))*(1+(DCF_FCFF!$C$25+$P33))^(-(Inputs!$C$9+9))</f>
        <v>39426.036745463811</v>
      </c>
      <c r="AC33" s="17">
        <f>SUMPRODUCT(R33:AA33*(1+(DCF_FCFF!$C$25+$P33))^(-Scenario_DT!$I$17:$R$17))+AB33</f>
        <v>57969.840442124107</v>
      </c>
      <c r="AD33" s="68">
        <f>((AC33-DCF_FCFF!$C$48)*(1-DCF_FCFF!$C$50)+DCF_FCFF!$C$57+DCF_FCFF!$C$58)/DCF_FCFF!$C$60</f>
        <v>459.9946490086258</v>
      </c>
      <c r="AE33" s="6"/>
      <c r="AF33" s="17">
        <v>150</v>
      </c>
      <c r="AG33" s="17">
        <f t="shared" si="10"/>
        <v>0</v>
      </c>
    </row>
    <row r="34" spans="1:33" x14ac:dyDescent="0.3">
      <c r="A34" s="6"/>
      <c r="B34" s="72">
        <v>3</v>
      </c>
      <c r="C34" s="73">
        <v>0.37079802423258101</v>
      </c>
      <c r="D34" s="73">
        <v>0.92676498884860203</v>
      </c>
      <c r="E34" s="73">
        <v>0.64386512008066499</v>
      </c>
      <c r="F34" s="73">
        <v>0.82276161327082997</v>
      </c>
      <c r="G34" s="73">
        <v>0.44341419882733102</v>
      </c>
      <c r="H34" s="15">
        <f t="shared" si="0"/>
        <v>-0.32974050079172895</v>
      </c>
      <c r="I34" s="15">
        <f t="shared" si="1"/>
        <v>1.452113595382315</v>
      </c>
      <c r="J34" s="15">
        <f t="shared" si="2"/>
        <v>0.36880945075430599</v>
      </c>
      <c r="K34" s="15">
        <f t="shared" si="3"/>
        <v>0.92594074820450512</v>
      </c>
      <c r="L34" s="15">
        <f t="shared" si="4"/>
        <v>-0.14231854649112052</v>
      </c>
      <c r="M34" s="18">
        <f t="shared" si="5"/>
        <v>-6.5948100158345789E-3</v>
      </c>
      <c r="N34" s="18">
        <f t="shared" si="6"/>
        <v>8.7415760990878204E-3</v>
      </c>
      <c r="O34" s="18">
        <f t="shared" si="7"/>
        <v>4.4257134090516723E-3</v>
      </c>
      <c r="P34" s="18">
        <f t="shared" si="8"/>
        <v>5.5556444892270306E-3</v>
      </c>
      <c r="Q34" s="18">
        <f t="shared" si="9"/>
        <v>-5.6927418596448213E-4</v>
      </c>
      <c r="R34" s="28">
        <f>((Scenario_DT!I$11*(IF(Scenario_DT!I$18=1,1,1+$M34/Scenario_DT!$C$19)*(1+$N34)^MAX(0,Scenario_DT!I$18-3))*(Scenario_DT!I$12+$O34)-Scenario_DT!I$13)*(1-Scenario_DT!I$14)+Scenario_DT!I$13-Scenario_DT!I$15)*Scenario_DT!I$16</f>
        <v>917.2243171615321</v>
      </c>
      <c r="S34" s="28">
        <f>((Scenario_DT!J$11*(IF(Scenario_DT!J$18=1,1,1+$M34/Scenario_DT!$C$19)*(1+$N34)^MAX(0,Scenario_DT!J$18-3))*(Scenario_DT!J$12+$O34)-Scenario_DT!J$13)*(1-Scenario_DT!J$14)+Scenario_DT!J$13-Scenario_DT!J$15)*Scenario_DT!J$16</f>
        <v>1829.7633837496837</v>
      </c>
      <c r="T34" s="28">
        <f>((Scenario_DT!K$11*(IF(Scenario_DT!K$18=1,1,1+$M34/Scenario_DT!$C$19)*(1+$N34)^MAX(0,Scenario_DT!K$18-3))*(Scenario_DT!K$12+$O34)-Scenario_DT!K$13)*(1-Scenario_DT!K$14)+Scenario_DT!K$13-Scenario_DT!K$15)*Scenario_DT!K$16</f>
        <v>2094.0458944044885</v>
      </c>
      <c r="U34" s="28">
        <f>((Scenario_DT!L$11*(IF(Scenario_DT!L$18=1,1,1+$M34/Scenario_DT!$C$19)*(1+$N34)^MAX(0,Scenario_DT!L$18-3))*(Scenario_DT!L$12+$O34)-Scenario_DT!L$13)*(1-Scenario_DT!L$14)+Scenario_DT!L$13-Scenario_DT!L$15)*Scenario_DT!L$16</f>
        <v>2516.8809650655771</v>
      </c>
      <c r="V34" s="28">
        <f>((Scenario_DT!M$11*(IF(Scenario_DT!M$18=1,1,1+$M34/Scenario_DT!$C$19)*(1+$N34)^MAX(0,Scenario_DT!M$18-3))*(Scenario_DT!M$12+$O34)-Scenario_DT!M$13)*(1-Scenario_DT!M$14)+Scenario_DT!M$13-Scenario_DT!M$15)*Scenario_DT!M$16</f>
        <v>2665.2600540364542</v>
      </c>
      <c r="W34" s="28">
        <f>((Scenario_DT!N$11*(IF(Scenario_DT!N$18=1,1,1+$M34/Scenario_DT!$C$19)*(1+$N34)^MAX(0,Scenario_DT!N$18-3))*(Scenario_DT!N$12+$O34)-Scenario_DT!N$13)*(1-Scenario_DT!N$14)+Scenario_DT!N$13-Scenario_DT!N$15)*Scenario_DT!N$16</f>
        <v>2822.391328020301</v>
      </c>
      <c r="X34" s="28">
        <f>((Scenario_DT!O$11*(IF(Scenario_DT!O$18=1,1,1+$M34/Scenario_DT!$C$19)*(1+$N34)^MAX(0,Scenario_DT!O$18-3))*(Scenario_DT!O$12+$O34)-Scenario_DT!O$13)*(1-Scenario_DT!O$14)+Scenario_DT!O$13-Scenario_DT!O$15)*Scenario_DT!O$16</f>
        <v>2988.7940496191427</v>
      </c>
      <c r="Y34" s="28">
        <f>((Scenario_DT!P$11*(IF(Scenario_DT!P$18=1,1,1+$M34/Scenario_DT!$C$19)*(1+$N34)^MAX(0,Scenario_DT!P$18-3))*(Scenario_DT!P$12+$O34)-Scenario_DT!P$13)*(1-Scenario_DT!P$14)+Scenario_DT!P$13-Scenario_DT!P$15)*Scenario_DT!P$16</f>
        <v>3165.0182952127047</v>
      </c>
      <c r="Z34" s="28">
        <f>((Scenario_DT!Q$11*(IF(Scenario_DT!Q$18=1,1,1+$M34/Scenario_DT!$C$19)*(1+$N34)^MAX(0,Scenario_DT!Q$18-3))*(Scenario_DT!Q$12+$O34)-Scenario_DT!Q$13)*(1-Scenario_DT!Q$14)+Scenario_DT!Q$13-Scenario_DT!Q$15)*Scenario_DT!Q$16</f>
        <v>3351.6467824807091</v>
      </c>
      <c r="AA34" s="28">
        <f>((Scenario_DT!R$11*(IF(Scenario_DT!R$18=1,1,1+$M34/Scenario_DT!$C$19)*(1+$N34)^MAX(0,Scenario_DT!R$18-3))*(Scenario_DT!R$12+$O34)-Scenario_DT!R$13)*(1-Scenario_DT!R$14)+Scenario_DT!R$13-Scenario_DT!R$15)*Scenario_DT!R$16</f>
        <v>3549.2968062552036</v>
      </c>
      <c r="AB34" s="17">
        <f>(Scenario_DT!$R$11*(1+$M34/Scenario_DT!$C$19)*(1+$N34)^7*(Scenario_DT!$R$12+$O34)*(1+MIN(DCF_FCFF!$C$26+$Q34,(DCF_FCFF!$C$25+$P34)-0.02))*(1-DCF_FCFF!$C$27)*(1-DCF_FCFF!$C$28)/((DCF_FCFF!$C$25+$P34)-MIN(DCF_FCFF!$C$26+$Q34,(DCF_FCFF!$C$25+$P34)-0.02)))*(1+(DCF_FCFF!$C$25+$P34))^(-(Inputs!$C$9+9))</f>
        <v>25413.447972386966</v>
      </c>
      <c r="AC34" s="17">
        <f>SUMPRODUCT(R34:AA34*(1+(DCF_FCFF!$C$25+$P34))^(-Scenario_DT!$I$17:$R$17))+AB34</f>
        <v>41867.335088557185</v>
      </c>
      <c r="AD34" s="68">
        <f>((AC34-DCF_FCFF!$C$48)*(1-DCF_FCFF!$C$50)+DCF_FCFF!$C$57+DCF_FCFF!$C$58)/DCF_FCFF!$C$60</f>
        <v>305.43042828585334</v>
      </c>
      <c r="AE34" s="6"/>
      <c r="AF34" s="17">
        <v>175</v>
      </c>
      <c r="AG34" s="17">
        <f t="shared" si="10"/>
        <v>1</v>
      </c>
    </row>
    <row r="35" spans="1:33" x14ac:dyDescent="0.3">
      <c r="A35" s="6"/>
      <c r="B35" s="72">
        <v>4</v>
      </c>
      <c r="C35" s="73">
        <v>0.227238721784777</v>
      </c>
      <c r="D35" s="73">
        <v>0.55458478701583502</v>
      </c>
      <c r="E35" s="73">
        <v>6.3817256104175296E-2</v>
      </c>
      <c r="F35" s="73">
        <v>0.82763117199258196</v>
      </c>
      <c r="G35" s="73">
        <v>0.63166439912206496</v>
      </c>
      <c r="H35" s="15">
        <f t="shared" si="0"/>
        <v>-0.74797134204345872</v>
      </c>
      <c r="I35" s="15">
        <f t="shared" si="1"/>
        <v>0.13725349766426928</v>
      </c>
      <c r="J35" s="15">
        <f t="shared" si="2"/>
        <v>-1.5234965938999852</v>
      </c>
      <c r="K35" s="15">
        <f t="shared" si="3"/>
        <v>0.94484570135639412</v>
      </c>
      <c r="L35" s="15">
        <f t="shared" si="4"/>
        <v>0.33626478638116125</v>
      </c>
      <c r="M35" s="18">
        <f t="shared" si="5"/>
        <v>-1.4959426840869174E-2</v>
      </c>
      <c r="N35" s="18">
        <f t="shared" si="6"/>
        <v>-2.0409652422896329E-3</v>
      </c>
      <c r="O35" s="18">
        <f t="shared" si="7"/>
        <v>-1.8281959126799821E-2</v>
      </c>
      <c r="P35" s="18">
        <f t="shared" si="8"/>
        <v>5.6690742081383647E-3</v>
      </c>
      <c r="Q35" s="18">
        <f t="shared" si="9"/>
        <v>1.3450591455246451E-3</v>
      </c>
      <c r="R35" s="28">
        <f>((Scenario_DT!I$11*(IF(Scenario_DT!I$18=1,1,1+$M35/Scenario_DT!$C$19)*(1+$N35)^MAX(0,Scenario_DT!I$18-3))*(Scenario_DT!I$12+$O35)-Scenario_DT!I$13)*(1-Scenario_DT!I$14)+Scenario_DT!I$13-Scenario_DT!I$15)*Scenario_DT!I$16</f>
        <v>885.20894260494117</v>
      </c>
      <c r="S35" s="28">
        <f>((Scenario_DT!J$11*(IF(Scenario_DT!J$18=1,1,1+$M35/Scenario_DT!$C$19)*(1+$N35)^MAX(0,Scenario_DT!J$18-3))*(Scenario_DT!J$12+$O35)-Scenario_DT!J$13)*(1-Scenario_DT!J$14)+Scenario_DT!J$13-Scenario_DT!J$15)*Scenario_DT!J$16</f>
        <v>1740.1503036672107</v>
      </c>
      <c r="T35" s="28">
        <f>((Scenario_DT!K$11*(IF(Scenario_DT!K$18=1,1,1+$M35/Scenario_DT!$C$19)*(1+$N35)^MAX(0,Scenario_DT!K$18-3))*(Scenario_DT!K$12+$O35)-Scenario_DT!K$13)*(1-Scenario_DT!K$14)+Scenario_DT!K$13-Scenario_DT!K$15)*Scenario_DT!K$16</f>
        <v>2000.8929721878867</v>
      </c>
      <c r="U35" s="28">
        <f>((Scenario_DT!L$11*(IF(Scenario_DT!L$18=1,1,1+$M35/Scenario_DT!$C$19)*(1+$N35)^MAX(0,Scenario_DT!L$18-3))*(Scenario_DT!L$12+$O35)-Scenario_DT!L$13)*(1-Scenario_DT!L$14)+Scenario_DT!L$13-Scenario_DT!L$15)*Scenario_DT!L$16</f>
        <v>2391.0916252777697</v>
      </c>
      <c r="V35" s="28">
        <f>((Scenario_DT!M$11*(IF(Scenario_DT!M$18=1,1,1+$M35/Scenario_DT!$C$19)*(1+$N35)^MAX(0,Scenario_DT!M$18-3))*(Scenario_DT!M$12+$O35)-Scenario_DT!M$13)*(1-Scenario_DT!M$14)+Scenario_DT!M$13-Scenario_DT!M$15)*Scenario_DT!M$16</f>
        <v>2504.7644720141739</v>
      </c>
      <c r="W35" s="28">
        <f>((Scenario_DT!N$11*(IF(Scenario_DT!N$18=1,1,1+$M35/Scenario_DT!$C$19)*(1+$N35)^MAX(0,Scenario_DT!N$18-3))*(Scenario_DT!N$12+$O35)-Scenario_DT!N$13)*(1-Scenario_DT!N$14)+Scenario_DT!N$13-Scenario_DT!N$15)*Scenario_DT!N$16</f>
        <v>2623.830948375235</v>
      </c>
      <c r="X35" s="28">
        <f>((Scenario_DT!O$11*(IF(Scenario_DT!O$18=1,1,1+$M35/Scenario_DT!$C$19)*(1+$N35)^MAX(0,Scenario_DT!O$18-3))*(Scenario_DT!O$12+$O35)-Scenario_DT!O$13)*(1-Scenario_DT!O$14)+Scenario_DT!O$13-Scenario_DT!O$15)*Scenario_DT!O$16</f>
        <v>2748.5491238009968</v>
      </c>
      <c r="Y35" s="28">
        <f>((Scenario_DT!P$11*(IF(Scenario_DT!P$18=1,1,1+$M35/Scenario_DT!$C$19)*(1+$N35)^MAX(0,Scenario_DT!P$18-3))*(Scenario_DT!P$12+$O35)-Scenario_DT!P$13)*(1-Scenario_DT!P$14)+Scenario_DT!P$13-Scenario_DT!P$15)*Scenario_DT!P$16</f>
        <v>2879.1894363368933</v>
      </c>
      <c r="Z35" s="28">
        <f>((Scenario_DT!Q$11*(IF(Scenario_DT!Q$18=1,1,1+$M35/Scenario_DT!$C$19)*(1+$N35)^MAX(0,Scenario_DT!Q$18-3))*(Scenario_DT!Q$12+$O35)-Scenario_DT!Q$13)*(1-Scenario_DT!Q$14)+Scenario_DT!Q$13-Scenario_DT!Q$15)*Scenario_DT!Q$16</f>
        <v>3016.0352855935157</v>
      </c>
      <c r="AA35" s="28">
        <f>((Scenario_DT!R$11*(IF(Scenario_DT!R$18=1,1,1+$M35/Scenario_DT!$C$19)*(1+$N35)^MAX(0,Scenario_DT!R$18-3))*(Scenario_DT!R$12+$O35)-Scenario_DT!R$13)*(1-Scenario_DT!R$14)+Scenario_DT!R$13-Scenario_DT!R$15)*Scenario_DT!R$16</f>
        <v>3159.3836541329965</v>
      </c>
      <c r="AB35" s="17">
        <f>(Scenario_DT!$R$11*(1+$M35/Scenario_DT!$C$19)*(1+$N35)^7*(Scenario_DT!$R$12+$O35)*(1+MIN(DCF_FCFF!$C$26+$Q35,(DCF_FCFF!$C$25+$P35)-0.02))*(1-DCF_FCFF!$C$27)*(1-DCF_FCFF!$C$28)/((DCF_FCFF!$C$25+$P35)-MIN(DCF_FCFF!$C$26+$Q35,(DCF_FCFF!$C$25+$P35)-0.02)))*(1+(DCF_FCFF!$C$25+$P35))^(-(Inputs!$C$9+9))</f>
        <v>23408.957115138379</v>
      </c>
      <c r="AC35" s="17">
        <f>SUMPRODUCT(R35:AA35*(1+(DCF_FCFF!$C$25+$P35))^(-Scenario_DT!$I$17:$R$17))+AB35</f>
        <v>38708.300802555241</v>
      </c>
      <c r="AD35" s="68">
        <f>((AC35-DCF_FCFF!$C$48)*(1-DCF_FCFF!$C$50)+DCF_FCFF!$C$57+DCF_FCFF!$C$58)/DCF_FCFF!$C$60</f>
        <v>275.10758957651848</v>
      </c>
      <c r="AE35" s="6"/>
      <c r="AF35" s="17">
        <v>200</v>
      </c>
      <c r="AG35" s="17">
        <f t="shared" si="10"/>
        <v>3</v>
      </c>
    </row>
    <row r="36" spans="1:33" x14ac:dyDescent="0.3">
      <c r="A36" s="6"/>
      <c r="B36" s="72">
        <v>5</v>
      </c>
      <c r="C36" s="73">
        <v>0.75808774008537405</v>
      </c>
      <c r="D36" s="73">
        <v>0.35452596812986797</v>
      </c>
      <c r="E36" s="73">
        <v>0.97069802439490305</v>
      </c>
      <c r="F36" s="73">
        <v>0.89312112132219801</v>
      </c>
      <c r="G36" s="73">
        <v>0.77838349707376198</v>
      </c>
      <c r="H36" s="15">
        <f t="shared" si="0"/>
        <v>0.70016459446577073</v>
      </c>
      <c r="I36" s="15">
        <f t="shared" si="1"/>
        <v>-0.37312967130680186</v>
      </c>
      <c r="J36" s="15">
        <f t="shared" si="2"/>
        <v>1.8911527906865049</v>
      </c>
      <c r="K36" s="15">
        <f t="shared" si="3"/>
        <v>1.2432987698635765</v>
      </c>
      <c r="L36" s="15">
        <f t="shared" si="4"/>
        <v>0.76674523031891151</v>
      </c>
      <c r="M36" s="18">
        <f t="shared" si="5"/>
        <v>1.4003291889315414E-2</v>
      </c>
      <c r="N36" s="18">
        <f t="shared" si="6"/>
        <v>2.1554018380365926E-4</v>
      </c>
      <c r="O36" s="18">
        <f t="shared" si="7"/>
        <v>2.2693833488238058E-2</v>
      </c>
      <c r="P36" s="18">
        <f t="shared" si="8"/>
        <v>7.4597926191814585E-3</v>
      </c>
      <c r="Q36" s="18">
        <f t="shared" si="9"/>
        <v>3.066980921275646E-3</v>
      </c>
      <c r="R36" s="28">
        <f>((Scenario_DT!I$11*(IF(Scenario_DT!I$18=1,1,1+$M36/Scenario_DT!$C$19)*(1+$N36)^MAX(0,Scenario_DT!I$18-3))*(Scenario_DT!I$12+$O36)-Scenario_DT!I$13)*(1-Scenario_DT!I$14)+Scenario_DT!I$13-Scenario_DT!I$15)*Scenario_DT!I$16</f>
        <v>942.98040052307192</v>
      </c>
      <c r="S36" s="28">
        <f>((Scenario_DT!J$11*(IF(Scenario_DT!J$18=1,1,1+$M36/Scenario_DT!$C$19)*(1+$N36)^MAX(0,Scenario_DT!J$18-3))*(Scenario_DT!J$12+$O36)-Scenario_DT!J$13)*(1-Scenario_DT!J$14)+Scenario_DT!J$13-Scenario_DT!J$15)*Scenario_DT!J$16</f>
        <v>1937.0402916310941</v>
      </c>
      <c r="T36" s="28">
        <f>((Scenario_DT!K$11*(IF(Scenario_DT!K$18=1,1,1+$M36/Scenario_DT!$C$19)*(1+$N36)^MAX(0,Scenario_DT!K$18-3))*(Scenario_DT!K$12+$O36)-Scenario_DT!K$13)*(1-Scenario_DT!K$14)+Scenario_DT!K$13-Scenario_DT!K$15)*Scenario_DT!K$16</f>
        <v>2205.9202909768933</v>
      </c>
      <c r="U36" s="28">
        <f>((Scenario_DT!L$11*(IF(Scenario_DT!L$18=1,1,1+$M36/Scenario_DT!$C$19)*(1+$N36)^MAX(0,Scenario_DT!L$18-3))*(Scenario_DT!L$12+$O36)-Scenario_DT!L$13)*(1-Scenario_DT!L$14)+Scenario_DT!L$13-Scenario_DT!L$15)*Scenario_DT!L$16</f>
        <v>2614.2765458651752</v>
      </c>
      <c r="V36" s="28">
        <f>((Scenario_DT!M$11*(IF(Scenario_DT!M$18=1,1,1+$M36/Scenario_DT!$C$19)*(1+$N36)^MAX(0,Scenario_DT!M$18-3))*(Scenario_DT!M$12+$O36)-Scenario_DT!M$13)*(1-Scenario_DT!M$14)+Scenario_DT!M$13-Scenario_DT!M$15)*Scenario_DT!M$16</f>
        <v>2744.8644181735262</v>
      </c>
      <c r="W36" s="28">
        <f>((Scenario_DT!N$11*(IF(Scenario_DT!N$18=1,1,1+$M36/Scenario_DT!$C$19)*(1+$N36)^MAX(0,Scenario_DT!N$18-3))*(Scenario_DT!N$12+$O36)-Scenario_DT!N$13)*(1-Scenario_DT!N$14)+Scenario_DT!N$13-Scenario_DT!N$15)*Scenario_DT!N$16</f>
        <v>2881.9685365257064</v>
      </c>
      <c r="X36" s="28">
        <f>((Scenario_DT!O$11*(IF(Scenario_DT!O$18=1,1,1+$M36/Scenario_DT!$C$19)*(1+$N36)^MAX(0,Scenario_DT!O$18-3))*(Scenario_DT!O$12+$O36)-Scenario_DT!O$13)*(1-Scenario_DT!O$14)+Scenario_DT!O$13-Scenario_DT!O$15)*Scenario_DT!O$16</f>
        <v>3025.916421977156</v>
      </c>
      <c r="Y36" s="28">
        <f>((Scenario_DT!P$11*(IF(Scenario_DT!P$18=1,1,1+$M36/Scenario_DT!$C$19)*(1+$N36)^MAX(0,Scenario_DT!P$18-3))*(Scenario_DT!P$12+$O36)-Scenario_DT!P$13)*(1-Scenario_DT!P$14)+Scenario_DT!P$13-Scenario_DT!P$15)*Scenario_DT!P$16</f>
        <v>3177.0520778217447</v>
      </c>
      <c r="Z36" s="28">
        <f>((Scenario_DT!Q$11*(IF(Scenario_DT!Q$18=1,1,1+$M36/Scenario_DT!$C$19)*(1+$N36)^MAX(0,Scenario_DT!Q$18-3))*(Scenario_DT!Q$12+$O36)-Scenario_DT!Q$13)*(1-Scenario_DT!Q$14)+Scenario_DT!Q$13-Scenario_DT!Q$15)*Scenario_DT!Q$16</f>
        <v>3335.7368190907951</v>
      </c>
      <c r="AA36" s="28">
        <f>((Scenario_DT!R$11*(IF(Scenario_DT!R$18=1,1,1+$M36/Scenario_DT!$C$19)*(1+$N36)^MAX(0,Scenario_DT!R$18-3))*(Scenario_DT!R$12+$O36)-Scenario_DT!R$13)*(1-Scenario_DT!R$14)+Scenario_DT!R$13-Scenario_DT!R$15)*Scenario_DT!R$16</f>
        <v>3502.3501437914015</v>
      </c>
      <c r="AB36" s="17">
        <f>(Scenario_DT!$R$11*(1+$M36/Scenario_DT!$C$19)*(1+$N36)^7*(Scenario_DT!$R$12+$O36)*(1+MIN(DCF_FCFF!$C$26+$Q36,(DCF_FCFF!$C$25+$P36)-0.02))*(1-DCF_FCFF!$C$27)*(1-DCF_FCFF!$C$28)/((DCF_FCFF!$C$25+$P36)-MIN(DCF_FCFF!$C$26+$Q36,(DCF_FCFF!$C$25+$P36)-0.02)))*(1+(DCF_FCFF!$C$25+$P36))^(-(Inputs!$C$9+9))</f>
        <v>25539.944351720384</v>
      </c>
      <c r="AC36" s="17">
        <f>SUMPRODUCT(R36:AA36*(1+(DCF_FCFF!$C$25+$P36))^(-Scenario_DT!$I$17:$R$17))+AB36</f>
        <v>42244.57949247252</v>
      </c>
      <c r="AD36" s="68">
        <f>((AC36-DCF_FCFF!$C$48)*(1-DCF_FCFF!$C$50)+DCF_FCFF!$C$57+DCF_FCFF!$C$58)/DCF_FCFF!$C$60</f>
        <v>309.05150997673968</v>
      </c>
      <c r="AE36" s="6"/>
      <c r="AF36" s="17">
        <v>225</v>
      </c>
      <c r="AG36" s="17">
        <f t="shared" si="10"/>
        <v>22</v>
      </c>
    </row>
    <row r="37" spans="1:33" x14ac:dyDescent="0.3">
      <c r="A37" s="6"/>
      <c r="B37" s="72">
        <v>6</v>
      </c>
      <c r="C37" s="73">
        <v>0.19463870785196799</v>
      </c>
      <c r="D37" s="73">
        <v>0.46672100372703401</v>
      </c>
      <c r="E37" s="73">
        <v>4.3803765787228797E-2</v>
      </c>
      <c r="F37" s="73">
        <v>0.154289492067548</v>
      </c>
      <c r="G37" s="73">
        <v>0.68304895324245496</v>
      </c>
      <c r="H37" s="15">
        <f t="shared" si="0"/>
        <v>-0.86092851467286557</v>
      </c>
      <c r="I37" s="15">
        <f t="shared" si="1"/>
        <v>-8.3515054494287672E-2</v>
      </c>
      <c r="J37" s="15">
        <f t="shared" si="2"/>
        <v>-1.7081552924063597</v>
      </c>
      <c r="K37" s="15">
        <f t="shared" si="3"/>
        <v>-1.0182082825907353</v>
      </c>
      <c r="L37" s="15">
        <f t="shared" si="4"/>
        <v>0.47624184171695938</v>
      </c>
      <c r="M37" s="18">
        <f t="shared" si="5"/>
        <v>-1.7218570293457313E-2</v>
      </c>
      <c r="N37" s="18">
        <f t="shared" si="6"/>
        <v>-4.0223233290154212E-3</v>
      </c>
      <c r="O37" s="18">
        <f t="shared" si="7"/>
        <v>-2.0497863508876318E-2</v>
      </c>
      <c r="P37" s="18">
        <f t="shared" si="8"/>
        <v>-6.1092496955444118E-3</v>
      </c>
      <c r="Q37" s="18">
        <f t="shared" si="9"/>
        <v>1.9049673668678376E-3</v>
      </c>
      <c r="R37" s="28">
        <f>((Scenario_DT!I$11*(IF(Scenario_DT!I$18=1,1,1+$M37/Scenario_DT!$C$19)*(1+$N37)^MAX(0,Scenario_DT!I$18-3))*(Scenario_DT!I$12+$O37)-Scenario_DT!I$13)*(1-Scenario_DT!I$14)+Scenario_DT!I$13-Scenario_DT!I$15)*Scenario_DT!I$16</f>
        <v>882.08475589396198</v>
      </c>
      <c r="S37" s="28">
        <f>((Scenario_DT!J$11*(IF(Scenario_DT!J$18=1,1,1+$M37/Scenario_DT!$C$19)*(1+$N37)^MAX(0,Scenario_DT!J$18-3))*(Scenario_DT!J$12+$O37)-Scenario_DT!J$13)*(1-Scenario_DT!J$14)+Scenario_DT!J$13-Scenario_DT!J$15)*Scenario_DT!J$16</f>
        <v>1728.1128778154475</v>
      </c>
      <c r="T37" s="28">
        <f>((Scenario_DT!K$11*(IF(Scenario_DT!K$18=1,1,1+$M37/Scenario_DT!$C$19)*(1+$N37)^MAX(0,Scenario_DT!K$18-3))*(Scenario_DT!K$12+$O37)-Scenario_DT!K$13)*(1-Scenario_DT!K$14)+Scenario_DT!K$13-Scenario_DT!K$15)*Scenario_DT!K$16</f>
        <v>1988.3414402082944</v>
      </c>
      <c r="U37" s="28">
        <f>((Scenario_DT!L$11*(IF(Scenario_DT!L$18=1,1,1+$M37/Scenario_DT!$C$19)*(1+$N37)^MAX(0,Scenario_DT!L$18-3))*(Scenario_DT!L$12+$O37)-Scenario_DT!L$13)*(1-Scenario_DT!L$14)+Scenario_DT!L$13-Scenario_DT!L$15)*Scenario_DT!L$16</f>
        <v>2373.0375008264896</v>
      </c>
      <c r="V37" s="28">
        <f>((Scenario_DT!M$11*(IF(Scenario_DT!M$18=1,1,1+$M37/Scenario_DT!$C$19)*(1+$N37)^MAX(0,Scenario_DT!M$18-3))*(Scenario_DT!M$12+$O37)-Scenario_DT!M$13)*(1-Scenario_DT!M$14)+Scenario_DT!M$13-Scenario_DT!M$15)*Scenario_DT!M$16</f>
        <v>2480.8742957406635</v>
      </c>
      <c r="W37" s="28">
        <f>((Scenario_DT!N$11*(IF(Scenario_DT!N$18=1,1,1+$M37/Scenario_DT!$C$19)*(1+$N37)^MAX(0,Scenario_DT!N$18-3))*(Scenario_DT!N$12+$O37)-Scenario_DT!N$13)*(1-Scenario_DT!N$14)+Scenario_DT!N$13-Scenario_DT!N$15)*Scenario_DT!N$16</f>
        <v>2593.5978217271468</v>
      </c>
      <c r="X37" s="28">
        <f>((Scenario_DT!O$11*(IF(Scenario_DT!O$18=1,1,1+$M37/Scenario_DT!$C$19)*(1+$N37)^MAX(0,Scenario_DT!O$18-3))*(Scenario_DT!O$12+$O37)-Scenario_DT!O$13)*(1-Scenario_DT!O$14)+Scenario_DT!O$13-Scenario_DT!O$15)*Scenario_DT!O$16</f>
        <v>2711.4314707200842</v>
      </c>
      <c r="Y37" s="28">
        <f>((Scenario_DT!P$11*(IF(Scenario_DT!P$18=1,1,1+$M37/Scenario_DT!$C$19)*(1+$N37)^MAX(0,Scenario_DT!P$18-3))*(Scenario_DT!P$12+$O37)-Scenario_DT!P$13)*(1-Scenario_DT!P$14)+Scenario_DT!P$13-Scenario_DT!P$15)*Scenario_DT!P$16</f>
        <v>2834.6088667581012</v>
      </c>
      <c r="Z37" s="28">
        <f>((Scenario_DT!Q$11*(IF(Scenario_DT!Q$18=1,1,1+$M37/Scenario_DT!$C$19)*(1+$N37)^MAX(0,Scenario_DT!Q$18-3))*(Scenario_DT!Q$12+$O37)-Scenario_DT!Q$13)*(1-Scenario_DT!Q$14)+Scenario_DT!Q$13-Scenario_DT!Q$15)*Scenario_DT!Q$16</f>
        <v>2963.3743348649123</v>
      </c>
      <c r="AA37" s="28">
        <f>((Scenario_DT!R$11*(IF(Scenario_DT!R$18=1,1,1+$M37/Scenario_DT!$C$19)*(1+$N37)^MAX(0,Scenario_DT!R$18-3))*(Scenario_DT!R$12+$O37)-Scenario_DT!R$13)*(1-Scenario_DT!R$14)+Scenario_DT!R$13-Scenario_DT!R$15)*Scenario_DT!R$16</f>
        <v>3097.9833914190476</v>
      </c>
      <c r="AB37" s="17">
        <f>(Scenario_DT!$R$11*(1+$M37/Scenario_DT!$C$19)*(1+$N37)^7*(Scenario_DT!$R$12+$O37)*(1+MIN(DCF_FCFF!$C$26+$Q37,(DCF_FCFF!$C$25+$P37)-0.02))*(1-DCF_FCFF!$C$27)*(1-DCF_FCFF!$C$28)/((DCF_FCFF!$C$25+$P37)-MIN(DCF_FCFF!$C$26+$Q37,(DCF_FCFF!$C$25+$P37)-0.02)))*(1+(DCF_FCFF!$C$25+$P37))^(-(Inputs!$C$9+9))</f>
        <v>32852.821169903087</v>
      </c>
      <c r="AC37" s="17">
        <f>SUMPRODUCT(R37:AA37*(1+(DCF_FCFF!$C$25+$P37))^(-Scenario_DT!$I$17:$R$17))+AB37</f>
        <v>48748.856198889393</v>
      </c>
      <c r="AD37" s="68">
        <f>((AC37-DCF_FCFF!$C$48)*(1-DCF_FCFF!$C$50)+DCF_FCFF!$C$57+DCF_FCFF!$C$58)/DCF_FCFF!$C$60</f>
        <v>371.48455616541315</v>
      </c>
      <c r="AE37" s="6"/>
      <c r="AF37" s="17">
        <v>250</v>
      </c>
      <c r="AG37" s="17">
        <f t="shared" si="10"/>
        <v>39</v>
      </c>
    </row>
    <row r="38" spans="1:33" x14ac:dyDescent="0.3">
      <c r="A38" s="6"/>
      <c r="B38" s="72">
        <v>7</v>
      </c>
      <c r="C38" s="73">
        <v>0.74476215590781703</v>
      </c>
      <c r="D38" s="73">
        <v>0.96750973243421001</v>
      </c>
      <c r="E38" s="73">
        <v>0.325825358138152</v>
      </c>
      <c r="F38" s="73">
        <v>0.370459706034869</v>
      </c>
      <c r="G38" s="73">
        <v>0.46955581127580798</v>
      </c>
      <c r="H38" s="15">
        <f t="shared" si="0"/>
        <v>0.65809717942278023</v>
      </c>
      <c r="I38" s="15">
        <f t="shared" si="1"/>
        <v>1.8453920062595828</v>
      </c>
      <c r="J38" s="15">
        <f t="shared" si="2"/>
        <v>-0.4514701747384442</v>
      </c>
      <c r="K38" s="15">
        <f t="shared" si="3"/>
        <v>-0.3306360503645091</v>
      </c>
      <c r="L38" s="15">
        <f t="shared" si="4"/>
        <v>-7.638648380059973E-2</v>
      </c>
      <c r="M38" s="18">
        <f t="shared" si="5"/>
        <v>1.3161943588455604E-2</v>
      </c>
      <c r="N38" s="18">
        <f t="shared" si="6"/>
        <v>1.5417639576583366E-2</v>
      </c>
      <c r="O38" s="18">
        <f t="shared" si="7"/>
        <v>-5.4176420968613309E-3</v>
      </c>
      <c r="P38" s="18">
        <f t="shared" si="8"/>
        <v>-1.9838163021870547E-3</v>
      </c>
      <c r="Q38" s="18">
        <f t="shared" si="9"/>
        <v>-3.0554593520239892E-4</v>
      </c>
      <c r="R38" s="28">
        <f>((Scenario_DT!I$11*(IF(Scenario_DT!I$18=1,1,1+$M38/Scenario_DT!$C$19)*(1+$N38)^MAX(0,Scenario_DT!I$18-3))*(Scenario_DT!I$12+$O38)-Scenario_DT!I$13)*(1-Scenario_DT!I$14)+Scenario_DT!I$13-Scenario_DT!I$15)*Scenario_DT!I$16</f>
        <v>903.34624520510681</v>
      </c>
      <c r="S38" s="28">
        <f>((Scenario_DT!J$11*(IF(Scenario_DT!J$18=1,1,1+$M38/Scenario_DT!$C$19)*(1+$N38)^MAX(0,Scenario_DT!J$18-3))*(Scenario_DT!J$12+$O38)-Scenario_DT!J$13)*(1-Scenario_DT!J$14)+Scenario_DT!J$13-Scenario_DT!J$15)*Scenario_DT!J$16</f>
        <v>1846.3760942399267</v>
      </c>
      <c r="T38" s="28">
        <f>((Scenario_DT!K$11*(IF(Scenario_DT!K$18=1,1,1+$M38/Scenario_DT!$C$19)*(1+$N38)^MAX(0,Scenario_DT!K$18-3))*(Scenario_DT!K$12+$O38)-Scenario_DT!K$13)*(1-Scenario_DT!K$14)+Scenario_DT!K$13-Scenario_DT!K$15)*Scenario_DT!K$16</f>
        <v>2111.9338723829669</v>
      </c>
      <c r="U38" s="28">
        <f>((Scenario_DT!L$11*(IF(Scenario_DT!L$18=1,1,1+$M38/Scenario_DT!$C$19)*(1+$N38)^MAX(0,Scenario_DT!L$18-3))*(Scenario_DT!L$12+$O38)-Scenario_DT!L$13)*(1-Scenario_DT!L$14)+Scenario_DT!L$13-Scenario_DT!L$15)*Scenario_DT!L$16</f>
        <v>2552.9357650450825</v>
      </c>
      <c r="V38" s="28">
        <f>((Scenario_DT!M$11*(IF(Scenario_DT!M$18=1,1,1+$M38/Scenario_DT!$C$19)*(1+$N38)^MAX(0,Scenario_DT!M$18-3))*(Scenario_DT!M$12+$O38)-Scenario_DT!M$13)*(1-Scenario_DT!M$14)+Scenario_DT!M$13-Scenario_DT!M$15)*Scenario_DT!M$16</f>
        <v>2721.4625585183862</v>
      </c>
      <c r="W38" s="28">
        <f>((Scenario_DT!N$11*(IF(Scenario_DT!N$18=1,1,1+$M38/Scenario_DT!$C$19)*(1+$N38)^MAX(0,Scenario_DT!N$18-3))*(Scenario_DT!N$12+$O38)-Scenario_DT!N$13)*(1-Scenario_DT!N$14)+Scenario_DT!N$13-Scenario_DT!N$15)*Scenario_DT!N$16</f>
        <v>2901.1261730652873</v>
      </c>
      <c r="X38" s="28">
        <f>((Scenario_DT!O$11*(IF(Scenario_DT!O$18=1,1,1+$M38/Scenario_DT!$C$19)*(1+$N38)^MAX(0,Scenario_DT!O$18-3))*(Scenario_DT!O$12+$O38)-Scenario_DT!O$13)*(1-Scenario_DT!O$14)+Scenario_DT!O$13-Scenario_DT!O$15)*Scenario_DT!O$16</f>
        <v>3092.6659088732972</v>
      </c>
      <c r="Y38" s="28">
        <f>((Scenario_DT!P$11*(IF(Scenario_DT!P$18=1,1,1+$M38/Scenario_DT!$C$19)*(1+$N38)^MAX(0,Scenario_DT!P$18-3))*(Scenario_DT!P$12+$O38)-Scenario_DT!P$13)*(1-Scenario_DT!P$14)+Scenario_DT!P$13-Scenario_DT!P$15)*Scenario_DT!P$16</f>
        <v>3296.8701249037517</v>
      </c>
      <c r="Z38" s="28">
        <f>((Scenario_DT!Q$11*(IF(Scenario_DT!Q$18=1,1,1+$M38/Scenario_DT!$C$19)*(1+$N38)^MAX(0,Scenario_DT!Q$18-3))*(Scenario_DT!Q$12+$O38)-Scenario_DT!Q$13)*(1-Scenario_DT!Q$14)+Scenario_DT!Q$13-Scenario_DT!Q$15)*Scenario_DT!Q$16</f>
        <v>3514.5794918620622</v>
      </c>
      <c r="AA38" s="28">
        <f>((Scenario_DT!R$11*(IF(Scenario_DT!R$18=1,1,1+$M38/Scenario_DT!$C$19)*(1+$N38)^MAX(0,Scenario_DT!R$18-3))*(Scenario_DT!R$12+$O38)-Scenario_DT!R$13)*(1-Scenario_DT!R$14)+Scenario_DT!R$13-Scenario_DT!R$15)*Scenario_DT!R$16</f>
        <v>3746.6904607376619</v>
      </c>
      <c r="AB38" s="17">
        <f>(Scenario_DT!$R$11*(1+$M38/Scenario_DT!$C$19)*(1+$N38)^7*(Scenario_DT!$R$12+$O38)*(1+MIN(DCF_FCFF!$C$26+$Q38,(DCF_FCFF!$C$25+$P38)-0.02))*(1-DCF_FCFF!$C$27)*(1-DCF_FCFF!$C$28)/((DCF_FCFF!$C$25+$P38)-MIN(DCF_FCFF!$C$26+$Q38,(DCF_FCFF!$C$25+$P38)-0.02)))*(1+(DCF_FCFF!$C$25+$P38))^(-(Inputs!$C$9+9))</f>
        <v>33221.088114941515</v>
      </c>
      <c r="AC38" s="17">
        <f>SUMPRODUCT(R38:AA38*(1+(DCF_FCFF!$C$25+$P38))^(-Scenario_DT!$I$17:$R$17))+AB38</f>
        <v>50659.102665004568</v>
      </c>
      <c r="AD38" s="68">
        <f>((AC38-DCF_FCFF!$C$48)*(1-DCF_FCFF!$C$50)+DCF_FCFF!$C$57+DCF_FCFF!$C$58)/DCF_FCFF!$C$60</f>
        <v>389.82056971985782</v>
      </c>
      <c r="AE38" s="6"/>
      <c r="AF38" s="17">
        <v>275</v>
      </c>
      <c r="AG38" s="17">
        <f t="shared" si="10"/>
        <v>65</v>
      </c>
    </row>
    <row r="39" spans="1:33" x14ac:dyDescent="0.3">
      <c r="A39" s="6"/>
      <c r="B39" s="72">
        <v>8</v>
      </c>
      <c r="C39" s="73">
        <v>0.189471359084286</v>
      </c>
      <c r="D39" s="73">
        <v>0.129921505335472</v>
      </c>
      <c r="E39" s="73">
        <v>0.47570492622593402</v>
      </c>
      <c r="F39" s="73">
        <v>0.226909349050884</v>
      </c>
      <c r="G39" s="73">
        <v>0.66981399468251002</v>
      </c>
      <c r="H39" s="15">
        <f t="shared" si="0"/>
        <v>-0.87984604271130795</v>
      </c>
      <c r="I39" s="15">
        <f t="shared" si="1"/>
        <v>-1.1267622606366952</v>
      </c>
      <c r="J39" s="15">
        <f t="shared" si="2"/>
        <v>-6.0936409840988623E-2</v>
      </c>
      <c r="K39" s="15">
        <f t="shared" si="3"/>
        <v>-0.74906389009063024</v>
      </c>
      <c r="L39" s="15">
        <f t="shared" si="4"/>
        <v>0.43939960782735049</v>
      </c>
      <c r="M39" s="18">
        <f t="shared" si="5"/>
        <v>-1.7596920854226161E-2</v>
      </c>
      <c r="N39" s="18">
        <f t="shared" si="6"/>
        <v>-1.1325822104740918E-2</v>
      </c>
      <c r="O39" s="18">
        <f t="shared" si="7"/>
        <v>-7.3123691809186351E-4</v>
      </c>
      <c r="P39" s="18">
        <f t="shared" si="8"/>
        <v>-4.4943833405437818E-3</v>
      </c>
      <c r="Q39" s="18">
        <f t="shared" si="9"/>
        <v>1.757598431309402E-3</v>
      </c>
      <c r="R39" s="28">
        <f>((Scenario_DT!I$11*(IF(Scenario_DT!I$18=1,1,1+$M39/Scenario_DT!$C$19)*(1+$N39)^MAX(0,Scenario_DT!I$18-3))*(Scenario_DT!I$12+$O39)-Scenario_DT!I$13)*(1-Scenario_DT!I$14)+Scenario_DT!I$13-Scenario_DT!I$15)*Scenario_DT!I$16</f>
        <v>909.95357217291371</v>
      </c>
      <c r="S39" s="28">
        <f>((Scenario_DT!J$11*(IF(Scenario_DT!J$18=1,1,1+$M39/Scenario_DT!$C$19)*(1+$N39)^MAX(0,Scenario_DT!J$18-3))*(Scenario_DT!J$12+$O39)-Scenario_DT!J$13)*(1-Scenario_DT!J$14)+Scenario_DT!J$13-Scenario_DT!J$15)*Scenario_DT!J$16</f>
        <v>1787.5120272967019</v>
      </c>
      <c r="T39" s="28">
        <f>((Scenario_DT!K$11*(IF(Scenario_DT!K$18=1,1,1+$M39/Scenario_DT!$C$19)*(1+$N39)^MAX(0,Scenario_DT!K$18-3))*(Scenario_DT!K$12+$O39)-Scenario_DT!K$13)*(1-Scenario_DT!K$14)+Scenario_DT!K$13-Scenario_DT!K$15)*Scenario_DT!K$16</f>
        <v>2049.8855542809742</v>
      </c>
      <c r="U39" s="28">
        <f>((Scenario_DT!L$11*(IF(Scenario_DT!L$18=1,1,1+$M39/Scenario_DT!$C$19)*(1+$N39)^MAX(0,Scenario_DT!L$18-3))*(Scenario_DT!L$12+$O39)-Scenario_DT!L$13)*(1-Scenario_DT!L$14)+Scenario_DT!L$13-Scenario_DT!L$15)*Scenario_DT!L$16</f>
        <v>2420.1183144728921</v>
      </c>
      <c r="V39" s="28">
        <f>((Scenario_DT!M$11*(IF(Scenario_DT!M$18=1,1,1+$M39/Scenario_DT!$C$19)*(1+$N39)^MAX(0,Scenario_DT!M$18-3))*(Scenario_DT!M$12+$O39)-Scenario_DT!M$13)*(1-Scenario_DT!M$14)+Scenario_DT!M$13-Scenario_DT!M$15)*Scenario_DT!M$16</f>
        <v>2511.4218014532848</v>
      </c>
      <c r="W39" s="28">
        <f>((Scenario_DT!N$11*(IF(Scenario_DT!N$18=1,1,1+$M39/Scenario_DT!$C$19)*(1+$N39)^MAX(0,Scenario_DT!N$18-3))*(Scenario_DT!N$12+$O39)-Scenario_DT!N$13)*(1-Scenario_DT!N$14)+Scenario_DT!N$13-Scenario_DT!N$15)*Scenario_DT!N$16</f>
        <v>2606.1430020774987</v>
      </c>
      <c r="X39" s="28">
        <f>((Scenario_DT!O$11*(IF(Scenario_DT!O$18=1,1,1+$M39/Scenario_DT!$C$19)*(1+$N39)^MAX(0,Scenario_DT!O$18-3))*(Scenario_DT!O$12+$O39)-Scenario_DT!O$13)*(1-Scenario_DT!O$14)+Scenario_DT!O$13-Scenario_DT!O$15)*Scenario_DT!O$16</f>
        <v>2704.4109220603382</v>
      </c>
      <c r="Y39" s="28">
        <f>((Scenario_DT!P$11*(IF(Scenario_DT!P$18=1,1,1+$M39/Scenario_DT!$C$19)*(1+$N39)^MAX(0,Scenario_DT!P$18-3))*(Scenario_DT!P$12+$O39)-Scenario_DT!P$13)*(1-Scenario_DT!P$14)+Scenario_DT!P$13-Scenario_DT!P$15)*Scenario_DT!P$16</f>
        <v>2806.3594443097422</v>
      </c>
      <c r="Z39" s="28">
        <f>((Scenario_DT!Q$11*(IF(Scenario_DT!Q$18=1,1,1+$M39/Scenario_DT!$C$19)*(1+$N39)^MAX(0,Scenario_DT!Q$18-3))*(Scenario_DT!Q$12+$O39)-Scenario_DT!Q$13)*(1-Scenario_DT!Q$14)+Scenario_DT!Q$13-Scenario_DT!Q$15)*Scenario_DT!Q$16</f>
        <v>2912.1275132654609</v>
      </c>
      <c r="AA39" s="28">
        <f>((Scenario_DT!R$11*(IF(Scenario_DT!R$18=1,1,1+$M39/Scenario_DT!$C$19)*(1+$N39)^MAX(0,Scenario_DT!R$18-3))*(Scenario_DT!R$12+$O39)-Scenario_DT!R$13)*(1-Scenario_DT!R$14)+Scenario_DT!R$13-Scenario_DT!R$15)*Scenario_DT!R$16</f>
        <v>3021.8593261995807</v>
      </c>
      <c r="AB39" s="17">
        <f>(Scenario_DT!$R$11*(1+$M39/Scenario_DT!$C$19)*(1+$N39)^7*(Scenario_DT!$R$12+$O39)*(1+MIN(DCF_FCFF!$C$26+$Q39,(DCF_FCFF!$C$25+$P39)-0.02))*(1-DCF_FCFF!$C$27)*(1-DCF_FCFF!$C$28)/((DCF_FCFF!$C$25+$P39)-MIN(DCF_FCFF!$C$26+$Q39,(DCF_FCFF!$C$25+$P39)-0.02)))*(1+(DCF_FCFF!$C$25+$P39))^(-(Inputs!$C$9+9))</f>
        <v>30338.321320848841</v>
      </c>
      <c r="AC39" s="17">
        <f>SUMPRODUCT(R39:AA39*(1+(DCF_FCFF!$C$25+$P39))^(-Scenario_DT!$I$17:$R$17))+AB39</f>
        <v>46244.083845376299</v>
      </c>
      <c r="AD39" s="68">
        <f>((AC39-DCF_FCFF!$C$48)*(1-DCF_FCFF!$C$50)+DCF_FCFF!$C$57+DCF_FCFF!$C$58)/DCF_FCFF!$C$60</f>
        <v>347.44182626668112</v>
      </c>
      <c r="AE39" s="6"/>
      <c r="AF39" s="17">
        <v>300</v>
      </c>
      <c r="AG39" s="17">
        <f t="shared" si="10"/>
        <v>84</v>
      </c>
    </row>
    <row r="40" spans="1:33" x14ac:dyDescent="0.3">
      <c r="A40" s="6"/>
      <c r="B40" s="72">
        <v>9</v>
      </c>
      <c r="C40" s="73">
        <v>0.43715191887233101</v>
      </c>
      <c r="D40" s="73">
        <v>0.83267819605783699</v>
      </c>
      <c r="E40" s="73">
        <v>0.70026510200224901</v>
      </c>
      <c r="F40" s="73">
        <v>0.31236664138204101</v>
      </c>
      <c r="G40" s="73">
        <v>0.83225980139520095</v>
      </c>
      <c r="H40" s="15">
        <f t="shared" si="0"/>
        <v>-0.15819411902278865</v>
      </c>
      <c r="I40" s="15">
        <f t="shared" si="1"/>
        <v>0.96480277073371234</v>
      </c>
      <c r="J40" s="15">
        <f t="shared" si="2"/>
        <v>0.52516312609056748</v>
      </c>
      <c r="K40" s="15">
        <f t="shared" si="3"/>
        <v>-0.48915313920768044</v>
      </c>
      <c r="L40" s="15">
        <f t="shared" si="4"/>
        <v>0.96313376875367906</v>
      </c>
      <c r="M40" s="18">
        <f t="shared" si="5"/>
        <v>-3.163882380455773E-3</v>
      </c>
      <c r="N40" s="18">
        <f t="shared" si="6"/>
        <v>6.0515731966849125E-3</v>
      </c>
      <c r="O40" s="18">
        <f t="shared" si="7"/>
        <v>6.3019575130868095E-3</v>
      </c>
      <c r="P40" s="18">
        <f t="shared" si="8"/>
        <v>-2.9349188352460827E-3</v>
      </c>
      <c r="Q40" s="18">
        <f t="shared" si="9"/>
        <v>3.8525350750147165E-3</v>
      </c>
      <c r="R40" s="28">
        <f>((Scenario_DT!I$11*(IF(Scenario_DT!I$18=1,1,1+$M40/Scenario_DT!$C$19)*(1+$N40)^MAX(0,Scenario_DT!I$18-3))*(Scenario_DT!I$12+$O40)-Scenario_DT!I$13)*(1-Scenario_DT!I$14)+Scenario_DT!I$13-Scenario_DT!I$15)*Scenario_DT!I$16</f>
        <v>919.86961943350411</v>
      </c>
      <c r="S40" s="28">
        <f>((Scenario_DT!J$11*(IF(Scenario_DT!J$18=1,1,1+$M40/Scenario_DT!$C$19)*(1+$N40)^MAX(0,Scenario_DT!J$18-3))*(Scenario_DT!J$12+$O40)-Scenario_DT!J$13)*(1-Scenario_DT!J$14)+Scenario_DT!J$13-Scenario_DT!J$15)*Scenario_DT!J$16</f>
        <v>1843.846174892918</v>
      </c>
      <c r="T40" s="28">
        <f>((Scenario_DT!K$11*(IF(Scenario_DT!K$18=1,1,1+$M40/Scenario_DT!$C$19)*(1+$N40)^MAX(0,Scenario_DT!K$18-3))*(Scenario_DT!K$12+$O40)-Scenario_DT!K$13)*(1-Scenario_DT!K$14)+Scenario_DT!K$13-Scenario_DT!K$15)*Scenario_DT!K$16</f>
        <v>2108.7569378139351</v>
      </c>
      <c r="U40" s="28">
        <f>((Scenario_DT!L$11*(IF(Scenario_DT!L$18=1,1,1+$M40/Scenario_DT!$C$19)*(1+$N40)^MAX(0,Scenario_DT!L$18-3))*(Scenario_DT!L$12+$O40)-Scenario_DT!L$13)*(1-Scenario_DT!L$14)+Scenario_DT!L$13-Scenario_DT!L$15)*Scenario_DT!L$16</f>
        <v>2525.8385916878951</v>
      </c>
      <c r="V40" s="28">
        <f>((Scenario_DT!M$11*(IF(Scenario_DT!M$18=1,1,1+$M40/Scenario_DT!$C$19)*(1+$N40)^MAX(0,Scenario_DT!M$18-3))*(Scenario_DT!M$12+$O40)-Scenario_DT!M$13)*(1-Scenario_DT!M$14)+Scenario_DT!M$13-Scenario_DT!M$15)*Scenario_DT!M$16</f>
        <v>2667.5658790053594</v>
      </c>
      <c r="W40" s="28">
        <f>((Scenario_DT!N$11*(IF(Scenario_DT!N$18=1,1,1+$M40/Scenario_DT!$C$19)*(1+$N40)^MAX(0,Scenario_DT!N$18-3))*(Scenario_DT!N$12+$O40)-Scenario_DT!N$13)*(1-Scenario_DT!N$14)+Scenario_DT!N$13-Scenario_DT!N$15)*Scenario_DT!N$16</f>
        <v>2817.2469766682548</v>
      </c>
      <c r="X40" s="28">
        <f>((Scenario_DT!O$11*(IF(Scenario_DT!O$18=1,1,1+$M40/Scenario_DT!$C$19)*(1+$N40)^MAX(0,Scenario_DT!O$18-3))*(Scenario_DT!O$12+$O40)-Scenario_DT!O$13)*(1-Scenario_DT!O$14)+Scenario_DT!O$13-Scenario_DT!O$15)*Scenario_DT!O$16</f>
        <v>2975.3310923241893</v>
      </c>
      <c r="Y40" s="28">
        <f>((Scenario_DT!P$11*(IF(Scenario_DT!P$18=1,1,1+$M40/Scenario_DT!$C$19)*(1+$N40)^MAX(0,Scenario_DT!P$18-3))*(Scenario_DT!P$12+$O40)-Scenario_DT!P$13)*(1-Scenario_DT!P$14)+Scenario_DT!P$13-Scenario_DT!P$15)*Scenario_DT!P$16</f>
        <v>3142.2928163028523</v>
      </c>
      <c r="Z40" s="28">
        <f>((Scenario_DT!Q$11*(IF(Scenario_DT!Q$18=1,1,1+$M40/Scenario_DT!$C$19)*(1+$N40)^MAX(0,Scenario_DT!Q$18-3))*(Scenario_DT!Q$12+$O40)-Scenario_DT!Q$13)*(1-Scenario_DT!Q$14)+Scenario_DT!Q$13-Scenario_DT!Q$15)*Scenario_DT!Q$16</f>
        <v>3318.6335552992823</v>
      </c>
      <c r="AA40" s="28">
        <f>((Scenario_DT!R$11*(IF(Scenario_DT!R$18=1,1,1+$M40/Scenario_DT!$C$19)*(1+$N40)^MAX(0,Scenario_DT!R$18-3))*(Scenario_DT!R$12+$O40)-Scenario_DT!R$13)*(1-Scenario_DT!R$14)+Scenario_DT!R$13-Scenario_DT!R$15)*Scenario_DT!R$16</f>
        <v>3504.8830469983063</v>
      </c>
      <c r="AB40" s="17">
        <f>(Scenario_DT!$R$11*(1+$M40/Scenario_DT!$C$19)*(1+$N40)^7*(Scenario_DT!$R$12+$O40)*(1+MIN(DCF_FCFF!$C$26+$Q40,(DCF_FCFF!$C$25+$P40)-0.02))*(1-DCF_FCFF!$C$27)*(1-DCF_FCFF!$C$28)/((DCF_FCFF!$C$25+$P40)-MIN(DCF_FCFF!$C$26+$Q40,(DCF_FCFF!$C$25+$P40)-0.02)))*(1+(DCF_FCFF!$C$25+$P40))^(-(Inputs!$C$9+9))</f>
        <v>35164.678046047811</v>
      </c>
      <c r="AC40" s="17">
        <f>SUMPRODUCT(R40:AA40*(1+(DCF_FCFF!$C$25+$P40))^(-Scenario_DT!$I$17:$R$17))+AB40</f>
        <v>52199.302843953323</v>
      </c>
      <c r="AD40" s="68">
        <f>((AC40-DCF_FCFF!$C$48)*(1-DCF_FCFF!$C$50)+DCF_FCFF!$C$57+DCF_FCFF!$C$58)/DCF_FCFF!$C$60</f>
        <v>404.60459463953009</v>
      </c>
      <c r="AE40" s="6"/>
      <c r="AF40" s="17">
        <v>325</v>
      </c>
      <c r="AG40" s="17">
        <f t="shared" si="10"/>
        <v>73</v>
      </c>
    </row>
    <row r="41" spans="1:33" x14ac:dyDescent="0.3">
      <c r="A41" s="6"/>
      <c r="B41" s="72">
        <v>10</v>
      </c>
      <c r="C41" s="73">
        <v>0.80476435749680197</v>
      </c>
      <c r="D41" s="73">
        <v>0.38747837903017501</v>
      </c>
      <c r="E41" s="73">
        <v>0.288328103930244</v>
      </c>
      <c r="F41" s="73">
        <v>0.68249550397497605</v>
      </c>
      <c r="G41" s="73">
        <v>0.13975248360931</v>
      </c>
      <c r="H41" s="15">
        <f t="shared" si="0"/>
        <v>0.85876299944518131</v>
      </c>
      <c r="I41" s="15">
        <f t="shared" si="1"/>
        <v>-0.28589733094894698</v>
      </c>
      <c r="J41" s="15">
        <f t="shared" si="2"/>
        <v>-0.55827559422816453</v>
      </c>
      <c r="K41" s="15">
        <f t="shared" si="3"/>
        <v>0.47468853349282852</v>
      </c>
      <c r="L41" s="15">
        <f t="shared" si="4"/>
        <v>-1.0814320593924416</v>
      </c>
      <c r="M41" s="18">
        <f t="shared" si="5"/>
        <v>1.7175259988903627E-2</v>
      </c>
      <c r="N41" s="18">
        <f t="shared" si="6"/>
        <v>1.4542971859730846E-3</v>
      </c>
      <c r="O41" s="18">
        <f t="shared" si="7"/>
        <v>-6.6993071307379741E-3</v>
      </c>
      <c r="P41" s="18">
        <f t="shared" si="8"/>
        <v>2.8481312009569714E-3</v>
      </c>
      <c r="Q41" s="18">
        <f t="shared" si="9"/>
        <v>-4.325728237569766E-3</v>
      </c>
      <c r="R41" s="28">
        <f>((Scenario_DT!I$11*(IF(Scenario_DT!I$18=1,1,1+$M41/Scenario_DT!$C$19)*(1+$N41)^MAX(0,Scenario_DT!I$18-3))*(Scenario_DT!I$12+$O41)-Scenario_DT!I$13)*(1-Scenario_DT!I$14)+Scenario_DT!I$13-Scenario_DT!I$15)*Scenario_DT!I$16</f>
        <v>901.53923543557357</v>
      </c>
      <c r="S41" s="28">
        <f>((Scenario_DT!J$11*(IF(Scenario_DT!J$18=1,1,1+$M41/Scenario_DT!$C$19)*(1+$N41)^MAX(0,Scenario_DT!J$18-3))*(Scenario_DT!J$12+$O41)-Scenario_DT!J$13)*(1-Scenario_DT!J$14)+Scenario_DT!J$13-Scenario_DT!J$15)*Scenario_DT!J$16</f>
        <v>1851.865428400949</v>
      </c>
      <c r="T41" s="28">
        <f>((Scenario_DT!K$11*(IF(Scenario_DT!K$18=1,1,1+$M41/Scenario_DT!$C$19)*(1+$N41)^MAX(0,Scenario_DT!K$18-3))*(Scenario_DT!K$12+$O41)-Scenario_DT!K$13)*(1-Scenario_DT!K$14)+Scenario_DT!K$13-Scenario_DT!K$15)*Scenario_DT!K$16</f>
        <v>2117.7590813737652</v>
      </c>
      <c r="U41" s="28">
        <f>((Scenario_DT!L$11*(IF(Scenario_DT!L$18=1,1,1+$M41/Scenario_DT!$C$19)*(1+$N41)^MAX(0,Scenario_DT!L$18-3))*(Scenario_DT!L$12+$O41)-Scenario_DT!L$13)*(1-Scenario_DT!L$14)+Scenario_DT!L$13-Scenario_DT!L$15)*Scenario_DT!L$16</f>
        <v>2523.7915205221643</v>
      </c>
      <c r="V41" s="28">
        <f>((Scenario_DT!M$11*(IF(Scenario_DT!M$18=1,1,1+$M41/Scenario_DT!$C$19)*(1+$N41)^MAX(0,Scenario_DT!M$18-3))*(Scenario_DT!M$12+$O41)-Scenario_DT!M$13)*(1-Scenario_DT!M$14)+Scenario_DT!M$13-Scenario_DT!M$15)*Scenario_DT!M$16</f>
        <v>2653.1392949541491</v>
      </c>
      <c r="W41" s="28">
        <f>((Scenario_DT!N$11*(IF(Scenario_DT!N$18=1,1,1+$M41/Scenario_DT!$C$19)*(1+$N41)^MAX(0,Scenario_DT!N$18-3))*(Scenario_DT!N$12+$O41)-Scenario_DT!N$13)*(1-Scenario_DT!N$14)+Scenario_DT!N$13-Scenario_DT!N$15)*Scenario_DT!N$16</f>
        <v>2789.1113076784845</v>
      </c>
      <c r="X41" s="28">
        <f>((Scenario_DT!O$11*(IF(Scenario_DT!O$18=1,1,1+$M41/Scenario_DT!$C$19)*(1+$N41)^MAX(0,Scenario_DT!O$18-3))*(Scenario_DT!O$12+$O41)-Scenario_DT!O$13)*(1-Scenario_DT!O$14)+Scenario_DT!O$13-Scenario_DT!O$15)*Scenario_DT!O$16</f>
        <v>2932.0492777096765</v>
      </c>
      <c r="Y41" s="28">
        <f>((Scenario_DT!P$11*(IF(Scenario_DT!P$18=1,1,1+$M41/Scenario_DT!$C$19)*(1+$N41)^MAX(0,Scenario_DT!P$18-3))*(Scenario_DT!P$12+$O41)-Scenario_DT!P$13)*(1-Scenario_DT!P$14)+Scenario_DT!P$13-Scenario_DT!P$15)*Scenario_DT!P$16</f>
        <v>3082.3125715050269</v>
      </c>
      <c r="Z41" s="28">
        <f>((Scenario_DT!Q$11*(IF(Scenario_DT!Q$18=1,1,1+$M41/Scenario_DT!$C$19)*(1+$N41)^MAX(0,Scenario_DT!Q$18-3))*(Scenario_DT!Q$12+$O41)-Scenario_DT!Q$13)*(1-Scenario_DT!Q$14)+Scenario_DT!Q$13-Scenario_DT!Q$15)*Scenario_DT!Q$16</f>
        <v>3240.279114282584</v>
      </c>
      <c r="AA41" s="28">
        <f>((Scenario_DT!R$11*(IF(Scenario_DT!R$18=1,1,1+$M41/Scenario_DT!$C$19)*(1+$N41)^MAX(0,Scenario_DT!R$18-3))*(Scenario_DT!R$12+$O41)-Scenario_DT!R$13)*(1-Scenario_DT!R$14)+Scenario_DT!R$13-Scenario_DT!R$15)*Scenario_DT!R$16</f>
        <v>3406.3463483881865</v>
      </c>
      <c r="AB41" s="17">
        <f>(Scenario_DT!$R$11*(1+$M41/Scenario_DT!$C$19)*(1+$N41)^7*(Scenario_DT!$R$12+$O41)*(1+MIN(DCF_FCFF!$C$26+$Q41,(DCF_FCFF!$C$25+$P41)-0.02))*(1-DCF_FCFF!$C$27)*(1-DCF_FCFF!$C$28)/((DCF_FCFF!$C$25+$P41)-MIN(DCF_FCFF!$C$26+$Q41,(DCF_FCFF!$C$25+$P41)-0.02)))*(1+(DCF_FCFF!$C$25+$P41))^(-(Inputs!$C$9+9))</f>
        <v>24432.617020044752</v>
      </c>
      <c r="AC41" s="17">
        <f>SUMPRODUCT(R41:AA41*(1+(DCF_FCFF!$C$25+$P41))^(-Scenario_DT!$I$17:$R$17))+AB41</f>
        <v>40879.643258865886</v>
      </c>
      <c r="AD41" s="68">
        <f>((AC41-DCF_FCFF!$C$48)*(1-DCF_FCFF!$C$50)+DCF_FCFF!$C$57+DCF_FCFF!$C$58)/DCF_FCFF!$C$60</f>
        <v>295.94980309005621</v>
      </c>
      <c r="AE41" s="6"/>
      <c r="AF41" s="17">
        <v>350</v>
      </c>
      <c r="AG41" s="17">
        <f t="shared" si="10"/>
        <v>77</v>
      </c>
    </row>
    <row r="42" spans="1:33" x14ac:dyDescent="0.3">
      <c r="A42" s="6"/>
      <c r="B42" s="72">
        <v>11</v>
      </c>
      <c r="C42" s="73">
        <v>0.19990820247510799</v>
      </c>
      <c r="D42" s="73">
        <v>7.3622697510055098E-3</v>
      </c>
      <c r="E42" s="73">
        <v>0.78692437750213795</v>
      </c>
      <c r="F42" s="73">
        <v>0.66485085659203202</v>
      </c>
      <c r="G42" s="73">
        <v>0.70516537862633499</v>
      </c>
      <c r="H42" s="15">
        <f t="shared" si="0"/>
        <v>-0.84194917172618844</v>
      </c>
      <c r="I42" s="15">
        <f t="shared" si="1"/>
        <v>-2.4390841374405166</v>
      </c>
      <c r="J42" s="15">
        <f t="shared" si="2"/>
        <v>0.79579491983461792</v>
      </c>
      <c r="K42" s="15">
        <f t="shared" si="3"/>
        <v>0.42573866186189341</v>
      </c>
      <c r="L42" s="15">
        <f t="shared" si="4"/>
        <v>0.53931540251343568</v>
      </c>
      <c r="M42" s="18">
        <f t="shared" si="5"/>
        <v>-1.6838983434523769E-2</v>
      </c>
      <c r="N42" s="18">
        <f t="shared" si="6"/>
        <v>-2.0266267286833894E-2</v>
      </c>
      <c r="O42" s="18">
        <f t="shared" si="7"/>
        <v>9.5495390380154147E-3</v>
      </c>
      <c r="P42" s="18">
        <f t="shared" si="8"/>
        <v>2.5544319711713606E-3</v>
      </c>
      <c r="Q42" s="18">
        <f t="shared" si="9"/>
        <v>2.1572616100537429E-3</v>
      </c>
      <c r="R42" s="28">
        <f>((Scenario_DT!I$11*(IF(Scenario_DT!I$18=1,1,1+$M42/Scenario_DT!$C$19)*(1+$N42)^MAX(0,Scenario_DT!I$18-3))*(Scenario_DT!I$12+$O42)-Scenario_DT!I$13)*(1-Scenario_DT!I$14)+Scenario_DT!I$13-Scenario_DT!I$15)*Scenario_DT!I$16</f>
        <v>924.44835989047931</v>
      </c>
      <c r="S42" s="28">
        <f>((Scenario_DT!J$11*(IF(Scenario_DT!J$18=1,1,1+$M42/Scenario_DT!$C$19)*(1+$N42)^MAX(0,Scenario_DT!J$18-3))*(Scenario_DT!J$12+$O42)-Scenario_DT!J$13)*(1-Scenario_DT!J$14)+Scenario_DT!J$13-Scenario_DT!J$15)*Scenario_DT!J$16</f>
        <v>1820.7043289219182</v>
      </c>
      <c r="T42" s="28">
        <f>((Scenario_DT!K$11*(IF(Scenario_DT!K$18=1,1,1+$M42/Scenario_DT!$C$19)*(1+$N42)^MAX(0,Scenario_DT!K$18-3))*(Scenario_DT!K$12+$O42)-Scenario_DT!K$13)*(1-Scenario_DT!K$14)+Scenario_DT!K$13-Scenario_DT!K$15)*Scenario_DT!K$16</f>
        <v>2084.3094242701991</v>
      </c>
      <c r="U42" s="28">
        <f>((Scenario_DT!L$11*(IF(Scenario_DT!L$18=1,1,1+$M42/Scenario_DT!$C$19)*(1+$N42)^MAX(0,Scenario_DT!L$18-3))*(Scenario_DT!L$12+$O42)-Scenario_DT!L$13)*(1-Scenario_DT!L$14)+Scenario_DT!L$13-Scenario_DT!L$15)*Scenario_DT!L$16</f>
        <v>2433.8906514443975</v>
      </c>
      <c r="V42" s="28">
        <f>((Scenario_DT!M$11*(IF(Scenario_DT!M$18=1,1,1+$M42/Scenario_DT!$C$19)*(1+$N42)^MAX(0,Scenario_DT!M$18-3))*(Scenario_DT!M$12+$O42)-Scenario_DT!M$13)*(1-Scenario_DT!M$14)+Scenario_DT!M$13-Scenario_DT!M$15)*Scenario_DT!M$16</f>
        <v>2502.7124914561596</v>
      </c>
      <c r="W42" s="28">
        <f>((Scenario_DT!N$11*(IF(Scenario_DT!N$18=1,1,1+$M42/Scenario_DT!$C$19)*(1+$N42)^MAX(0,Scenario_DT!N$18-3))*(Scenario_DT!N$12+$O42)-Scenario_DT!N$13)*(1-Scenario_DT!N$14)+Scenario_DT!N$13-Scenario_DT!N$15)*Scenario_DT!N$16</f>
        <v>2573.434561254147</v>
      </c>
      <c r="X42" s="28">
        <f>((Scenario_DT!O$11*(IF(Scenario_DT!O$18=1,1,1+$M42/Scenario_DT!$C$19)*(1+$N42)^MAX(0,Scenario_DT!O$18-3))*(Scenario_DT!O$12+$O42)-Scenario_DT!O$13)*(1-Scenario_DT!O$14)+Scenario_DT!O$13-Scenario_DT!O$15)*Scenario_DT!O$16</f>
        <v>2646.1090612664484</v>
      </c>
      <c r="Y42" s="28">
        <f>((Scenario_DT!P$11*(IF(Scenario_DT!P$18=1,1,1+$M42/Scenario_DT!$C$19)*(1+$N42)^MAX(0,Scenario_DT!P$18-3))*(Scenario_DT!P$12+$O42)-Scenario_DT!P$13)*(1-Scenario_DT!P$14)+Scenario_DT!P$13-Scenario_DT!P$15)*Scenario_DT!P$16</f>
        <v>2720.7895971944431</v>
      </c>
      <c r="Z42" s="28">
        <f>((Scenario_DT!Q$11*(IF(Scenario_DT!Q$18=1,1,1+$M42/Scenario_DT!$C$19)*(1+$N42)^MAX(0,Scenario_DT!Q$18-3))*(Scenario_DT!Q$12+$O42)-Scenario_DT!Q$13)*(1-Scenario_DT!Q$14)+Scenario_DT!Q$13-Scenario_DT!Q$15)*Scenario_DT!Q$16</f>
        <v>2797.53121639038</v>
      </c>
      <c r="AA42" s="28">
        <f>((Scenario_DT!R$11*(IF(Scenario_DT!R$18=1,1,1+$M42/Scenario_DT!$C$19)*(1+$N42)^MAX(0,Scenario_DT!R$18-3))*(Scenario_DT!R$12+$O42)-Scenario_DT!R$13)*(1-Scenario_DT!R$14)+Scenario_DT!R$13-Scenario_DT!R$15)*Scenario_DT!R$16</f>
        <v>2876.3904451087528</v>
      </c>
      <c r="AB42" s="17">
        <f>(Scenario_DT!$R$11*(1+$M42/Scenario_DT!$C$19)*(1+$N42)^7*(Scenario_DT!$R$12+$O42)*(1+MIN(DCF_FCFF!$C$26+$Q42,(DCF_FCFF!$C$25+$P42)-0.02))*(1-DCF_FCFF!$C$27)*(1-DCF_FCFF!$C$28)/((DCF_FCFF!$C$25+$P42)-MIN(DCF_FCFF!$C$26+$Q42,(DCF_FCFF!$C$25+$P42)-0.02)))*(1+(DCF_FCFF!$C$25+$P42))^(-(Inputs!$C$9+9))</f>
        <v>23625.949137481686</v>
      </c>
      <c r="AC42" s="17">
        <f>SUMPRODUCT(R42:AA42*(1+(DCF_FCFF!$C$25+$P42))^(-Scenario_DT!$I$17:$R$17))+AB42</f>
        <v>38926.2407815037</v>
      </c>
      <c r="AD42" s="68">
        <f>((AC42-DCF_FCFF!$C$48)*(1-DCF_FCFF!$C$50)+DCF_FCFF!$C$57+DCF_FCFF!$C$58)/DCF_FCFF!$C$60</f>
        <v>277.19954497543688</v>
      </c>
      <c r="AE42" s="6"/>
      <c r="AF42" s="17">
        <v>375</v>
      </c>
      <c r="AG42" s="17">
        <f t="shared" si="10"/>
        <v>49</v>
      </c>
    </row>
    <row r="43" spans="1:33" x14ac:dyDescent="0.3">
      <c r="A43" s="6"/>
      <c r="B43" s="72">
        <v>12</v>
      </c>
      <c r="C43" s="73">
        <v>0.780729031021968</v>
      </c>
      <c r="D43" s="73">
        <v>0.45891577553834001</v>
      </c>
      <c r="E43" s="73">
        <v>0.56874119595289396</v>
      </c>
      <c r="F43" s="73">
        <v>0.139796998127657</v>
      </c>
      <c r="G43" s="73">
        <v>0.114530073535973</v>
      </c>
      <c r="H43" s="15">
        <f t="shared" si="0"/>
        <v>0.77465772447132875</v>
      </c>
      <c r="I43" s="15">
        <f t="shared" si="1"/>
        <v>-0.10316558783119012</v>
      </c>
      <c r="J43" s="15">
        <f t="shared" si="2"/>
        <v>0.17317024910243525</v>
      </c>
      <c r="K43" s="15">
        <f t="shared" si="3"/>
        <v>-1.0812318440861823</v>
      </c>
      <c r="L43" s="15">
        <f t="shared" si="4"/>
        <v>-1.2027834080847151</v>
      </c>
      <c r="M43" s="18">
        <f t="shared" si="5"/>
        <v>1.5493154489426576E-2</v>
      </c>
      <c r="N43" s="18">
        <f t="shared" si="6"/>
        <v>2.3838787390199922E-3</v>
      </c>
      <c r="O43" s="18">
        <f t="shared" si="7"/>
        <v>2.0780429892292233E-3</v>
      </c>
      <c r="P43" s="18">
        <f t="shared" si="8"/>
        <v>-6.4873910645170943E-3</v>
      </c>
      <c r="Q43" s="18">
        <f t="shared" si="9"/>
        <v>-4.8111336323388605E-3</v>
      </c>
      <c r="R43" s="28">
        <f>((Scenario_DT!I$11*(IF(Scenario_DT!I$18=1,1,1+$M43/Scenario_DT!$C$19)*(1+$N43)^MAX(0,Scenario_DT!I$18-3))*(Scenario_DT!I$12+$O43)-Scenario_DT!I$13)*(1-Scenario_DT!I$14)+Scenario_DT!I$13-Scenario_DT!I$15)*Scenario_DT!I$16</f>
        <v>913.91435451752363</v>
      </c>
      <c r="S43" s="28">
        <f>((Scenario_DT!J$11*(IF(Scenario_DT!J$18=1,1,1+$M43/Scenario_DT!$C$19)*(1+$N43)^MAX(0,Scenario_DT!J$18-3))*(Scenario_DT!J$12+$O43)-Scenario_DT!J$13)*(1-Scenario_DT!J$14)+Scenario_DT!J$13-Scenario_DT!J$15)*Scenario_DT!J$16</f>
        <v>1875.5987253216954</v>
      </c>
      <c r="T43" s="28">
        <f>((Scenario_DT!K$11*(IF(Scenario_DT!K$18=1,1,1+$M43/Scenario_DT!$C$19)*(1+$N43)^MAX(0,Scenario_DT!K$18-3))*(Scenario_DT!K$12+$O43)-Scenario_DT!K$13)*(1-Scenario_DT!K$14)+Scenario_DT!K$13-Scenario_DT!K$15)*Scenario_DT!K$16</f>
        <v>2142.2973574850562</v>
      </c>
      <c r="U43" s="28">
        <f>((Scenario_DT!L$11*(IF(Scenario_DT!L$18=1,1,1+$M43/Scenario_DT!$C$19)*(1+$N43)^MAX(0,Scenario_DT!L$18-3))*(Scenario_DT!L$12+$O43)-Scenario_DT!L$13)*(1-Scenario_DT!L$14)+Scenario_DT!L$13-Scenario_DT!L$15)*Scenario_DT!L$16</f>
        <v>2552.2661352902592</v>
      </c>
      <c r="V43" s="28">
        <f>((Scenario_DT!M$11*(IF(Scenario_DT!M$18=1,1,1+$M43/Scenario_DT!$C$19)*(1+$N43)^MAX(0,Scenario_DT!M$18-3))*(Scenario_DT!M$12+$O43)-Scenario_DT!M$13)*(1-Scenario_DT!M$14)+Scenario_DT!M$13-Scenario_DT!M$15)*Scenario_DT!M$16</f>
        <v>2685.5887589395343</v>
      </c>
      <c r="W43" s="28">
        <f>((Scenario_DT!N$11*(IF(Scenario_DT!N$18=1,1,1+$M43/Scenario_DT!$C$19)*(1+$N43)^MAX(0,Scenario_DT!N$18-3))*(Scenario_DT!N$12+$O43)-Scenario_DT!N$13)*(1-Scenario_DT!N$14)+Scenario_DT!N$13-Scenario_DT!N$15)*Scenario_DT!N$16</f>
        <v>2825.8720916532707</v>
      </c>
      <c r="X43" s="28">
        <f>((Scenario_DT!O$11*(IF(Scenario_DT!O$18=1,1,1+$M43/Scenario_DT!$C$19)*(1+$N43)^MAX(0,Scenario_DT!O$18-3))*(Scenario_DT!O$12+$O43)-Scenario_DT!O$13)*(1-Scenario_DT!O$14)+Scenario_DT!O$13-Scenario_DT!O$15)*Scenario_DT!O$16</f>
        <v>2973.4821022641468</v>
      </c>
      <c r="Y43" s="28">
        <f>((Scenario_DT!P$11*(IF(Scenario_DT!P$18=1,1,1+$M43/Scenario_DT!$C$19)*(1+$N43)^MAX(0,Scenario_DT!P$18-3))*(Scenario_DT!P$12+$O43)-Scenario_DT!P$13)*(1-Scenario_DT!P$14)+Scenario_DT!P$13-Scenario_DT!P$15)*Scenario_DT!P$16</f>
        <v>3128.8040194949967</v>
      </c>
      <c r="Z43" s="28">
        <f>((Scenario_DT!Q$11*(IF(Scenario_DT!Q$18=1,1,1+$M43/Scenario_DT!$C$19)*(1+$N43)^MAX(0,Scenario_DT!Q$18-3))*(Scenario_DT!Q$12+$O43)-Scenario_DT!Q$13)*(1-Scenario_DT!Q$14)+Scenario_DT!Q$13-Scenario_DT!Q$15)*Scenario_DT!Q$16</f>
        <v>3292.2433454161164</v>
      </c>
      <c r="AA43" s="28">
        <f>((Scenario_DT!R$11*(IF(Scenario_DT!R$18=1,1,1+$M43/Scenario_DT!$C$19)*(1+$N43)^MAX(0,Scenario_DT!R$18-3))*(Scenario_DT!R$12+$O43)-Scenario_DT!R$13)*(1-Scenario_DT!R$14)+Scenario_DT!R$13-Scenario_DT!R$15)*Scenario_DT!R$16</f>
        <v>3464.2269222150403</v>
      </c>
      <c r="AB43" s="17">
        <f>(Scenario_DT!$R$11*(1+$M43/Scenario_DT!$C$19)*(1+$N43)^7*(Scenario_DT!$R$12+$O43)*(1+MIN(DCF_FCFF!$C$26+$Q43,(DCF_FCFF!$C$25+$P43)-0.02))*(1-DCF_FCFF!$C$27)*(1-DCF_FCFF!$C$28)/((DCF_FCFF!$C$25+$P43)-MIN(DCF_FCFF!$C$26+$Q43,(DCF_FCFF!$C$25+$P43)-0.02)))*(1+(DCF_FCFF!$C$25+$P43))^(-(Inputs!$C$9+9))</f>
        <v>31826.428939082816</v>
      </c>
      <c r="AC43" s="17">
        <f>SUMPRODUCT(R43:AA43*(1+(DCF_FCFF!$C$25+$P43))^(-Scenario_DT!$I$17:$R$17))+AB43</f>
        <v>49172.924199641406</v>
      </c>
      <c r="AD43" s="68">
        <f>((AC43-DCF_FCFF!$C$48)*(1-DCF_FCFF!$C$50)+DCF_FCFF!$C$57+DCF_FCFF!$C$58)/DCF_FCFF!$C$60</f>
        <v>375.55508672140388</v>
      </c>
      <c r="AE43" s="6"/>
      <c r="AF43" s="17">
        <v>400</v>
      </c>
      <c r="AG43" s="17">
        <f t="shared" si="10"/>
        <v>31</v>
      </c>
    </row>
    <row r="44" spans="1:33" x14ac:dyDescent="0.3">
      <c r="A44" s="6"/>
      <c r="B44" s="72">
        <v>13</v>
      </c>
      <c r="C44" s="73">
        <v>0.66840296179047198</v>
      </c>
      <c r="D44" s="73">
        <v>0.47109620614313302</v>
      </c>
      <c r="E44" s="73">
        <v>0.56523610648118905</v>
      </c>
      <c r="F44" s="73">
        <v>0.76499885741602602</v>
      </c>
      <c r="G44" s="73">
        <v>0.63471832000059103</v>
      </c>
      <c r="H44" s="15">
        <f t="shared" si="0"/>
        <v>0.43550752735970422</v>
      </c>
      <c r="I44" s="15">
        <f t="shared" si="1"/>
        <v>-7.2514568146148789E-2</v>
      </c>
      <c r="J44" s="15">
        <f t="shared" si="2"/>
        <v>0.16425832603460952</v>
      </c>
      <c r="K44" s="15">
        <f t="shared" si="3"/>
        <v>0.72247533381045204</v>
      </c>
      <c r="L44" s="15">
        <f t="shared" si="4"/>
        <v>0.34437623343762758</v>
      </c>
      <c r="M44" s="18">
        <f t="shared" si="5"/>
        <v>8.710150547194085E-3</v>
      </c>
      <c r="N44" s="18">
        <f t="shared" si="6"/>
        <v>1.2396344441666352E-3</v>
      </c>
      <c r="O44" s="18">
        <f t="shared" si="7"/>
        <v>1.9710999124153143E-3</v>
      </c>
      <c r="P44" s="18">
        <f t="shared" si="8"/>
        <v>4.334852002862712E-3</v>
      </c>
      <c r="Q44" s="18">
        <f t="shared" si="9"/>
        <v>1.3775049337505104E-3</v>
      </c>
      <c r="R44" s="28">
        <f>((Scenario_DT!I$11*(IF(Scenario_DT!I$18=1,1,1+$M44/Scenario_DT!$C$19)*(1+$N44)^MAX(0,Scenario_DT!I$18-3))*(Scenario_DT!I$12+$O44)-Scenario_DT!I$13)*(1-Scenario_DT!I$14)+Scenario_DT!I$13-Scenario_DT!I$15)*Scenario_DT!I$16</f>
        <v>913.76357628804965</v>
      </c>
      <c r="S44" s="28">
        <f>((Scenario_DT!J$11*(IF(Scenario_DT!J$18=1,1,1+$M44/Scenario_DT!$C$19)*(1+$N44)^MAX(0,Scenario_DT!J$18-3))*(Scenario_DT!J$12+$O44)-Scenario_DT!J$13)*(1-Scenario_DT!J$14)+Scenario_DT!J$13-Scenario_DT!J$15)*Scenario_DT!J$16</f>
        <v>1858.9629020004054</v>
      </c>
      <c r="T44" s="28">
        <f>((Scenario_DT!K$11*(IF(Scenario_DT!K$18=1,1,1+$M44/Scenario_DT!$C$19)*(1+$N44)^MAX(0,Scenario_DT!K$18-3))*(Scenario_DT!K$12+$O44)-Scenario_DT!K$13)*(1-Scenario_DT!K$14)+Scenario_DT!K$13-Scenario_DT!K$15)*Scenario_DT!K$16</f>
        <v>2124.826559333193</v>
      </c>
      <c r="U44" s="28">
        <f>((Scenario_DT!L$11*(IF(Scenario_DT!L$18=1,1,1+$M44/Scenario_DT!$C$19)*(1+$N44)^MAX(0,Scenario_DT!L$18-3))*(Scenario_DT!L$12+$O44)-Scenario_DT!L$13)*(1-Scenario_DT!L$14)+Scenario_DT!L$13-Scenario_DT!L$15)*Scenario_DT!L$16</f>
        <v>2530.7603141683553</v>
      </c>
      <c r="V44" s="28">
        <f>((Scenario_DT!M$11*(IF(Scenario_DT!M$18=1,1,1+$M44/Scenario_DT!$C$19)*(1+$N44)^MAX(0,Scenario_DT!M$18-3))*(Scenario_DT!M$12+$O44)-Scenario_DT!M$13)*(1-Scenario_DT!M$14)+Scenario_DT!M$13-Scenario_DT!M$15)*Scenario_DT!M$16</f>
        <v>2659.8929432409268</v>
      </c>
      <c r="W44" s="28">
        <f>((Scenario_DT!N$11*(IF(Scenario_DT!N$18=1,1,1+$M44/Scenario_DT!$C$19)*(1+$N44)^MAX(0,Scenario_DT!N$18-3))*(Scenario_DT!N$12+$O44)-Scenario_DT!N$13)*(1-Scenario_DT!N$14)+Scenario_DT!N$13-Scenario_DT!N$15)*Scenario_DT!N$16</f>
        <v>2795.609266062183</v>
      </c>
      <c r="X44" s="28">
        <f>((Scenario_DT!O$11*(IF(Scenario_DT!O$18=1,1,1+$M44/Scenario_DT!$C$19)*(1+$N44)^MAX(0,Scenario_DT!O$18-3))*(Scenario_DT!O$12+$O44)-Scenario_DT!O$13)*(1-Scenario_DT!O$14)+Scenario_DT!O$13-Scenario_DT!O$15)*Scenario_DT!O$16</f>
        <v>2938.247401226155</v>
      </c>
      <c r="Y44" s="28">
        <f>((Scenario_DT!P$11*(IF(Scenario_DT!P$18=1,1,1+$M44/Scenario_DT!$C$19)*(1+$N44)^MAX(0,Scenario_DT!P$18-3))*(Scenario_DT!P$12+$O44)-Scenario_DT!P$13)*(1-Scenario_DT!P$14)+Scenario_DT!P$13-Scenario_DT!P$15)*Scenario_DT!P$16</f>
        <v>3088.1628517195818</v>
      </c>
      <c r="Z44" s="28">
        <f>((Scenario_DT!Q$11*(IF(Scenario_DT!Q$18=1,1,1+$M44/Scenario_DT!$C$19)*(1+$N44)^MAX(0,Scenario_DT!Q$18-3))*(Scenario_DT!Q$12+$O44)-Scenario_DT!Q$13)*(1-Scenario_DT!Q$14)+Scenario_DT!Q$13-Scenario_DT!Q$15)*Scenario_DT!Q$16</f>
        <v>3245.7293987082171</v>
      </c>
      <c r="AA44" s="28">
        <f>((Scenario_DT!R$11*(IF(Scenario_DT!R$18=1,1,1+$M44/Scenario_DT!$C$19)*(1+$N44)^MAX(0,Scenario_DT!R$18-3))*(Scenario_DT!R$12+$O44)-Scenario_DT!R$13)*(1-Scenario_DT!R$14)+Scenario_DT!R$13-Scenario_DT!R$15)*Scenario_DT!R$16</f>
        <v>3411.3400412647916</v>
      </c>
      <c r="AB44" s="17">
        <f>(Scenario_DT!$R$11*(1+$M44/Scenario_DT!$C$19)*(1+$N44)^7*(Scenario_DT!$R$12+$O44)*(1+MIN(DCF_FCFF!$C$26+$Q44,(DCF_FCFF!$C$25+$P44)-0.02))*(1-DCF_FCFF!$C$27)*(1-DCF_FCFF!$C$28)/((DCF_FCFF!$C$25+$P44)-MIN(DCF_FCFF!$C$26+$Q44,(DCF_FCFF!$C$25+$P44)-0.02)))*(1+(DCF_FCFF!$C$25+$P44))^(-(Inputs!$C$9+9))</f>
        <v>26207.684004080369</v>
      </c>
      <c r="AC44" s="17">
        <f>SUMPRODUCT(R44:AA44*(1+(DCF_FCFF!$C$25+$P44))^(-Scenario_DT!$I$17:$R$17))+AB44</f>
        <v>42602.474072286648</v>
      </c>
      <c r="AD44" s="68">
        <f>((AC44-DCF_FCFF!$C$48)*(1-DCF_FCFF!$C$50)+DCF_FCFF!$C$57+DCF_FCFF!$C$58)/DCF_FCFF!$C$60</f>
        <v>312.48685718608687</v>
      </c>
      <c r="AE44" s="6"/>
      <c r="AF44" s="17">
        <v>425</v>
      </c>
      <c r="AG44" s="17">
        <f t="shared" si="10"/>
        <v>28</v>
      </c>
    </row>
    <row r="45" spans="1:33" x14ac:dyDescent="0.3">
      <c r="A45" s="6"/>
      <c r="B45" s="72">
        <v>14</v>
      </c>
      <c r="C45" s="73">
        <v>0.55357940065799605</v>
      </c>
      <c r="D45" s="73">
        <v>0.55920716074541399</v>
      </c>
      <c r="E45" s="73">
        <v>0.30395009806261197</v>
      </c>
      <c r="F45" s="73">
        <v>3.0817834567939399E-2</v>
      </c>
      <c r="G45" s="73">
        <v>0.43671738923236197</v>
      </c>
      <c r="H45" s="15">
        <f t="shared" si="0"/>
        <v>0.13470995917819553</v>
      </c>
      <c r="I45" s="15">
        <f t="shared" si="1"/>
        <v>0.14895938867438951</v>
      </c>
      <c r="J45" s="15">
        <f t="shared" si="2"/>
        <v>-0.51307308767527482</v>
      </c>
      <c r="K45" s="15">
        <f t="shared" si="3"/>
        <v>-1.8689076117914023</v>
      </c>
      <c r="L45" s="15">
        <f t="shared" si="4"/>
        <v>-0.15929713425422493</v>
      </c>
      <c r="M45" s="18">
        <f t="shared" si="5"/>
        <v>2.6941991835639106E-3</v>
      </c>
      <c r="N45" s="18">
        <f t="shared" si="6"/>
        <v>1.5708607545065526E-3</v>
      </c>
      <c r="O45" s="18">
        <f t="shared" si="7"/>
        <v>-6.1568770521032981E-3</v>
      </c>
      <c r="P45" s="18">
        <f t="shared" si="8"/>
        <v>-1.1213445670748414E-2</v>
      </c>
      <c r="Q45" s="18">
        <f t="shared" si="9"/>
        <v>-6.3718853701689971E-4</v>
      </c>
      <c r="R45" s="28">
        <f>((Scenario_DT!I$11*(IF(Scenario_DT!I$18=1,1,1+$M45/Scenario_DT!$C$19)*(1+$N45)^MAX(0,Scenario_DT!I$18-3))*(Scenario_DT!I$12+$O45)-Scenario_DT!I$13)*(1-Scenario_DT!I$14)+Scenario_DT!I$13-Scenario_DT!I$15)*Scenario_DT!I$16</f>
        <v>902.3040034720525</v>
      </c>
      <c r="S45" s="28">
        <f>((Scenario_DT!J$11*(IF(Scenario_DT!J$18=1,1,1+$M45/Scenario_DT!$C$19)*(1+$N45)^MAX(0,Scenario_DT!J$18-3))*(Scenario_DT!J$12+$O45)-Scenario_DT!J$13)*(1-Scenario_DT!J$14)+Scenario_DT!J$13-Scenario_DT!J$15)*Scenario_DT!J$16</f>
        <v>1819.1760980360646</v>
      </c>
      <c r="T45" s="28">
        <f>((Scenario_DT!K$11*(IF(Scenario_DT!K$18=1,1,1+$M45/Scenario_DT!$C$19)*(1+$N45)^MAX(0,Scenario_DT!K$18-3))*(Scenario_DT!K$12+$O45)-Scenario_DT!K$13)*(1-Scenario_DT!K$14)+Scenario_DT!K$13-Scenario_DT!K$15)*Scenario_DT!K$16</f>
        <v>2083.3898419586203</v>
      </c>
      <c r="U45" s="28">
        <f>((Scenario_DT!L$11*(IF(Scenario_DT!L$18=1,1,1+$M45/Scenario_DT!$C$19)*(1+$N45)^MAX(0,Scenario_DT!L$18-3))*(Scenario_DT!L$12+$O45)-Scenario_DT!L$13)*(1-Scenario_DT!L$14)+Scenario_DT!L$13-Scenario_DT!L$15)*Scenario_DT!L$16</f>
        <v>2487.5374461662282</v>
      </c>
      <c r="V45" s="28">
        <f>((Scenario_DT!M$11*(IF(Scenario_DT!M$18=1,1,1+$M45/Scenario_DT!$C$19)*(1+$N45)^MAX(0,Scenario_DT!M$18-3))*(Scenario_DT!M$12+$O45)-Scenario_DT!M$13)*(1-Scenario_DT!M$14)+Scenario_DT!M$13-Scenario_DT!M$15)*Scenario_DT!M$16</f>
        <v>2615.3236758718194</v>
      </c>
      <c r="W45" s="28">
        <f>((Scenario_DT!N$11*(IF(Scenario_DT!N$18=1,1,1+$M45/Scenario_DT!$C$19)*(1+$N45)^MAX(0,Scenario_DT!N$18-3))*(Scenario_DT!N$12+$O45)-Scenario_DT!N$13)*(1-Scenario_DT!N$14)+Scenario_DT!N$13-Scenario_DT!N$15)*Scenario_DT!N$16</f>
        <v>2749.6695136800763</v>
      </c>
      <c r="X45" s="28">
        <f>((Scenario_DT!O$11*(IF(Scenario_DT!O$18=1,1,1+$M45/Scenario_DT!$C$19)*(1+$N45)^MAX(0,Scenario_DT!O$18-3))*(Scenario_DT!O$12+$O45)-Scenario_DT!O$13)*(1-Scenario_DT!O$14)+Scenario_DT!O$13-Scenario_DT!O$15)*Scenario_DT!O$16</f>
        <v>2890.9141660947639</v>
      </c>
      <c r="Y45" s="28">
        <f>((Scenario_DT!P$11*(IF(Scenario_DT!P$18=1,1,1+$M45/Scenario_DT!$C$19)*(1+$N45)^MAX(0,Scenario_DT!P$18-3))*(Scenario_DT!P$12+$O45)-Scenario_DT!P$13)*(1-Scenario_DT!P$14)+Scenario_DT!P$13-Scenario_DT!P$15)*Scenario_DT!P$16</f>
        <v>3039.4143998334644</v>
      </c>
      <c r="Z45" s="28">
        <f>((Scenario_DT!Q$11*(IF(Scenario_DT!Q$18=1,1,1+$M45/Scenario_DT!$C$19)*(1+$N45)^MAX(0,Scenario_DT!Q$18-3))*(Scenario_DT!Q$12+$O45)-Scenario_DT!Q$13)*(1-Scenario_DT!Q$14)+Scenario_DT!Q$13-Scenario_DT!Q$15)*Scenario_DT!Q$16</f>
        <v>3195.5454508321968</v>
      </c>
      <c r="AA45" s="28">
        <f>((Scenario_DT!R$11*(IF(Scenario_DT!R$18=1,1,1+$M45/Scenario_DT!$C$19)*(1+$N45)^MAX(0,Scenario_DT!R$18-3))*(Scenario_DT!R$12+$O45)-Scenario_DT!R$13)*(1-Scenario_DT!R$14)+Scenario_DT!R$13-Scenario_DT!R$15)*Scenario_DT!R$16</f>
        <v>3359.7019802925952</v>
      </c>
      <c r="AB45" s="17">
        <f>(Scenario_DT!$R$11*(1+$M45/Scenario_DT!$C$19)*(1+$N45)^7*(Scenario_DT!$R$12+$O45)*(1+MIN(DCF_FCFF!$C$26+$Q45,(DCF_FCFF!$C$25+$P45)-0.02))*(1-DCF_FCFF!$C$27)*(1-DCF_FCFF!$C$28)/((DCF_FCFF!$C$25+$P45)-MIN(DCF_FCFF!$C$26+$Q45,(DCF_FCFF!$C$25+$P45)-0.02)))*(1+(DCF_FCFF!$C$25+$P45))^(-(Inputs!$C$9+9))</f>
        <v>39529.06890267611</v>
      </c>
      <c r="AC45" s="17">
        <f>SUMPRODUCT(R45:AA45*(1+(DCF_FCFF!$C$25+$P45))^(-Scenario_DT!$I$17:$R$17))+AB45</f>
        <v>56753.463816108677</v>
      </c>
      <c r="AD45" s="68">
        <f>((AC45-DCF_FCFF!$C$48)*(1-DCF_FCFF!$C$50)+DCF_FCFF!$C$57+DCF_FCFF!$C$58)/DCF_FCFF!$C$60</f>
        <v>448.31893139963745</v>
      </c>
      <c r="AE45" s="6"/>
      <c r="AF45" s="17">
        <v>450</v>
      </c>
      <c r="AG45" s="17">
        <f t="shared" si="10"/>
        <v>13</v>
      </c>
    </row>
    <row r="46" spans="1:33" x14ac:dyDescent="0.3">
      <c r="A46" s="6"/>
      <c r="B46" s="72">
        <v>15</v>
      </c>
      <c r="C46" s="73">
        <v>0.214584672819529</v>
      </c>
      <c r="D46" s="73">
        <v>0.40852864372463599</v>
      </c>
      <c r="E46" s="73">
        <v>0.853403073268166</v>
      </c>
      <c r="F46" s="73">
        <v>0.233939485865341</v>
      </c>
      <c r="G46" s="73">
        <v>5.8302741689065997E-2</v>
      </c>
      <c r="H46" s="15">
        <f t="shared" si="0"/>
        <v>-0.79061387840488451</v>
      </c>
      <c r="I46" s="15">
        <f t="shared" si="1"/>
        <v>-0.23133148630560846</v>
      </c>
      <c r="J46" s="15">
        <f t="shared" si="2"/>
        <v>1.0511409618358363</v>
      </c>
      <c r="K46" s="15">
        <f t="shared" si="3"/>
        <v>-0.72593442452023949</v>
      </c>
      <c r="L46" s="15">
        <f t="shared" si="4"/>
        <v>-1.5691822308941235</v>
      </c>
      <c r="M46" s="18">
        <f t="shared" si="5"/>
        <v>-1.581227756809769E-2</v>
      </c>
      <c r="N46" s="18">
        <f t="shared" si="6"/>
        <v>-4.7651670643064888E-3</v>
      </c>
      <c r="O46" s="18">
        <f t="shared" si="7"/>
        <v>1.2613691542030035E-2</v>
      </c>
      <c r="P46" s="18">
        <f t="shared" si="8"/>
        <v>-4.3556065471214373E-3</v>
      </c>
      <c r="Q46" s="18">
        <f t="shared" si="9"/>
        <v>-6.2767289235764936E-3</v>
      </c>
      <c r="R46" s="28">
        <f>((Scenario_DT!I$11*(IF(Scenario_DT!I$18=1,1,1+$M46/Scenario_DT!$C$19)*(1+$N46)^MAX(0,Scenario_DT!I$18-3))*(Scenario_DT!I$12+$O46)-Scenario_DT!I$13)*(1-Scenario_DT!I$14)+Scenario_DT!I$13-Scenario_DT!I$15)*Scenario_DT!I$16</f>
        <v>928.7684851679453</v>
      </c>
      <c r="S46" s="28">
        <f>((Scenario_DT!J$11*(IF(Scenario_DT!J$18=1,1,1+$M46/Scenario_DT!$C$19)*(1+$N46)^MAX(0,Scenario_DT!J$18-3))*(Scenario_DT!J$12+$O46)-Scenario_DT!J$13)*(1-Scenario_DT!J$14)+Scenario_DT!J$13-Scenario_DT!J$15)*Scenario_DT!J$16</f>
        <v>1832.5594529059131</v>
      </c>
      <c r="T46" s="28">
        <f>((Scenario_DT!K$11*(IF(Scenario_DT!K$18=1,1,1+$M46/Scenario_DT!$C$19)*(1+$N46)^MAX(0,Scenario_DT!K$18-3))*(Scenario_DT!K$12+$O46)-Scenario_DT!K$13)*(1-Scenario_DT!K$14)+Scenario_DT!K$13-Scenario_DT!K$15)*Scenario_DT!K$16</f>
        <v>2096.630126556478</v>
      </c>
      <c r="U46" s="28">
        <f>((Scenario_DT!L$11*(IF(Scenario_DT!L$18=1,1,1+$M46/Scenario_DT!$C$19)*(1+$N46)^MAX(0,Scenario_DT!L$18-3))*(Scenario_DT!L$12+$O46)-Scenario_DT!L$13)*(1-Scenario_DT!L$14)+Scenario_DT!L$13-Scenario_DT!L$15)*Scenario_DT!L$16</f>
        <v>2485.6855475692996</v>
      </c>
      <c r="V46" s="28">
        <f>((Scenario_DT!M$11*(IF(Scenario_DT!M$18=1,1,1+$M46/Scenario_DT!$C$19)*(1+$N46)^MAX(0,Scenario_DT!M$18-3))*(Scenario_DT!M$12+$O46)-Scenario_DT!M$13)*(1-Scenario_DT!M$14)+Scenario_DT!M$13-Scenario_DT!M$15)*Scenario_DT!M$16</f>
        <v>2596.7270207087854</v>
      </c>
      <c r="W46" s="28">
        <f>((Scenario_DT!N$11*(IF(Scenario_DT!N$18=1,1,1+$M46/Scenario_DT!$C$19)*(1+$N46)^MAX(0,Scenario_DT!N$18-3))*(Scenario_DT!N$12+$O46)-Scenario_DT!N$13)*(1-Scenario_DT!N$14)+Scenario_DT!N$13-Scenario_DT!N$15)*Scenario_DT!N$16</f>
        <v>2712.7140924679497</v>
      </c>
      <c r="X46" s="28">
        <f>((Scenario_DT!O$11*(IF(Scenario_DT!O$18=1,1,1+$M46/Scenario_DT!$C$19)*(1+$N46)^MAX(0,Scenario_DT!O$18-3))*(Scenario_DT!O$12+$O46)-Scenario_DT!O$13)*(1-Scenario_DT!O$14)+Scenario_DT!O$13-Scenario_DT!O$15)*Scenario_DT!O$16</f>
        <v>2833.8688974136703</v>
      </c>
      <c r="Y46" s="28">
        <f>((Scenario_DT!P$11*(IF(Scenario_DT!P$18=1,1,1+$M46/Scenario_DT!$C$19)*(1+$N46)^MAX(0,Scenario_DT!P$18-3))*(Scenario_DT!P$12+$O46)-Scenario_DT!P$13)*(1-Scenario_DT!P$14)+Scenario_DT!P$13-Scenario_DT!P$15)*Scenario_DT!P$16</f>
        <v>2960.4235668274464</v>
      </c>
      <c r="Z46" s="28">
        <f>((Scenario_DT!Q$11*(IF(Scenario_DT!Q$18=1,1,1+$M46/Scenario_DT!$C$19)*(1+$N46)^MAX(0,Scenario_DT!Q$18-3))*(Scenario_DT!Q$12+$O46)-Scenario_DT!Q$13)*(1-Scenario_DT!Q$14)+Scenario_DT!Q$13-Scenario_DT!Q$15)*Scenario_DT!Q$16</f>
        <v>3092.6206788088389</v>
      </c>
      <c r="AA46" s="28">
        <f>((Scenario_DT!R$11*(IF(Scenario_DT!R$18=1,1,1+$M46/Scenario_DT!$C$19)*(1+$N46)^MAX(0,Scenario_DT!R$18-3))*(Scenario_DT!R$12+$O46)-Scenario_DT!R$13)*(1-Scenario_DT!R$14)+Scenario_DT!R$13-Scenario_DT!R$15)*Scenario_DT!R$16</f>
        <v>3230.7137286484276</v>
      </c>
      <c r="AB46" s="17">
        <f>(Scenario_DT!$R$11*(1+$M46/Scenario_DT!$C$19)*(1+$N46)^7*(Scenario_DT!$R$12+$O46)*(1+MIN(DCF_FCFF!$C$26+$Q46,(DCF_FCFF!$C$25+$P46)-0.02))*(1-DCF_FCFF!$C$27)*(1-DCF_FCFF!$C$28)/((DCF_FCFF!$C$25+$P46)-MIN(DCF_FCFF!$C$26+$Q46,(DCF_FCFF!$C$25+$P46)-0.02)))*(1+(DCF_FCFF!$C$25+$P46))^(-(Inputs!$C$9+9))</f>
        <v>27108.054544770686</v>
      </c>
      <c r="AC46" s="17">
        <f>SUMPRODUCT(R46:AA46*(1+(DCF_FCFF!$C$25+$P46))^(-Scenario_DT!$I$17:$R$17))+AB46</f>
        <v>43646.600632200207</v>
      </c>
      <c r="AD46" s="68">
        <f>((AC46-DCF_FCFF!$C$48)*(1-DCF_FCFF!$C$50)+DCF_FCFF!$C$57+DCF_FCFF!$C$58)/DCF_FCFF!$C$60</f>
        <v>322.50918629111897</v>
      </c>
      <c r="AE46" s="6"/>
      <c r="AF46" s="17">
        <v>475</v>
      </c>
      <c r="AG46" s="17">
        <f t="shared" si="10"/>
        <v>4</v>
      </c>
    </row>
    <row r="47" spans="1:33" x14ac:dyDescent="0.3">
      <c r="A47" s="6"/>
      <c r="B47" s="72">
        <v>16</v>
      </c>
      <c r="C47" s="73">
        <v>0.28138389202199698</v>
      </c>
      <c r="D47" s="73">
        <v>0.293593757766684</v>
      </c>
      <c r="E47" s="73">
        <v>0.66191651472689494</v>
      </c>
      <c r="F47" s="73">
        <v>0.55703215234127801</v>
      </c>
      <c r="G47" s="73">
        <v>0.78389820910641395</v>
      </c>
      <c r="H47" s="15">
        <f t="shared" si="0"/>
        <v>-0.57873531385577803</v>
      </c>
      <c r="I47" s="15">
        <f t="shared" si="1"/>
        <v>-0.54291617952725912</v>
      </c>
      <c r="J47" s="15">
        <f t="shared" si="2"/>
        <v>0.4176993186323989</v>
      </c>
      <c r="K47" s="15">
        <f t="shared" si="3"/>
        <v>0.14344886244476576</v>
      </c>
      <c r="L47" s="15">
        <f t="shared" si="4"/>
        <v>0.78542644329578781</v>
      </c>
      <c r="M47" s="18">
        <f t="shared" si="5"/>
        <v>-1.157470627711556E-2</v>
      </c>
      <c r="N47" s="18">
        <f t="shared" si="6"/>
        <v>-6.0763748841927067E-3</v>
      </c>
      <c r="O47" s="18">
        <f t="shared" si="7"/>
        <v>5.0123918235887872E-3</v>
      </c>
      <c r="P47" s="18">
        <f t="shared" si="8"/>
        <v>8.6069317466859463E-4</v>
      </c>
      <c r="Q47" s="18">
        <f t="shared" si="9"/>
        <v>3.1417057731831515E-3</v>
      </c>
      <c r="R47" s="28">
        <f>((Scenario_DT!I$11*(IF(Scenario_DT!I$18=1,1,1+$M47/Scenario_DT!$C$19)*(1+$N47)^MAX(0,Scenario_DT!I$18-3))*(Scenario_DT!I$12+$O47)-Scenario_DT!I$13)*(1-Scenario_DT!I$14)+Scenario_DT!I$13-Scenario_DT!I$15)*Scenario_DT!I$16</f>
        <v>918.05147058978525</v>
      </c>
      <c r="S47" s="28">
        <f>((Scenario_DT!J$11*(IF(Scenario_DT!J$18=1,1,1+$M47/Scenario_DT!$C$19)*(1+$N47)^MAX(0,Scenario_DT!J$18-3))*(Scenario_DT!J$12+$O47)-Scenario_DT!J$13)*(1-Scenario_DT!J$14)+Scenario_DT!J$13-Scenario_DT!J$15)*Scenario_DT!J$16</f>
        <v>1819.5582574425048</v>
      </c>
      <c r="T47" s="28">
        <f>((Scenario_DT!K$11*(IF(Scenario_DT!K$18=1,1,1+$M47/Scenario_DT!$C$19)*(1+$N47)^MAX(0,Scenario_DT!K$18-3))*(Scenario_DT!K$12+$O47)-Scenario_DT!K$13)*(1-Scenario_DT!K$14)+Scenario_DT!K$13-Scenario_DT!K$15)*Scenario_DT!K$16</f>
        <v>2083.3007142387269</v>
      </c>
      <c r="U47" s="28">
        <f>((Scenario_DT!L$11*(IF(Scenario_DT!L$18=1,1,1+$M47/Scenario_DT!$C$19)*(1+$N47)^MAX(0,Scenario_DT!L$18-3))*(Scenario_DT!L$12+$O47)-Scenario_DT!L$13)*(1-Scenario_DT!L$14)+Scenario_DT!L$13-Scenario_DT!L$15)*Scenario_DT!L$16</f>
        <v>2468.32159391596</v>
      </c>
      <c r="V47" s="28">
        <f>((Scenario_DT!M$11*(IF(Scenario_DT!M$18=1,1,1+$M47/Scenario_DT!$C$19)*(1+$N47)^MAX(0,Scenario_DT!M$18-3))*(Scenario_DT!M$12+$O47)-Scenario_DT!M$13)*(1-Scenario_DT!M$14)+Scenario_DT!M$13-Scenario_DT!M$15)*Scenario_DT!M$16</f>
        <v>2575.1602091175887</v>
      </c>
      <c r="W47" s="28">
        <f>((Scenario_DT!N$11*(IF(Scenario_DT!N$18=1,1,1+$M47/Scenario_DT!$C$19)*(1+$N47)^MAX(0,Scenario_DT!N$18-3))*(Scenario_DT!N$12+$O47)-Scenario_DT!N$13)*(1-Scenario_DT!N$14)+Scenario_DT!N$13-Scenario_DT!N$15)*Scenario_DT!N$16</f>
        <v>2686.6060618376541</v>
      </c>
      <c r="X47" s="28">
        <f>((Scenario_DT!O$11*(IF(Scenario_DT!O$18=1,1,1+$M47/Scenario_DT!$C$19)*(1+$N47)^MAX(0,Scenario_DT!O$18-3))*(Scenario_DT!O$12+$O47)-Scenario_DT!O$13)*(1-Scenario_DT!O$14)+Scenario_DT!O$13-Scenario_DT!O$15)*Scenario_DT!O$16</f>
        <v>2802.8595514320382</v>
      </c>
      <c r="Y47" s="28">
        <f>((Scenario_DT!P$11*(IF(Scenario_DT!P$18=1,1,1+$M47/Scenario_DT!$C$19)*(1+$N47)^MAX(0,Scenario_DT!P$18-3))*(Scenario_DT!P$12+$O47)-Scenario_DT!P$13)*(1-Scenario_DT!P$14)+Scenario_DT!P$13-Scenario_DT!P$15)*Scenario_DT!P$16</f>
        <v>2924.1298119910066</v>
      </c>
      <c r="Z47" s="28">
        <f>((Scenario_DT!Q$11*(IF(Scenario_DT!Q$18=1,1,1+$M47/Scenario_DT!$C$19)*(1+$N47)^MAX(0,Scenario_DT!Q$18-3))*(Scenario_DT!Q$12+$O47)-Scenario_DT!Q$13)*(1-Scenario_DT!Q$14)+Scenario_DT!Q$13-Scenario_DT!Q$15)*Scenario_DT!Q$16</f>
        <v>3050.6350932711375</v>
      </c>
      <c r="AA47" s="28">
        <f>((Scenario_DT!R$11*(IF(Scenario_DT!R$18=1,1,1+$M47/Scenario_DT!$C$19)*(1+$N47)^MAX(0,Scenario_DT!R$18-3))*(Scenario_DT!R$12+$O47)-Scenario_DT!R$13)*(1-Scenario_DT!R$14)+Scenario_DT!R$13-Scenario_DT!R$15)*Scenario_DT!R$16</f>
        <v>3182.6031582439768</v>
      </c>
      <c r="AB47" s="17">
        <f>(Scenario_DT!$R$11*(1+$M47/Scenario_DT!$C$19)*(1+$N47)^7*(Scenario_DT!$R$12+$O47)*(1+MIN(DCF_FCFF!$C$26+$Q47,(DCF_FCFF!$C$25+$P47)-0.02))*(1-DCF_FCFF!$C$27)*(1-DCF_FCFF!$C$28)/((DCF_FCFF!$C$25+$P47)-MIN(DCF_FCFF!$C$26+$Q47,(DCF_FCFF!$C$25+$P47)-0.02)))*(1+(DCF_FCFF!$C$25+$P47))^(-(Inputs!$C$9+9))</f>
        <v>28004.738767730134</v>
      </c>
      <c r="AC47" s="17">
        <f>SUMPRODUCT(R47:AA47*(1+(DCF_FCFF!$C$25+$P47))^(-Scenario_DT!$I$17:$R$17))+AB47</f>
        <v>44023.872950581608</v>
      </c>
      <c r="AD47" s="68">
        <f>((AC47-DCF_FCFF!$C$48)*(1-DCF_FCFF!$C$50)+DCF_FCFF!$C$57+DCF_FCFF!$C$58)/DCF_FCFF!$C$60</f>
        <v>326.13053592650215</v>
      </c>
      <c r="AE47" s="6"/>
      <c r="AF47" s="17">
        <v>500</v>
      </c>
      <c r="AG47" s="17">
        <f t="shared" si="10"/>
        <v>6</v>
      </c>
    </row>
    <row r="48" spans="1:33" x14ac:dyDescent="0.3">
      <c r="A48" s="6"/>
      <c r="B48" s="72">
        <v>17</v>
      </c>
      <c r="C48" s="73">
        <v>0.66431354032738799</v>
      </c>
      <c r="D48" s="73">
        <v>0.40638686144007102</v>
      </c>
      <c r="E48" s="73">
        <v>0.81402038466603499</v>
      </c>
      <c r="F48" s="73">
        <v>0.16697291990770399</v>
      </c>
      <c r="G48" s="73">
        <v>2.2712073133860498E-2</v>
      </c>
      <c r="H48" s="15">
        <f t="shared" si="0"/>
        <v>0.42426450918172681</v>
      </c>
      <c r="I48" s="15">
        <f t="shared" si="1"/>
        <v>-0.23684927516513954</v>
      </c>
      <c r="J48" s="15">
        <f t="shared" si="2"/>
        <v>0.89280943905460464</v>
      </c>
      <c r="K48" s="15">
        <f t="shared" si="3"/>
        <v>-0.96619654817299505</v>
      </c>
      <c r="L48" s="15">
        <f t="shared" si="4"/>
        <v>-2.0007054082052678</v>
      </c>
      <c r="M48" s="18">
        <f t="shared" si="5"/>
        <v>8.4852901836345359E-3</v>
      </c>
      <c r="N48" s="18">
        <f t="shared" si="6"/>
        <v>5.6118123439374614E-5</v>
      </c>
      <c r="O48" s="18">
        <f t="shared" si="7"/>
        <v>1.0713713268655256E-2</v>
      </c>
      <c r="P48" s="18">
        <f t="shared" si="8"/>
        <v>-5.7971792890379702E-3</v>
      </c>
      <c r="Q48" s="18">
        <f t="shared" si="9"/>
        <v>-8.0028216328210718E-3</v>
      </c>
      <c r="R48" s="28">
        <f>((Scenario_DT!I$11*(IF(Scenario_DT!I$18=1,1,1+$M48/Scenario_DT!$C$19)*(1+$N48)^MAX(0,Scenario_DT!I$18-3))*(Scenario_DT!I$12+$O48)-Scenario_DT!I$13)*(1-Scenario_DT!I$14)+Scenario_DT!I$13-Scenario_DT!I$15)*Scenario_DT!I$16</f>
        <v>926.08972027139134</v>
      </c>
      <c r="S48" s="28">
        <f>((Scenario_DT!J$11*(IF(Scenario_DT!J$18=1,1,1+$M48/Scenario_DT!$C$19)*(1+$N48)^MAX(0,Scenario_DT!J$18-3))*(Scenario_DT!J$12+$O48)-Scenario_DT!J$13)*(1-Scenario_DT!J$14)+Scenario_DT!J$13-Scenario_DT!J$15)*Scenario_DT!J$16</f>
        <v>1885.8373157172787</v>
      </c>
      <c r="T48" s="28">
        <f>((Scenario_DT!K$11*(IF(Scenario_DT!K$18=1,1,1+$M48/Scenario_DT!$C$19)*(1+$N48)^MAX(0,Scenario_DT!K$18-3))*(Scenario_DT!K$12+$O48)-Scenario_DT!K$13)*(1-Scenario_DT!K$14)+Scenario_DT!K$13-Scenario_DT!K$15)*Scenario_DT!K$16</f>
        <v>2152.6696106322506</v>
      </c>
      <c r="U48" s="28">
        <f>((Scenario_DT!L$11*(IF(Scenario_DT!L$18=1,1,1+$M48/Scenario_DT!$C$19)*(1+$N48)^MAX(0,Scenario_DT!L$18-3))*(Scenario_DT!L$12+$O48)-Scenario_DT!L$13)*(1-Scenario_DT!L$14)+Scenario_DT!L$13-Scenario_DT!L$15)*Scenario_DT!L$16</f>
        <v>2557.3136506738151</v>
      </c>
      <c r="V48" s="28">
        <f>((Scenario_DT!M$11*(IF(Scenario_DT!M$18=1,1,1+$M48/Scenario_DT!$C$19)*(1+$N48)^MAX(0,Scenario_DT!M$18-3))*(Scenario_DT!M$12+$O48)-Scenario_DT!M$13)*(1-Scenario_DT!M$14)+Scenario_DT!M$13-Scenario_DT!M$15)*Scenario_DT!M$16</f>
        <v>2684.6095849788612</v>
      </c>
      <c r="W48" s="28">
        <f>((Scenario_DT!N$11*(IF(Scenario_DT!N$18=1,1,1+$M48/Scenario_DT!$C$19)*(1+$N48)^MAX(0,Scenario_DT!N$18-3))*(Scenario_DT!N$12+$O48)-Scenario_DT!N$13)*(1-Scenario_DT!N$14)+Scenario_DT!N$13-Scenario_DT!N$15)*Scenario_DT!N$16</f>
        <v>2818.2348529368869</v>
      </c>
      <c r="X48" s="28">
        <f>((Scenario_DT!O$11*(IF(Scenario_DT!O$18=1,1,1+$M48/Scenario_DT!$C$19)*(1+$N48)^MAX(0,Scenario_DT!O$18-3))*(Scenario_DT!O$12+$O48)-Scenario_DT!O$13)*(1-Scenario_DT!O$14)+Scenario_DT!O$13-Scenario_DT!O$15)*Scenario_DT!O$16</f>
        <v>2958.5065078878574</v>
      </c>
      <c r="Y48" s="28">
        <f>((Scenario_DT!P$11*(IF(Scenario_DT!P$18=1,1,1+$M48/Scenario_DT!$C$19)*(1+$N48)^MAX(0,Scenario_DT!P$18-3))*(Scenario_DT!P$12+$O48)-Scenario_DT!P$13)*(1-Scenario_DT!P$14)+Scenario_DT!P$13-Scenario_DT!P$15)*Scenario_DT!P$16</f>
        <v>3105.7575056020228</v>
      </c>
      <c r="Z48" s="28">
        <f>((Scenario_DT!Q$11*(IF(Scenario_DT!Q$18=1,1,1+$M48/Scenario_DT!$C$19)*(1+$N48)^MAX(0,Scenario_DT!Q$18-3))*(Scenario_DT!Q$12+$O48)-Scenario_DT!Q$13)*(1-Scenario_DT!Q$14)+Scenario_DT!Q$13-Scenario_DT!Q$15)*Scenario_DT!Q$16</f>
        <v>3260.3375019514579</v>
      </c>
      <c r="AA48" s="28">
        <f>((Scenario_DT!R$11*(IF(Scenario_DT!R$18=1,1,1+$M48/Scenario_DT!$C$19)*(1+$N48)^MAX(0,Scenario_DT!R$18-3))*(Scenario_DT!R$12+$O48)-Scenario_DT!R$13)*(1-Scenario_DT!R$14)+Scenario_DT!R$13-Scenario_DT!R$15)*Scenario_DT!R$16</f>
        <v>3422.6136905868761</v>
      </c>
      <c r="AB48" s="17">
        <f>(Scenario_DT!$R$11*(1+$M48/Scenario_DT!$C$19)*(1+$N48)^7*(Scenario_DT!$R$12+$O48)*(1+MIN(DCF_FCFF!$C$26+$Q48,(DCF_FCFF!$C$25+$P48)-0.02))*(1-DCF_FCFF!$C$27)*(1-DCF_FCFF!$C$28)/((DCF_FCFF!$C$25+$P48)-MIN(DCF_FCFF!$C$26+$Q48,(DCF_FCFF!$C$25+$P48)-0.02)))*(1+(DCF_FCFF!$C$25+$P48))^(-(Inputs!$C$9+9))</f>
        <v>28862.188247741127</v>
      </c>
      <c r="AC48" s="17">
        <f>SUMPRODUCT(R48:AA48*(1+(DCF_FCFF!$C$25+$P48))^(-Scenario_DT!$I$17:$R$17))+AB48</f>
        <v>46126.581846447312</v>
      </c>
      <c r="AD48" s="68">
        <f>((AC48-DCF_FCFF!$C$48)*(1-DCF_FCFF!$C$50)+DCF_FCFF!$C$57+DCF_FCFF!$C$58)/DCF_FCFF!$C$60</f>
        <v>346.31395178385696</v>
      </c>
      <c r="AE48" s="6"/>
      <c r="AF48" s="17">
        <v>525</v>
      </c>
      <c r="AG48" s="17">
        <f t="shared" si="10"/>
        <v>1</v>
      </c>
    </row>
    <row r="49" spans="1:33" x14ac:dyDescent="0.3">
      <c r="A49" s="6"/>
      <c r="B49" s="72">
        <v>18</v>
      </c>
      <c r="C49" s="73">
        <v>9.0047860775641794E-2</v>
      </c>
      <c r="D49" s="73">
        <v>0.72235935059644996</v>
      </c>
      <c r="E49" s="73">
        <v>0.46187723025138699</v>
      </c>
      <c r="F49" s="73">
        <v>0.16127177903360199</v>
      </c>
      <c r="G49" s="73">
        <v>0.50104477510336398</v>
      </c>
      <c r="H49" s="15">
        <f t="shared" si="0"/>
        <v>-1.3404603656835785</v>
      </c>
      <c r="I49" s="15">
        <f t="shared" si="1"/>
        <v>0.58986479398034519</v>
      </c>
      <c r="J49" s="15">
        <f t="shared" si="2"/>
        <v>-9.5705515214485046E-2</v>
      </c>
      <c r="K49" s="15">
        <f t="shared" si="3"/>
        <v>-0.98924444454055838</v>
      </c>
      <c r="L49" s="15">
        <f t="shared" si="4"/>
        <v>2.6188658082831827E-3</v>
      </c>
      <c r="M49" s="18">
        <f t="shared" si="5"/>
        <v>-2.6809207313671569E-2</v>
      </c>
      <c r="N49" s="18">
        <f t="shared" si="6"/>
        <v>-1.2751382916538886E-3</v>
      </c>
      <c r="O49" s="18">
        <f t="shared" si="7"/>
        <v>-1.1484661825738205E-3</v>
      </c>
      <c r="P49" s="18">
        <f t="shared" si="8"/>
        <v>-5.9354666672433503E-3</v>
      </c>
      <c r="Q49" s="18">
        <f t="shared" si="9"/>
        <v>1.0475463233132731E-5</v>
      </c>
      <c r="R49" s="28">
        <f>((Scenario_DT!I$11*(IF(Scenario_DT!I$18=1,1,1+$M49/Scenario_DT!$C$19)*(1+$N49)^MAX(0,Scenario_DT!I$18-3))*(Scenario_DT!I$12+$O49)-Scenario_DT!I$13)*(1-Scenario_DT!I$14)+Scenario_DT!I$13-Scenario_DT!I$15)*Scenario_DT!I$16</f>
        <v>909.36532381072379</v>
      </c>
      <c r="S49" s="28">
        <f>((Scenario_DT!J$11*(IF(Scenario_DT!J$18=1,1,1+$M49/Scenario_DT!$C$19)*(1+$N49)^MAX(0,Scenario_DT!J$18-3))*(Scenario_DT!J$12+$O49)-Scenario_DT!J$13)*(1-Scenario_DT!J$14)+Scenario_DT!J$13-Scenario_DT!J$15)*Scenario_DT!J$16</f>
        <v>1764.1995782426379</v>
      </c>
      <c r="T49" s="28">
        <f>((Scenario_DT!K$11*(IF(Scenario_DT!K$18=1,1,1+$M49/Scenario_DT!$C$19)*(1+$N49)^MAX(0,Scenario_DT!K$18-3))*(Scenario_DT!K$12+$O49)-Scenario_DT!K$13)*(1-Scenario_DT!K$14)+Scenario_DT!K$13-Scenario_DT!K$15)*Scenario_DT!K$16</f>
        <v>2025.4129842798166</v>
      </c>
      <c r="U49" s="28">
        <f>((Scenario_DT!L$11*(IF(Scenario_DT!L$18=1,1,1+$M49/Scenario_DT!$C$19)*(1+$N49)^MAX(0,Scenario_DT!L$18-3))*(Scenario_DT!L$12+$O49)-Scenario_DT!L$13)*(1-Scenario_DT!L$14)+Scenario_DT!L$13-Scenario_DT!L$15)*Scenario_DT!L$16</f>
        <v>2418.9410699249806</v>
      </c>
      <c r="V49" s="28">
        <f>((Scenario_DT!M$11*(IF(Scenario_DT!M$18=1,1,1+$M49/Scenario_DT!$C$19)*(1+$N49)^MAX(0,Scenario_DT!M$18-3))*(Scenario_DT!M$12+$O49)-Scenario_DT!M$13)*(1-Scenario_DT!M$14)+Scenario_DT!M$13-Scenario_DT!M$15)*Scenario_DT!M$16</f>
        <v>2535.9053913335929</v>
      </c>
      <c r="W49" s="28">
        <f>((Scenario_DT!N$11*(IF(Scenario_DT!N$18=1,1,1+$M49/Scenario_DT!$C$19)*(1+$N49)^MAX(0,Scenario_DT!N$18-3))*(Scenario_DT!N$12+$O49)-Scenario_DT!N$13)*(1-Scenario_DT!N$14)+Scenario_DT!N$13-Scenario_DT!N$15)*Scenario_DT!N$16</f>
        <v>2658.5161741617389</v>
      </c>
      <c r="X49" s="28">
        <f>((Scenario_DT!O$11*(IF(Scenario_DT!O$18=1,1,1+$M49/Scenario_DT!$C$19)*(1+$N49)^MAX(0,Scenario_DT!O$18-3))*(Scenario_DT!O$12+$O49)-Scenario_DT!O$13)*(1-Scenario_DT!O$14)+Scenario_DT!O$13-Scenario_DT!O$15)*Scenario_DT!O$16</f>
        <v>2787.0482255916249</v>
      </c>
      <c r="Y49" s="28">
        <f>((Scenario_DT!P$11*(IF(Scenario_DT!P$18=1,1,1+$M49/Scenario_DT!$C$19)*(1+$N49)^MAX(0,Scenario_DT!P$18-3))*(Scenario_DT!P$12+$O49)-Scenario_DT!P$13)*(1-Scenario_DT!P$14)+Scenario_DT!P$13-Scenario_DT!P$15)*Scenario_DT!P$16</f>
        <v>2921.7897481177047</v>
      </c>
      <c r="Z49" s="28">
        <f>((Scenario_DT!Q$11*(IF(Scenario_DT!Q$18=1,1,1+$M49/Scenario_DT!$C$19)*(1+$N49)^MAX(0,Scenario_DT!Q$18-3))*(Scenario_DT!Q$12+$O49)-Scenario_DT!Q$13)*(1-Scenario_DT!Q$14)+Scenario_DT!Q$13-Scenario_DT!Q$15)*Scenario_DT!Q$16</f>
        <v>3063.0429926238216</v>
      </c>
      <c r="AA49" s="28">
        <f>((Scenario_DT!R$11*(IF(Scenario_DT!R$18=1,1,1+$M49/Scenario_DT!$C$19)*(1+$N49)^MAX(0,Scenario_DT!R$18-3))*(Scenario_DT!R$12+$O49)-Scenario_DT!R$13)*(1-Scenario_DT!R$14)+Scenario_DT!R$13-Scenario_DT!R$15)*Scenario_DT!R$16</f>
        <v>3211.1249432983986</v>
      </c>
      <c r="AB49" s="17">
        <f>(Scenario_DT!$R$11*(1+$M49/Scenario_DT!$C$19)*(1+$N49)^7*(Scenario_DT!$R$12+$O49)*(1+MIN(DCF_FCFF!$C$26+$Q49,(DCF_FCFF!$C$25+$P49)-0.02))*(1-DCF_FCFF!$C$27)*(1-DCF_FCFF!$C$28)/((DCF_FCFF!$C$25+$P49)-MIN(DCF_FCFF!$C$26+$Q49,(DCF_FCFF!$C$25+$P49)-0.02)))*(1+(DCF_FCFF!$C$25+$P49))^(-(Inputs!$C$9+9))</f>
        <v>32349.733607453349</v>
      </c>
      <c r="AC49" s="17">
        <f>SUMPRODUCT(R49:AA49*(1+(DCF_FCFF!$C$25+$P49))^(-Scenario_DT!$I$17:$R$17))+AB49</f>
        <v>48648.071444168192</v>
      </c>
      <c r="AD49" s="68">
        <f>((AC49-DCF_FCFF!$C$48)*(1-DCF_FCFF!$C$50)+DCF_FCFF!$C$57+DCF_FCFF!$C$58)/DCF_FCFF!$C$60</f>
        <v>370.51714663924469</v>
      </c>
      <c r="AE49" s="6"/>
      <c r="AF49" s="17">
        <v>550</v>
      </c>
      <c r="AG49" s="17">
        <f t="shared" si="10"/>
        <v>2</v>
      </c>
    </row>
    <row r="50" spans="1:33" x14ac:dyDescent="0.3">
      <c r="A50" s="6"/>
      <c r="B50" s="72">
        <v>19</v>
      </c>
      <c r="C50" s="73">
        <v>0.152312102713168</v>
      </c>
      <c r="D50" s="73">
        <v>0.69632037507773603</v>
      </c>
      <c r="E50" s="73">
        <v>0.44615627557403098</v>
      </c>
      <c r="F50" s="73">
        <v>0.38102122609648298</v>
      </c>
      <c r="G50" s="73">
        <v>0.30151208914787703</v>
      </c>
      <c r="H50" s="15">
        <f t="shared" si="0"/>
        <v>-1.0265674123301918</v>
      </c>
      <c r="I50" s="15">
        <f t="shared" si="1"/>
        <v>0.51384659245727926</v>
      </c>
      <c r="J50" s="15">
        <f t="shared" si="2"/>
        <v>-0.13537858980152545</v>
      </c>
      <c r="K50" s="15">
        <f t="shared" si="3"/>
        <v>-0.30279977854834123</v>
      </c>
      <c r="L50" s="15">
        <f t="shared" si="4"/>
        <v>-0.5200565254284657</v>
      </c>
      <c r="M50" s="18">
        <f t="shared" si="5"/>
        <v>-2.0531348246603836E-2</v>
      </c>
      <c r="N50" s="18">
        <f t="shared" si="6"/>
        <v>-5.462360275921823E-4</v>
      </c>
      <c r="O50" s="18">
        <f t="shared" si="7"/>
        <v>-1.6245430776183054E-3</v>
      </c>
      <c r="P50" s="18">
        <f t="shared" si="8"/>
        <v>-1.8167986712900473E-3</v>
      </c>
      <c r="Q50" s="18">
        <f t="shared" si="9"/>
        <v>-2.0802261017138627E-3</v>
      </c>
      <c r="R50" s="28">
        <f>((Scenario_DT!I$11*(IF(Scenario_DT!I$18=1,1,1+$M50/Scenario_DT!$C$19)*(1+$N50)^MAX(0,Scenario_DT!I$18-3))*(Scenario_DT!I$12+$O50)-Scenario_DT!I$13)*(1-Scenario_DT!I$14)+Scenario_DT!I$13-Scenario_DT!I$15)*Scenario_DT!I$16</f>
        <v>908.69410662241307</v>
      </c>
      <c r="S50" s="28">
        <f>((Scenario_DT!J$11*(IF(Scenario_DT!J$18=1,1,1+$M50/Scenario_DT!$C$19)*(1+$N50)^MAX(0,Scenario_DT!J$18-3))*(Scenario_DT!J$12+$O50)-Scenario_DT!J$13)*(1-Scenario_DT!J$14)+Scenario_DT!J$13-Scenario_DT!J$15)*Scenario_DT!J$16</f>
        <v>1777.7719088113099</v>
      </c>
      <c r="T50" s="28">
        <f>((Scenario_DT!K$11*(IF(Scenario_DT!K$18=1,1,1+$M50/Scenario_DT!$C$19)*(1+$N50)^MAX(0,Scenario_DT!K$18-3))*(Scenario_DT!K$12+$O50)-Scenario_DT!K$13)*(1-Scenario_DT!K$14)+Scenario_DT!K$13-Scenario_DT!K$15)*Scenario_DT!K$16</f>
        <v>2039.6918244126091</v>
      </c>
      <c r="U50" s="28">
        <f>((Scenario_DT!L$11*(IF(Scenario_DT!L$18=1,1,1+$M50/Scenario_DT!$C$19)*(1+$N50)^MAX(0,Scenario_DT!L$18-3))*(Scenario_DT!L$12+$O50)-Scenario_DT!L$13)*(1-Scenario_DT!L$14)+Scenario_DT!L$13-Scenario_DT!L$15)*Scenario_DT!L$16</f>
        <v>2435.8714715194019</v>
      </c>
      <c r="V50" s="28">
        <f>((Scenario_DT!M$11*(IF(Scenario_DT!M$18=1,1,1+$M50/Scenario_DT!$C$19)*(1+$N50)^MAX(0,Scenario_DT!M$18-3))*(Scenario_DT!M$12+$O50)-Scenario_DT!M$13)*(1-Scenario_DT!M$14)+Scenario_DT!M$13-Scenario_DT!M$15)*Scenario_DT!M$16</f>
        <v>2555.5368479609715</v>
      </c>
      <c r="W50" s="28">
        <f>((Scenario_DT!N$11*(IF(Scenario_DT!N$18=1,1,1+$M50/Scenario_DT!$C$19)*(1+$N50)^MAX(0,Scenario_DT!N$18-3))*(Scenario_DT!N$12+$O50)-Scenario_DT!N$13)*(1-Scenario_DT!N$14)+Scenario_DT!N$13-Scenario_DT!N$15)*Scenario_DT!N$16</f>
        <v>2681.072905627725</v>
      </c>
      <c r="X50" s="28">
        <f>((Scenario_DT!O$11*(IF(Scenario_DT!O$18=1,1,1+$M50/Scenario_DT!$C$19)*(1+$N50)^MAX(0,Scenario_DT!O$18-3))*(Scenario_DT!O$12+$O50)-Scenario_DT!O$13)*(1-Scenario_DT!O$14)+Scenario_DT!O$13-Scenario_DT!O$15)*Scenario_DT!O$16</f>
        <v>2812.7699484437503</v>
      </c>
      <c r="Y50" s="28">
        <f>((Scenario_DT!P$11*(IF(Scenario_DT!P$18=1,1,1+$M50/Scenario_DT!$C$19)*(1+$N50)^MAX(0,Scenario_DT!P$18-3))*(Scenario_DT!P$12+$O50)-Scenario_DT!P$13)*(1-Scenario_DT!P$14)+Scenario_DT!P$13-Scenario_DT!P$15)*Scenario_DT!P$16</f>
        <v>2950.9326564016087</v>
      </c>
      <c r="Z50" s="28">
        <f>((Scenario_DT!Q$11*(IF(Scenario_DT!Q$18=1,1,1+$M50/Scenario_DT!$C$19)*(1+$N50)^MAX(0,Scenario_DT!Q$18-3))*(Scenario_DT!Q$12+$O50)-Scenario_DT!Q$13)*(1-Scenario_DT!Q$14)+Scenario_DT!Q$13-Scenario_DT!Q$15)*Scenario_DT!Q$16</f>
        <v>3095.8807975675509</v>
      </c>
      <c r="AA50" s="28">
        <f>((Scenario_DT!R$11*(IF(Scenario_DT!R$18=1,1,1+$M50/Scenario_DT!$C$19)*(1+$N50)^MAX(0,Scenario_DT!R$18-3))*(Scenario_DT!R$12+$O50)-Scenario_DT!R$13)*(1-Scenario_DT!R$14)+Scenario_DT!R$13-Scenario_DT!R$15)*Scenario_DT!R$16</f>
        <v>3247.9499753460054</v>
      </c>
      <c r="AB50" s="17">
        <f>(Scenario_DT!$R$11*(1+$M50/Scenario_DT!$C$19)*(1+$N50)^7*(Scenario_DT!$R$12+$O50)*(1+MIN(DCF_FCFF!$C$26+$Q50,(DCF_FCFF!$C$25+$P50)-0.02))*(1-DCF_FCFF!$C$27)*(1-DCF_FCFF!$C$28)/((DCF_FCFF!$C$25+$P50)-MIN(DCF_FCFF!$C$26+$Q50,(DCF_FCFF!$C$25+$P50)-0.02)))*(1+(DCF_FCFF!$C$25+$P50))^(-(Inputs!$C$9+9))</f>
        <v>27639.33483197687</v>
      </c>
      <c r="AC50" s="17">
        <f>SUMPRODUCT(R50:AA50*(1+(DCF_FCFF!$C$25+$P50))^(-Scenario_DT!$I$17:$R$17))+AB50</f>
        <v>43786.136883412328</v>
      </c>
      <c r="AD50" s="68">
        <f>((AC50-DCF_FCFF!$C$48)*(1-DCF_FCFF!$C$50)+DCF_FCFF!$C$57+DCF_FCFF!$C$58)/DCF_FCFF!$C$60</f>
        <v>323.84856246008269</v>
      </c>
      <c r="AE50" s="6"/>
      <c r="AF50" s="17">
        <v>575</v>
      </c>
      <c r="AG50" s="17">
        <f t="shared" si="10"/>
        <v>2</v>
      </c>
    </row>
    <row r="51" spans="1:33" x14ac:dyDescent="0.3">
      <c r="A51" s="6"/>
      <c r="B51" s="72">
        <v>20</v>
      </c>
      <c r="C51" s="73">
        <v>0.63028259311888901</v>
      </c>
      <c r="D51" s="73">
        <v>0.36181261055338998</v>
      </c>
      <c r="E51" s="73">
        <v>8.7649919316100999E-2</v>
      </c>
      <c r="F51" s="73">
        <v>0.118005902120515</v>
      </c>
      <c r="G51" s="73">
        <v>0.96189766454951497</v>
      </c>
      <c r="H51" s="15">
        <f t="shared" si="0"/>
        <v>0.33260189364360421</v>
      </c>
      <c r="I51" s="15">
        <f t="shared" si="1"/>
        <v>-0.35361794895175713</v>
      </c>
      <c r="J51" s="15">
        <f t="shared" si="2"/>
        <v>-1.3553695734693925</v>
      </c>
      <c r="K51" s="15">
        <f t="shared" si="3"/>
        <v>-1.1850142715642766</v>
      </c>
      <c r="L51" s="15">
        <f t="shared" si="4"/>
        <v>1.7731450728345921</v>
      </c>
      <c r="M51" s="18">
        <f t="shared" si="5"/>
        <v>6.652037872872084E-3</v>
      </c>
      <c r="N51" s="18">
        <f t="shared" si="6"/>
        <v>-1.1195294416365472E-3</v>
      </c>
      <c r="O51" s="18">
        <f t="shared" si="7"/>
        <v>-1.6264434881632709E-2</v>
      </c>
      <c r="P51" s="18">
        <f t="shared" si="8"/>
        <v>-7.1100856293856603E-3</v>
      </c>
      <c r="Q51" s="18">
        <f t="shared" si="9"/>
        <v>7.0925802913383686E-3</v>
      </c>
      <c r="R51" s="28">
        <f>((Scenario_DT!I$11*(IF(Scenario_DT!I$18=1,1,1+$M51/Scenario_DT!$C$19)*(1+$N51)^MAX(0,Scenario_DT!I$18-3))*(Scenario_DT!I$12+$O51)-Scenario_DT!I$13)*(1-Scenario_DT!I$14)+Scenario_DT!I$13-Scenario_DT!I$15)*Scenario_DT!I$16</f>
        <v>888.05343467184252</v>
      </c>
      <c r="S51" s="28">
        <f>((Scenario_DT!J$11*(IF(Scenario_DT!J$18=1,1,1+$M51/Scenario_DT!$C$19)*(1+$N51)^MAX(0,Scenario_DT!J$18-3))*(Scenario_DT!J$12+$O51)-Scenario_DT!J$13)*(1-Scenario_DT!J$14)+Scenario_DT!J$13-Scenario_DT!J$15)*Scenario_DT!J$16</f>
        <v>1796.9459823025923</v>
      </c>
      <c r="T51" s="28">
        <f>((Scenario_DT!K$11*(IF(Scenario_DT!K$18=1,1,1+$M51/Scenario_DT!$C$19)*(1+$N51)^MAX(0,Scenario_DT!K$18-3))*(Scenario_DT!K$12+$O51)-Scenario_DT!K$13)*(1-Scenario_DT!K$14)+Scenario_DT!K$13-Scenario_DT!K$15)*Scenario_DT!K$16</f>
        <v>2060.4867332961753</v>
      </c>
      <c r="U51" s="28">
        <f>((Scenario_DT!L$11*(IF(Scenario_DT!L$18=1,1,1+$M51/Scenario_DT!$C$19)*(1+$N51)^MAX(0,Scenario_DT!L$18-3))*(Scenario_DT!L$12+$O51)-Scenario_DT!L$13)*(1-Scenario_DT!L$14)+Scenario_DT!L$13-Scenario_DT!L$15)*Scenario_DT!L$16</f>
        <v>2456.5193975022639</v>
      </c>
      <c r="V51" s="28">
        <f>((Scenario_DT!M$11*(IF(Scenario_DT!M$18=1,1,1+$M51/Scenario_DT!$C$19)*(1+$N51)^MAX(0,Scenario_DT!M$18-3))*(Scenario_DT!M$12+$O51)-Scenario_DT!M$13)*(1-Scenario_DT!M$14)+Scenario_DT!M$13-Scenario_DT!M$15)*Scenario_DT!M$16</f>
        <v>2575.7164479881112</v>
      </c>
      <c r="W51" s="28">
        <f>((Scenario_DT!N$11*(IF(Scenario_DT!N$18=1,1,1+$M51/Scenario_DT!$C$19)*(1+$N51)^MAX(0,Scenario_DT!N$18-3))*(Scenario_DT!N$12+$O51)-Scenario_DT!N$13)*(1-Scenario_DT!N$14)+Scenario_DT!N$13-Scenario_DT!N$15)*Scenario_DT!N$16</f>
        <v>2700.6883382114761</v>
      </c>
      <c r="X51" s="28">
        <f>((Scenario_DT!O$11*(IF(Scenario_DT!O$18=1,1,1+$M51/Scenario_DT!$C$19)*(1+$N51)^MAX(0,Scenario_DT!O$18-3))*(Scenario_DT!O$12+$O51)-Scenario_DT!O$13)*(1-Scenario_DT!O$14)+Scenario_DT!O$13-Scenario_DT!O$15)*Scenario_DT!O$16</f>
        <v>2831.7170857538654</v>
      </c>
      <c r="Y51" s="28">
        <f>((Scenario_DT!P$11*(IF(Scenario_DT!P$18=1,1,1+$M51/Scenario_DT!$C$19)*(1+$N51)^MAX(0,Scenario_DT!P$18-3))*(Scenario_DT!P$12+$O51)-Scenario_DT!P$13)*(1-Scenario_DT!P$14)+Scenario_DT!P$13-Scenario_DT!P$15)*Scenario_DT!P$16</f>
        <v>2969.0985014110061</v>
      </c>
      <c r="Z51" s="28">
        <f>((Scenario_DT!Q$11*(IF(Scenario_DT!Q$18=1,1,1+$M51/Scenario_DT!$C$19)*(1+$N51)^MAX(0,Scenario_DT!Q$18-3))*(Scenario_DT!Q$12+$O51)-Scenario_DT!Q$13)*(1-Scenario_DT!Q$14)+Scenario_DT!Q$13-Scenario_DT!Q$15)*Scenario_DT!Q$16</f>
        <v>3113.1428639288474</v>
      </c>
      <c r="AA51" s="28">
        <f>((Scenario_DT!R$11*(IF(Scenario_DT!R$18=1,1,1+$M51/Scenario_DT!$C$19)*(1+$N51)^MAX(0,Scenario_DT!R$18-3))*(Scenario_DT!R$12+$O51)-Scenario_DT!R$13)*(1-Scenario_DT!R$14)+Scenario_DT!R$13-Scenario_DT!R$15)*Scenario_DT!R$16</f>
        <v>3264.1756277436821</v>
      </c>
      <c r="AB51" s="17">
        <f>(Scenario_DT!$R$11*(1+$M51/Scenario_DT!$C$19)*(1+$N51)^7*(Scenario_DT!$R$12+$O51)*(1+MIN(DCF_FCFF!$C$26+$Q51,(DCF_FCFF!$C$25+$P51)-0.02))*(1-DCF_FCFF!$C$27)*(1-DCF_FCFF!$C$28)/((DCF_FCFF!$C$25+$P51)-MIN(DCF_FCFF!$C$26+$Q51,(DCF_FCFF!$C$25+$P51)-0.02)))*(1+(DCF_FCFF!$C$25+$P51))^(-(Inputs!$C$9+9))</f>
        <v>41074.379259760746</v>
      </c>
      <c r="AC51" s="17">
        <f>SUMPRODUCT(R51:AA51*(1+(DCF_FCFF!$C$25+$P51))^(-Scenario_DT!$I$17:$R$17))+AB51</f>
        <v>57688.257630971581</v>
      </c>
      <c r="AD51" s="68">
        <f>((AC51-DCF_FCFF!$C$48)*(1-DCF_FCFF!$C$50)+DCF_FCFF!$C$57+DCF_FCFF!$C$58)/DCF_FCFF!$C$60</f>
        <v>457.29180079841996</v>
      </c>
      <c r="AE51" s="6"/>
      <c r="AF51" s="17">
        <v>600</v>
      </c>
      <c r="AG51" s="17">
        <f t="shared" si="10"/>
        <v>0</v>
      </c>
    </row>
    <row r="52" spans="1:33" x14ac:dyDescent="0.3">
      <c r="A52" s="6"/>
      <c r="B52" s="72">
        <v>21</v>
      </c>
      <c r="C52" s="73">
        <v>0.90858069070760705</v>
      </c>
      <c r="D52" s="73">
        <v>0.69970713381075</v>
      </c>
      <c r="E52" s="73">
        <v>0.26586996145952002</v>
      </c>
      <c r="F52" s="73">
        <v>0.96917637734772399</v>
      </c>
      <c r="G52" s="73">
        <v>0.77875090396579505</v>
      </c>
      <c r="H52" s="15">
        <f t="shared" si="0"/>
        <v>1.3320656440755252</v>
      </c>
      <c r="I52" s="15">
        <f t="shared" si="1"/>
        <v>0.52355838506417718</v>
      </c>
      <c r="J52" s="15">
        <f t="shared" si="2"/>
        <v>-0.62535220615183829</v>
      </c>
      <c r="K52" s="15">
        <f t="shared" si="3"/>
        <v>1.8688244265445271</v>
      </c>
      <c r="L52" s="15">
        <f t="shared" si="4"/>
        <v>0.76798147273407535</v>
      </c>
      <c r="M52" s="18">
        <f t="shared" si="5"/>
        <v>2.6641312881510504E-2</v>
      </c>
      <c r="N52" s="18">
        <f t="shared" si="6"/>
        <v>8.9555814709415624E-3</v>
      </c>
      <c r="O52" s="18">
        <f t="shared" si="7"/>
        <v>-7.5042264738220598E-3</v>
      </c>
      <c r="P52" s="18">
        <f t="shared" si="8"/>
        <v>1.1212946559267164E-2</v>
      </c>
      <c r="Q52" s="18">
        <f t="shared" si="9"/>
        <v>3.0719258909363014E-3</v>
      </c>
      <c r="R52" s="28">
        <f>((Scenario_DT!I$11*(IF(Scenario_DT!I$18=1,1,1+$M52/Scenario_DT!$C$19)*(1+$N52)^MAX(0,Scenario_DT!I$18-3))*(Scenario_DT!I$12+$O52)-Scenario_DT!I$13)*(1-Scenario_DT!I$14)+Scenario_DT!I$13-Scenario_DT!I$15)*Scenario_DT!I$16</f>
        <v>900.40438578438204</v>
      </c>
      <c r="S52" s="28">
        <f>((Scenario_DT!J$11*(IF(Scenario_DT!J$18=1,1,1+$M52/Scenario_DT!$C$19)*(1+$N52)^MAX(0,Scenario_DT!J$18-3))*(Scenario_DT!J$12+$O52)-Scenario_DT!J$13)*(1-Scenario_DT!J$14)+Scenario_DT!J$13-Scenario_DT!J$15)*Scenario_DT!J$16</f>
        <v>1871.7667338847814</v>
      </c>
      <c r="T52" s="28">
        <f>((Scenario_DT!K$11*(IF(Scenario_DT!K$18=1,1,1+$M52/Scenario_DT!$C$19)*(1+$N52)^MAX(0,Scenario_DT!K$18-3))*(Scenario_DT!K$12+$O52)-Scenario_DT!K$13)*(1-Scenario_DT!K$14)+Scenario_DT!K$13-Scenario_DT!K$15)*Scenario_DT!K$16</f>
        <v>2138.7052176497164</v>
      </c>
      <c r="U52" s="28">
        <f>((Scenario_DT!L$11*(IF(Scenario_DT!L$18=1,1,1+$M52/Scenario_DT!$C$19)*(1+$N52)^MAX(0,Scenario_DT!L$18-3))*(Scenario_DT!L$12+$O52)-Scenario_DT!L$13)*(1-Scenario_DT!L$14)+Scenario_DT!L$13-Scenario_DT!L$15)*Scenario_DT!L$16</f>
        <v>2565.2614049010886</v>
      </c>
      <c r="V52" s="28">
        <f>((Scenario_DT!M$11*(IF(Scenario_DT!M$18=1,1,1+$M52/Scenario_DT!$C$19)*(1+$N52)^MAX(0,Scenario_DT!M$18-3))*(Scenario_DT!M$12+$O52)-Scenario_DT!M$13)*(1-Scenario_DT!M$14)+Scenario_DT!M$13-Scenario_DT!M$15)*Scenario_DT!M$16</f>
        <v>2717.0838038125812</v>
      </c>
      <c r="W52" s="28">
        <f>((Scenario_DT!N$11*(IF(Scenario_DT!N$18=1,1,1+$M52/Scenario_DT!$C$19)*(1+$N52)^MAX(0,Scenario_DT!N$18-3))*(Scenario_DT!N$12+$O52)-Scenario_DT!N$13)*(1-Scenario_DT!N$14)+Scenario_DT!N$13-Scenario_DT!N$15)*Scenario_DT!N$16</f>
        <v>2877.8966252404989</v>
      </c>
      <c r="X52" s="28">
        <f>((Scenario_DT!O$11*(IF(Scenario_DT!O$18=1,1,1+$M52/Scenario_DT!$C$19)*(1+$N52)^MAX(0,Scenario_DT!O$18-3))*(Scenario_DT!O$12+$O52)-Scenario_DT!O$13)*(1-Scenario_DT!O$14)+Scenario_DT!O$13-Scenario_DT!O$15)*Scenario_DT!O$16</f>
        <v>3048.2352778206337</v>
      </c>
      <c r="Y52" s="28">
        <f>((Scenario_DT!P$11*(IF(Scenario_DT!P$18=1,1,1+$M52/Scenario_DT!$C$19)*(1+$N52)^MAX(0,Scenario_DT!P$18-3))*(Scenario_DT!P$12+$O52)-Scenario_DT!P$13)*(1-Scenario_DT!P$14)+Scenario_DT!P$13-Scenario_DT!P$15)*Scenario_DT!P$16</f>
        <v>3228.6670610929618</v>
      </c>
      <c r="Z52" s="28">
        <f>((Scenario_DT!Q$11*(IF(Scenario_DT!Q$18=1,1,1+$M52/Scenario_DT!$C$19)*(1+$N52)^MAX(0,Scenario_DT!Q$18-3))*(Scenario_DT!Q$12+$O52)-Scenario_DT!Q$13)*(1-Scenario_DT!Q$14)+Scenario_DT!Q$13-Scenario_DT!Q$15)*Scenario_DT!Q$16</f>
        <v>3419.7930639918427</v>
      </c>
      <c r="AA52" s="28">
        <f>((Scenario_DT!R$11*(IF(Scenario_DT!R$18=1,1,1+$M52/Scenario_DT!$C$19)*(1+$N52)^MAX(0,Scenario_DT!R$18-3))*(Scenario_DT!R$12+$O52)-Scenario_DT!R$13)*(1-Scenario_DT!R$14)+Scenario_DT!R$13-Scenario_DT!R$15)*Scenario_DT!R$16</f>
        <v>3622.2501762951897</v>
      </c>
      <c r="AB52" s="17">
        <f>(Scenario_DT!$R$11*(1+$M52/Scenario_DT!$C$19)*(1+$N52)^7*(Scenario_DT!$R$12+$O52)*(1+MIN(DCF_FCFF!$C$26+$Q52,(DCF_FCFF!$C$25+$P52)-0.02))*(1-DCF_FCFF!$C$27)*(1-DCF_FCFF!$C$28)/((DCF_FCFF!$C$25+$P52)-MIN(DCF_FCFF!$C$26+$Q52,(DCF_FCFF!$C$25+$P52)-0.02)))*(1+(DCF_FCFF!$C$25+$P52))^(-(Inputs!$C$9+9))</f>
        <v>23930.414086974659</v>
      </c>
      <c r="AC52" s="17">
        <f>SUMPRODUCT(R52:AA52*(1+(DCF_FCFF!$C$25+$P52))^(-Scenario_DT!$I$17:$R$17))+AB52</f>
        <v>40291.2530780042</v>
      </c>
      <c r="AD52" s="68">
        <f>((AC52-DCF_FCFF!$C$48)*(1-DCF_FCFF!$C$50)+DCF_FCFF!$C$57+DCF_FCFF!$C$58)/DCF_FCFF!$C$60</f>
        <v>290.30198197222796</v>
      </c>
      <c r="AE52" s="6"/>
      <c r="AF52" s="17">
        <v>625</v>
      </c>
      <c r="AG52" s="17">
        <f t="shared" si="10"/>
        <v>0</v>
      </c>
    </row>
    <row r="53" spans="1:33" x14ac:dyDescent="0.3">
      <c r="A53" s="6"/>
      <c r="B53" s="72">
        <v>22</v>
      </c>
      <c r="C53" s="73">
        <v>0.71689018915899605</v>
      </c>
      <c r="D53" s="73">
        <v>0.449361502143789</v>
      </c>
      <c r="E53" s="73">
        <v>0.27224156184515902</v>
      </c>
      <c r="F53" s="73">
        <v>9.6390962153499293E-2</v>
      </c>
      <c r="G53" s="73">
        <v>0.902602396543842</v>
      </c>
      <c r="H53" s="15">
        <f t="shared" si="0"/>
        <v>0.57362790888719917</v>
      </c>
      <c r="I53" s="15">
        <f t="shared" si="1"/>
        <v>-0.12727467426047212</v>
      </c>
      <c r="J53" s="15">
        <f t="shared" si="2"/>
        <v>-0.60604763247561422</v>
      </c>
      <c r="K53" s="15">
        <f t="shared" si="3"/>
        <v>-1.3023934389458962</v>
      </c>
      <c r="L53" s="15">
        <f t="shared" si="4"/>
        <v>1.2965234484519228</v>
      </c>
      <c r="M53" s="18">
        <f t="shared" si="5"/>
        <v>1.1472558177743983E-2</v>
      </c>
      <c r="N53" s="18">
        <f t="shared" si="6"/>
        <v>1.4127268262051308E-3</v>
      </c>
      <c r="O53" s="18">
        <f t="shared" si="7"/>
        <v>-7.2725715897073709E-3</v>
      </c>
      <c r="P53" s="18">
        <f t="shared" si="8"/>
        <v>-7.8143606336753772E-3</v>
      </c>
      <c r="Q53" s="18">
        <f t="shared" si="9"/>
        <v>5.1860937938076916E-3</v>
      </c>
      <c r="R53" s="28">
        <f>((Scenario_DT!I$11*(IF(Scenario_DT!I$18=1,1,1+$M53/Scenario_DT!$C$19)*(1+$N53)^MAX(0,Scenario_DT!I$18-3))*(Scenario_DT!I$12+$O53)-Scenario_DT!I$13)*(1-Scenario_DT!I$14)+Scenario_DT!I$13-Scenario_DT!I$15)*Scenario_DT!I$16</f>
        <v>900.73099424110899</v>
      </c>
      <c r="S53" s="28">
        <f>((Scenario_DT!J$11*(IF(Scenario_DT!J$18=1,1,1+$M53/Scenario_DT!$C$19)*(1+$N53)^MAX(0,Scenario_DT!J$18-3))*(Scenario_DT!J$12+$O53)-Scenario_DT!J$13)*(1-Scenario_DT!J$14)+Scenario_DT!J$13-Scenario_DT!J$15)*Scenario_DT!J$16</f>
        <v>1836.5232137917592</v>
      </c>
      <c r="T53" s="28">
        <f>((Scenario_DT!K$11*(IF(Scenario_DT!K$18=1,1,1+$M53/Scenario_DT!$C$19)*(1+$N53)^MAX(0,Scenario_DT!K$18-3))*(Scenario_DT!K$12+$O53)-Scenario_DT!K$13)*(1-Scenario_DT!K$14)+Scenario_DT!K$13-Scenario_DT!K$15)*Scenario_DT!K$16</f>
        <v>2101.6656179866727</v>
      </c>
      <c r="U53" s="28">
        <f>((Scenario_DT!L$11*(IF(Scenario_DT!L$18=1,1,1+$M53/Scenario_DT!$C$19)*(1+$N53)^MAX(0,Scenario_DT!L$18-3))*(Scenario_DT!L$12+$O53)-Scenario_DT!L$13)*(1-Scenario_DT!L$14)+Scenario_DT!L$13-Scenario_DT!L$15)*Scenario_DT!L$16</f>
        <v>2506.5742475613629</v>
      </c>
      <c r="V53" s="28">
        <f>((Scenario_DT!M$11*(IF(Scenario_DT!M$18=1,1,1+$M53/Scenario_DT!$C$19)*(1+$N53)^MAX(0,Scenario_DT!M$18-3))*(Scenario_DT!M$12+$O53)-Scenario_DT!M$13)*(1-Scenario_DT!M$14)+Scenario_DT!M$13-Scenario_DT!M$15)*Scenario_DT!M$16</f>
        <v>2634.9247216396429</v>
      </c>
      <c r="W53" s="28">
        <f>((Scenario_DT!N$11*(IF(Scenario_DT!N$18=1,1,1+$M53/Scenario_DT!$C$19)*(1+$N53)^MAX(0,Scenario_DT!N$18-3))*(Scenario_DT!N$12+$O53)-Scenario_DT!N$13)*(1-Scenario_DT!N$14)+Scenario_DT!N$13-Scenario_DT!N$15)*Scenario_DT!N$16</f>
        <v>2769.8423754307046</v>
      </c>
      <c r="X53" s="28">
        <f>((Scenario_DT!O$11*(IF(Scenario_DT!O$18=1,1,1+$M53/Scenario_DT!$C$19)*(1+$N53)^MAX(0,Scenario_DT!O$18-3))*(Scenario_DT!O$12+$O53)-Scenario_DT!O$13)*(1-Scenario_DT!O$14)+Scenario_DT!O$13-Scenario_DT!O$15)*Scenario_DT!O$16</f>
        <v>2911.6656959456586</v>
      </c>
      <c r="Y53" s="28">
        <f>((Scenario_DT!P$11*(IF(Scenario_DT!P$18=1,1,1+$M53/Scenario_DT!$C$19)*(1+$N53)^MAX(0,Scenario_DT!P$18-3))*(Scenario_DT!P$12+$O53)-Scenario_DT!P$13)*(1-Scenario_DT!P$14)+Scenario_DT!P$13-Scenario_DT!P$15)*Scenario_DT!P$16</f>
        <v>3060.7506360726106</v>
      </c>
      <c r="Z53" s="28">
        <f>((Scenario_DT!Q$11*(IF(Scenario_DT!Q$18=1,1,1+$M53/Scenario_DT!$C$19)*(1+$N53)^MAX(0,Scenario_DT!Q$18-3))*(Scenario_DT!Q$12+$O53)-Scenario_DT!Q$13)*(1-Scenario_DT!Q$14)+Scenario_DT!Q$13-Scenario_DT!Q$15)*Scenario_DT!Q$16</f>
        <v>3217.4715157652531</v>
      </c>
      <c r="AA53" s="28">
        <f>((Scenario_DT!R$11*(IF(Scenario_DT!R$18=1,1,1+$M53/Scenario_DT!$C$19)*(1+$N53)^MAX(0,Scenario_DT!R$18-3))*(Scenario_DT!R$12+$O53)-Scenario_DT!R$13)*(1-Scenario_DT!R$14)+Scenario_DT!R$13-Scenario_DT!R$15)*Scenario_DT!R$16</f>
        <v>3382.2219697187838</v>
      </c>
      <c r="AB53" s="17">
        <f>(Scenario_DT!$R$11*(1+$M53/Scenario_DT!$C$19)*(1+$N53)^7*(Scenario_DT!$R$12+$O53)*(1+MIN(DCF_FCFF!$C$26+$Q53,(DCF_FCFF!$C$25+$P53)-0.02))*(1-DCF_FCFF!$C$27)*(1-DCF_FCFF!$C$28)/((DCF_FCFF!$C$25+$P53)-MIN(DCF_FCFF!$C$26+$Q53,(DCF_FCFF!$C$25+$P53)-0.02)))*(1+(DCF_FCFF!$C$25+$P53))^(-(Inputs!$C$9+9))</f>
        <v>41358.291954328532</v>
      </c>
      <c r="AC53" s="17">
        <f>SUMPRODUCT(R53:AA53*(1+(DCF_FCFF!$C$25+$P53))^(-Scenario_DT!$I$17:$R$17))+AB53</f>
        <v>58452.010842748648</v>
      </c>
      <c r="AD53" s="68">
        <f>((AC53-DCF_FCFF!$C$48)*(1-DCF_FCFF!$C$50)+DCF_FCFF!$C$57+DCF_FCFF!$C$58)/DCF_FCFF!$C$60</f>
        <v>464.62289104871371</v>
      </c>
      <c r="AE53" s="6"/>
      <c r="AF53" s="17">
        <v>650</v>
      </c>
      <c r="AG53" s="17">
        <f t="shared" si="10"/>
        <v>0</v>
      </c>
    </row>
    <row r="54" spans="1:33" x14ac:dyDescent="0.3">
      <c r="A54" s="6"/>
      <c r="B54" s="72">
        <v>23</v>
      </c>
      <c r="C54" s="73">
        <v>0.45577628983361101</v>
      </c>
      <c r="D54" s="73">
        <v>0.20236336479523001</v>
      </c>
      <c r="E54" s="73">
        <v>0.305956624150653</v>
      </c>
      <c r="F54" s="73">
        <v>0.57921956894189597</v>
      </c>
      <c r="G54" s="73">
        <v>0.17677278293923199</v>
      </c>
      <c r="H54" s="15">
        <f t="shared" si="0"/>
        <v>-0.11108041439160828</v>
      </c>
      <c r="I54" s="15">
        <f t="shared" si="1"/>
        <v>-0.83320924482919001</v>
      </c>
      <c r="J54" s="15">
        <f t="shared" si="2"/>
        <v>-0.50734431727919638</v>
      </c>
      <c r="K54" s="15">
        <f t="shared" si="3"/>
        <v>0.19989735114385274</v>
      </c>
      <c r="L54" s="15">
        <f t="shared" si="4"/>
        <v>-0.92773400260442251</v>
      </c>
      <c r="M54" s="18">
        <f t="shared" si="5"/>
        <v>-2.2216082878321656E-3</v>
      </c>
      <c r="N54" s="18">
        <f t="shared" si="6"/>
        <v>-6.2169646390874446E-3</v>
      </c>
      <c r="O54" s="18">
        <f t="shared" si="7"/>
        <v>-6.0881318073503568E-3</v>
      </c>
      <c r="P54" s="18">
        <f t="shared" si="8"/>
        <v>1.1993841068631164E-3</v>
      </c>
      <c r="Q54" s="18">
        <f t="shared" si="9"/>
        <v>-3.7109360104176903E-3</v>
      </c>
      <c r="R54" s="28">
        <f>((Scenario_DT!I$11*(IF(Scenario_DT!I$18=1,1,1+$M54/Scenario_DT!$C$19)*(1+$N54)^MAX(0,Scenario_DT!I$18-3))*(Scenario_DT!I$12+$O54)-Scenario_DT!I$13)*(1-Scenario_DT!I$14)+Scenario_DT!I$13-Scenario_DT!I$15)*Scenario_DT!I$16</f>
        <v>902.4009268690354</v>
      </c>
      <c r="S54" s="28">
        <f>((Scenario_DT!J$11*(IF(Scenario_DT!J$18=1,1,1+$M54/Scenario_DT!$C$19)*(1+$N54)^MAX(0,Scenario_DT!J$18-3))*(Scenario_DT!J$12+$O54)-Scenario_DT!J$13)*(1-Scenario_DT!J$14)+Scenario_DT!J$13-Scenario_DT!J$15)*Scenario_DT!J$16</f>
        <v>1807.7096733749622</v>
      </c>
      <c r="T54" s="28">
        <f>((Scenario_DT!K$11*(IF(Scenario_DT!K$18=1,1,1+$M54/Scenario_DT!$C$19)*(1+$N54)^MAX(0,Scenario_DT!K$18-3))*(Scenario_DT!K$12+$O54)-Scenario_DT!K$13)*(1-Scenario_DT!K$14)+Scenario_DT!K$13-Scenario_DT!K$15)*Scenario_DT!K$16</f>
        <v>2071.3397226235593</v>
      </c>
      <c r="U54" s="28">
        <f>((Scenario_DT!L$11*(IF(Scenario_DT!L$18=1,1,1+$M54/Scenario_DT!$C$19)*(1+$N54)^MAX(0,Scenario_DT!L$18-3))*(Scenario_DT!L$12+$O54)-Scenario_DT!L$13)*(1-Scenario_DT!L$14)+Scenario_DT!L$13-Scenario_DT!L$15)*Scenario_DT!L$16</f>
        <v>2455.3491134795972</v>
      </c>
      <c r="V54" s="28">
        <f>((Scenario_DT!M$11*(IF(Scenario_DT!M$18=1,1,1+$M54/Scenario_DT!$C$19)*(1+$N54)^MAX(0,Scenario_DT!M$18-3))*(Scenario_DT!M$12+$O54)-Scenario_DT!M$13)*(1-Scenario_DT!M$14)+Scenario_DT!M$13-Scenario_DT!M$15)*Scenario_DT!M$16</f>
        <v>2561.2569237629687</v>
      </c>
      <c r="W54" s="28">
        <f>((Scenario_DT!N$11*(IF(Scenario_DT!N$18=1,1,1+$M54/Scenario_DT!$C$19)*(1+$N54)^MAX(0,Scenario_DT!N$18-3))*(Scenario_DT!N$12+$O54)-Scenario_DT!N$13)*(1-Scenario_DT!N$14)+Scenario_DT!N$13-Scenario_DT!N$15)*Scenario_DT!N$16</f>
        <v>2671.7155049539647</v>
      </c>
      <c r="X54" s="28">
        <f>((Scenario_DT!O$11*(IF(Scenario_DT!O$18=1,1,1+$M54/Scenario_DT!$C$19)*(1+$N54)^MAX(0,Scenario_DT!O$18-3))*(Scenario_DT!O$12+$O54)-Scenario_DT!O$13)*(1-Scenario_DT!O$14)+Scenario_DT!O$13-Scenario_DT!O$15)*Scenario_DT!O$16</f>
        <v>2786.9221036560871</v>
      </c>
      <c r="Y54" s="28">
        <f>((Scenario_DT!P$11*(IF(Scenario_DT!P$18=1,1,1+$M54/Scenario_DT!$C$19)*(1+$N54)^MAX(0,Scenario_DT!P$18-3))*(Scenario_DT!P$12+$O54)-Scenario_DT!P$13)*(1-Scenario_DT!P$14)+Scenario_DT!P$13-Scenario_DT!P$15)*Scenario_DT!P$16</f>
        <v>2907.082533702453</v>
      </c>
      <c r="Z54" s="28">
        <f>((Scenario_DT!Q$11*(IF(Scenario_DT!Q$18=1,1,1+$M54/Scenario_DT!$C$19)*(1+$N54)^MAX(0,Scenario_DT!Q$18-3))*(Scenario_DT!Q$12+$O54)-Scenario_DT!Q$13)*(1-Scenario_DT!Q$14)+Scenario_DT!Q$13-Scenario_DT!Q$15)*Scenario_DT!Q$16</f>
        <v>3032.411548477799</v>
      </c>
      <c r="AA54" s="28">
        <f>((Scenario_DT!R$11*(IF(Scenario_DT!R$18=1,1,1+$M54/Scenario_DT!$C$19)*(1+$N54)^MAX(0,Scenario_DT!R$18-3))*(Scenario_DT!R$12+$O54)-Scenario_DT!R$13)*(1-Scenario_DT!R$14)+Scenario_DT!R$13-Scenario_DT!R$15)*Scenario_DT!R$16</f>
        <v>3163.1332294249901</v>
      </c>
      <c r="AB54" s="17">
        <f>(Scenario_DT!$R$11*(1+$M54/Scenario_DT!$C$19)*(1+$N54)^7*(Scenario_DT!$R$12+$O54)*(1+MIN(DCF_FCFF!$C$26+$Q54,(DCF_FCFF!$C$25+$P54)-0.02))*(1-DCF_FCFF!$C$27)*(1-DCF_FCFF!$C$28)/((DCF_FCFF!$C$25+$P54)-MIN(DCF_FCFF!$C$26+$Q54,(DCF_FCFF!$C$25+$P54)-0.02)))*(1+(DCF_FCFF!$C$25+$P54))^(-(Inputs!$C$9+9))</f>
        <v>23986.039362495692</v>
      </c>
      <c r="AC54" s="17">
        <f>SUMPRODUCT(R54:AA54*(1+(DCF_FCFF!$C$25+$P54))^(-Scenario_DT!$I$17:$R$17))+AB54</f>
        <v>39880.183682148614</v>
      </c>
      <c r="AD54" s="68">
        <f>((AC54-DCF_FCFF!$C$48)*(1-DCF_FCFF!$C$50)+DCF_FCFF!$C$57+DCF_FCFF!$C$58)/DCF_FCFF!$C$60</f>
        <v>286.35622201510893</v>
      </c>
      <c r="AE54" s="6"/>
      <c r="AF54" s="17">
        <v>675</v>
      </c>
      <c r="AG54" s="17">
        <f t="shared" si="10"/>
        <v>0</v>
      </c>
    </row>
    <row r="55" spans="1:33" x14ac:dyDescent="0.3">
      <c r="A55" s="6"/>
      <c r="B55" s="72">
        <v>24</v>
      </c>
      <c r="C55" s="73">
        <v>0.85661428409237605</v>
      </c>
      <c r="D55" s="73">
        <v>0.75851952983520998</v>
      </c>
      <c r="E55" s="73">
        <v>0.71946295595093701</v>
      </c>
      <c r="F55" s="73">
        <v>0.43209303977510399</v>
      </c>
      <c r="G55" s="73">
        <v>0.62730884070244297</v>
      </c>
      <c r="H55" s="15">
        <f t="shared" si="0"/>
        <v>1.0652309483703597</v>
      </c>
      <c r="I55" s="15">
        <f t="shared" si="1"/>
        <v>0.70154824031239782</v>
      </c>
      <c r="J55" s="15">
        <f t="shared" si="2"/>
        <v>0.58124686224083877</v>
      </c>
      <c r="K55" s="15">
        <f t="shared" si="3"/>
        <v>-0.17104792828429524</v>
      </c>
      <c r="L55" s="15">
        <f t="shared" si="4"/>
        <v>0.32473410721134915</v>
      </c>
      <c r="M55" s="18">
        <f t="shared" si="5"/>
        <v>2.1304618967407193E-2</v>
      </c>
      <c r="N55" s="18">
        <f t="shared" si="6"/>
        <v>9.121392578207892E-3</v>
      </c>
      <c r="O55" s="18">
        <f t="shared" si="7"/>
        <v>6.9749623468900656E-3</v>
      </c>
      <c r="P55" s="18">
        <f t="shared" si="8"/>
        <v>-1.0262875697057716E-3</v>
      </c>
      <c r="Q55" s="18">
        <f t="shared" si="9"/>
        <v>1.2989364288453966E-3</v>
      </c>
      <c r="R55" s="28">
        <f>((Scenario_DT!I$11*(IF(Scenario_DT!I$18=1,1,1+$M55/Scenario_DT!$C$19)*(1+$N55)^MAX(0,Scenario_DT!I$18-3))*(Scenario_DT!I$12+$O55)-Scenario_DT!I$13)*(1-Scenario_DT!I$14)+Scenario_DT!I$13-Scenario_DT!I$15)*Scenario_DT!I$16</f>
        <v>920.81848382277985</v>
      </c>
      <c r="S55" s="28">
        <f>((Scenario_DT!J$11*(IF(Scenario_DT!J$18=1,1,1+$M55/Scenario_DT!$C$19)*(1+$N55)^MAX(0,Scenario_DT!J$18-3))*(Scenario_DT!J$12+$O55)-Scenario_DT!J$13)*(1-Scenario_DT!J$14)+Scenario_DT!J$13-Scenario_DT!J$15)*Scenario_DT!J$16</f>
        <v>1905.1273163320898</v>
      </c>
      <c r="T55" s="28">
        <f>((Scenario_DT!K$11*(IF(Scenario_DT!K$18=1,1,1+$M55/Scenario_DT!$C$19)*(1+$N55)^MAX(0,Scenario_DT!K$18-3))*(Scenario_DT!K$12+$O55)-Scenario_DT!K$13)*(1-Scenario_DT!K$14)+Scenario_DT!K$13-Scenario_DT!K$15)*Scenario_DT!K$16</f>
        <v>2173.0962525843711</v>
      </c>
      <c r="U55" s="28">
        <f>((Scenario_DT!L$11*(IF(Scenario_DT!L$18=1,1,1+$M55/Scenario_DT!$C$19)*(1+$N55)^MAX(0,Scenario_DT!L$18-3))*(Scenario_DT!L$12+$O55)-Scenario_DT!L$13)*(1-Scenario_DT!L$14)+Scenario_DT!L$13-Scenario_DT!L$15)*Scenario_DT!L$16</f>
        <v>2602.5344355578077</v>
      </c>
      <c r="V55" s="28">
        <f>((Scenario_DT!M$11*(IF(Scenario_DT!M$18=1,1,1+$M55/Scenario_DT!$C$19)*(1+$N55)^MAX(0,Scenario_DT!M$18-3))*(Scenario_DT!M$12+$O55)-Scenario_DT!M$13)*(1-Scenario_DT!M$14)+Scenario_DT!M$13-Scenario_DT!M$15)*Scenario_DT!M$16</f>
        <v>2757.0270212648284</v>
      </c>
      <c r="W55" s="28">
        <f>((Scenario_DT!N$11*(IF(Scenario_DT!N$18=1,1,1+$M55/Scenario_DT!$C$19)*(1+$N55)^MAX(0,Scenario_DT!N$18-3))*(Scenario_DT!N$12+$O55)-Scenario_DT!N$13)*(1-Scenario_DT!N$14)+Scenario_DT!N$13-Scenario_DT!N$15)*Scenario_DT!N$16</f>
        <v>2920.6958174725987</v>
      </c>
      <c r="X55" s="28">
        <f>((Scenario_DT!O$11*(IF(Scenario_DT!O$18=1,1,1+$M55/Scenario_DT!$C$19)*(1+$N55)^MAX(0,Scenario_DT!O$18-3))*(Scenario_DT!O$12+$O55)-Scenario_DT!O$13)*(1-Scenario_DT!O$14)+Scenario_DT!O$13-Scenario_DT!O$15)*Scenario_DT!O$16</f>
        <v>3094.0888879621366</v>
      </c>
      <c r="Y55" s="28">
        <f>((Scenario_DT!P$11*(IF(Scenario_DT!P$18=1,1,1+$M55/Scenario_DT!$C$19)*(1+$N55)^MAX(0,Scenario_DT!P$18-3))*(Scenario_DT!P$12+$O55)-Scenario_DT!P$13)*(1-Scenario_DT!P$14)+Scenario_DT!P$13-Scenario_DT!P$15)*Scenario_DT!P$16</f>
        <v>3277.7870356157068</v>
      </c>
      <c r="Z55" s="28">
        <f>((Scenario_DT!Q$11*(IF(Scenario_DT!Q$18=1,1,1+$M55/Scenario_DT!$C$19)*(1+$N55)^MAX(0,Scenario_DT!Q$18-3))*(Scenario_DT!Q$12+$O55)-Scenario_DT!Q$13)*(1-Scenario_DT!Q$14)+Scenario_DT!Q$13-Scenario_DT!Q$15)*Scenario_DT!Q$16</f>
        <v>3472.4057570383598</v>
      </c>
      <c r="AA55" s="28">
        <f>((Scenario_DT!R$11*(IF(Scenario_DT!R$18=1,1,1+$M55/Scenario_DT!$C$19)*(1+$N55)^MAX(0,Scenario_DT!R$18-3))*(Scenario_DT!R$12+$O55)-Scenario_DT!R$13)*(1-Scenario_DT!R$14)+Scenario_DT!R$13-Scenario_DT!R$15)*Scenario_DT!R$16</f>
        <v>3678.5973138151435</v>
      </c>
      <c r="AB55" s="17">
        <f>(Scenario_DT!$R$11*(1+$M55/Scenario_DT!$C$19)*(1+$N55)^7*(Scenario_DT!$R$12+$O55)*(1+MIN(DCF_FCFF!$C$26+$Q55,(DCF_FCFF!$C$25+$P55)-0.02))*(1-DCF_FCFF!$C$27)*(1-DCF_FCFF!$C$28)/((DCF_FCFF!$C$25+$P55)-MIN(DCF_FCFF!$C$26+$Q55,(DCF_FCFF!$C$25+$P55)-0.02)))*(1+(DCF_FCFF!$C$25+$P55))^(-(Inputs!$C$9+9))</f>
        <v>32837.244209006647</v>
      </c>
      <c r="AC55" s="17">
        <f>SUMPRODUCT(R55:AA55*(1+(DCF_FCFF!$C$25+$P55))^(-Scenario_DT!$I$17:$R$17))+AB55</f>
        <v>50339.929550216133</v>
      </c>
      <c r="AD55" s="68">
        <f>((AC55-DCF_FCFF!$C$48)*(1-DCF_FCFF!$C$50)+DCF_FCFF!$C$57+DCF_FCFF!$C$58)/DCF_FCFF!$C$60</f>
        <v>386.75690088822432</v>
      </c>
      <c r="AE55" s="6"/>
      <c r="AF55" s="6"/>
      <c r="AG55" s="6"/>
    </row>
    <row r="56" spans="1:33" x14ac:dyDescent="0.3">
      <c r="A56" s="6"/>
      <c r="B56" s="72">
        <v>25</v>
      </c>
      <c r="C56" s="73">
        <v>0.58409796891273602</v>
      </c>
      <c r="D56" s="73">
        <v>0.64984660155481999</v>
      </c>
      <c r="E56" s="73">
        <v>8.4444321139889103E-2</v>
      </c>
      <c r="F56" s="73">
        <v>0.41580740217061002</v>
      </c>
      <c r="G56" s="73">
        <v>4.1614173861892499E-2</v>
      </c>
      <c r="H56" s="15">
        <f t="shared" si="0"/>
        <v>0.21238836492439167</v>
      </c>
      <c r="I56" s="15">
        <f t="shared" si="1"/>
        <v>0.38490635565259895</v>
      </c>
      <c r="J56" s="15">
        <f t="shared" si="2"/>
        <v>-1.3757835937150014</v>
      </c>
      <c r="K56" s="15">
        <f t="shared" si="3"/>
        <v>-0.21263098137853101</v>
      </c>
      <c r="L56" s="15">
        <f t="shared" si="4"/>
        <v>-1.7322540029652358</v>
      </c>
      <c r="M56" s="18">
        <f t="shared" si="5"/>
        <v>4.2477672984878338E-3</v>
      </c>
      <c r="N56" s="18">
        <f t="shared" si="6"/>
        <v>3.5162629162834771E-3</v>
      </c>
      <c r="O56" s="18">
        <f t="shared" si="7"/>
        <v>-1.6509403124580015E-2</v>
      </c>
      <c r="P56" s="18">
        <f t="shared" si="8"/>
        <v>-1.275785888271186E-3</v>
      </c>
      <c r="Q56" s="18">
        <f t="shared" si="9"/>
        <v>-6.9290160118609433E-3</v>
      </c>
      <c r="R56" s="28">
        <f>((Scenario_DT!I$11*(IF(Scenario_DT!I$18=1,1,1+$M56/Scenario_DT!$C$19)*(1+$N56)^MAX(0,Scenario_DT!I$18-3))*(Scenario_DT!I$12+$O56)-Scenario_DT!I$13)*(1-Scenario_DT!I$14)+Scenario_DT!I$13-Scenario_DT!I$15)*Scenario_DT!I$16</f>
        <v>887.70805581189791</v>
      </c>
      <c r="S56" s="28">
        <f>((Scenario_DT!J$11*(IF(Scenario_DT!J$18=1,1,1+$M56/Scenario_DT!$C$19)*(1+$N56)^MAX(0,Scenario_DT!J$18-3))*(Scenario_DT!J$12+$O56)-Scenario_DT!J$13)*(1-Scenario_DT!J$14)+Scenario_DT!J$13-Scenario_DT!J$15)*Scenario_DT!J$16</f>
        <v>1790.5491784804585</v>
      </c>
      <c r="T56" s="28">
        <f>((Scenario_DT!K$11*(IF(Scenario_DT!K$18=1,1,1+$M56/Scenario_DT!$C$19)*(1+$N56)^MAX(0,Scenario_DT!K$18-3))*(Scenario_DT!K$12+$O56)-Scenario_DT!K$13)*(1-Scenario_DT!K$14)+Scenario_DT!K$13-Scenario_DT!K$15)*Scenario_DT!K$16</f>
        <v>2053.7757990730906</v>
      </c>
      <c r="U56" s="28">
        <f>((Scenario_DT!L$11*(IF(Scenario_DT!L$18=1,1,1+$M56/Scenario_DT!$C$19)*(1+$N56)^MAX(0,Scenario_DT!L$18-3))*(Scenario_DT!L$12+$O56)-Scenario_DT!L$13)*(1-Scenario_DT!L$14)+Scenario_DT!L$13-Scenario_DT!L$15)*Scenario_DT!L$16</f>
        <v>2460.8478198853722</v>
      </c>
      <c r="V56" s="28">
        <f>((Scenario_DT!M$11*(IF(Scenario_DT!M$18=1,1,1+$M56/Scenario_DT!$C$19)*(1+$N56)^MAX(0,Scenario_DT!M$18-3))*(Scenario_DT!M$12+$O56)-Scenario_DT!M$13)*(1-Scenario_DT!M$14)+Scenario_DT!M$13-Scenario_DT!M$15)*Scenario_DT!M$16</f>
        <v>2592.3167217563582</v>
      </c>
      <c r="W56" s="28">
        <f>((Scenario_DT!N$11*(IF(Scenario_DT!N$18=1,1,1+$M56/Scenario_DT!$C$19)*(1+$N56)^MAX(0,Scenario_DT!N$18-3))*(Scenario_DT!N$12+$O56)-Scenario_DT!N$13)*(1-Scenario_DT!N$14)+Scenario_DT!N$13-Scenario_DT!N$15)*Scenario_DT!N$16</f>
        <v>2730.8071845689537</v>
      </c>
      <c r="X56" s="28">
        <f>((Scenario_DT!O$11*(IF(Scenario_DT!O$18=1,1,1+$M56/Scenario_DT!$C$19)*(1+$N56)^MAX(0,Scenario_DT!O$18-3))*(Scenario_DT!O$12+$O56)-Scenario_DT!O$13)*(1-Scenario_DT!O$14)+Scenario_DT!O$13-Scenario_DT!O$15)*Scenario_DT!O$16</f>
        <v>2876.6968649697696</v>
      </c>
      <c r="Y56" s="28">
        <f>((Scenario_DT!P$11*(IF(Scenario_DT!P$18=1,1,1+$M56/Scenario_DT!$C$19)*(1+$N56)^MAX(0,Scenario_DT!P$18-3))*(Scenario_DT!P$12+$O56)-Scenario_DT!P$13)*(1-Scenario_DT!P$14)+Scenario_DT!P$13-Scenario_DT!P$15)*Scenario_DT!P$16</f>
        <v>3030.3837491433292</v>
      </c>
      <c r="Z56" s="28">
        <f>((Scenario_DT!Q$11*(IF(Scenario_DT!Q$18=1,1,1+$M56/Scenario_DT!$C$19)*(1+$N56)^MAX(0,Scenario_DT!Q$18-3))*(Scenario_DT!Q$12+$O56)-Scenario_DT!Q$13)*(1-Scenario_DT!Q$14)+Scenario_DT!Q$13-Scenario_DT!Q$15)*Scenario_DT!Q$16</f>
        <v>3192.2872469128492</v>
      </c>
      <c r="AA56" s="28">
        <f>((Scenario_DT!R$11*(IF(Scenario_DT!R$18=1,1,1+$M56/Scenario_DT!$C$19)*(1+$N56)^MAX(0,Scenario_DT!R$18-3))*(Scenario_DT!R$12+$O56)-Scenario_DT!R$13)*(1-Scenario_DT!R$14)+Scenario_DT!R$13-Scenario_DT!R$15)*Scenario_DT!R$16</f>
        <v>3362.8493447020855</v>
      </c>
      <c r="AB56" s="17">
        <f>(Scenario_DT!$R$11*(1+$M56/Scenario_DT!$C$19)*(1+$N56)^7*(Scenario_DT!$R$12+$O56)*(1+MIN(DCF_FCFF!$C$26+$Q56,(DCF_FCFF!$C$25+$P56)-0.02))*(1-DCF_FCFF!$C$27)*(1-DCF_FCFF!$C$28)/((DCF_FCFF!$C$25+$P56)-MIN(DCF_FCFF!$C$26+$Q56,(DCF_FCFF!$C$25+$P56)-0.02)))*(1+(DCF_FCFF!$C$25+$P56))^(-(Inputs!$C$9+9))</f>
        <v>25616.062126362245</v>
      </c>
      <c r="AC56" s="17">
        <f>SUMPRODUCT(R56:AA56*(1+(DCF_FCFF!$C$25+$P56))^(-Scenario_DT!$I$17:$R$17))+AB56</f>
        <v>41991.582653562524</v>
      </c>
      <c r="AD56" s="68">
        <f>((AC56-DCF_FCFF!$C$48)*(1-DCF_FCFF!$C$50)+DCF_FCFF!$C$57+DCF_FCFF!$C$58)/DCF_FCFF!$C$60</f>
        <v>306.62305189566314</v>
      </c>
      <c r="AE56" s="6"/>
      <c r="AF56" s="6"/>
      <c r="AG56" s="6"/>
    </row>
    <row r="57" spans="1:33" x14ac:dyDescent="0.3">
      <c r="A57" s="6"/>
      <c r="B57" s="72">
        <v>26</v>
      </c>
      <c r="C57" s="73">
        <v>0.49399081924451899</v>
      </c>
      <c r="D57" s="73">
        <v>0.32986121233278498</v>
      </c>
      <c r="E57" s="73">
        <v>0.14452418886604701</v>
      </c>
      <c r="F57" s="73">
        <v>0.103402967722552</v>
      </c>
      <c r="G57" s="73">
        <v>0.58764457217771204</v>
      </c>
      <c r="H57" s="15">
        <f t="shared" si="0"/>
        <v>-1.5063352026915536E-2</v>
      </c>
      <c r="I57" s="15">
        <f t="shared" si="1"/>
        <v>-0.44029643189599466</v>
      </c>
      <c r="J57" s="15">
        <f t="shared" si="2"/>
        <v>-1.0602115279811046</v>
      </c>
      <c r="K57" s="15">
        <f t="shared" si="3"/>
        <v>-1.2623970910451416</v>
      </c>
      <c r="L57" s="15">
        <f t="shared" si="4"/>
        <v>0.22149008536305181</v>
      </c>
      <c r="M57" s="18">
        <f t="shared" si="5"/>
        <v>-3.0126704053831075E-4</v>
      </c>
      <c r="N57" s="18">
        <f t="shared" si="6"/>
        <v>-3.1107165698482731E-3</v>
      </c>
      <c r="O57" s="18">
        <f t="shared" si="7"/>
        <v>-1.2722538335773257E-2</v>
      </c>
      <c r="P57" s="18">
        <f t="shared" si="8"/>
        <v>-7.5743825462708499E-3</v>
      </c>
      <c r="Q57" s="18">
        <f t="shared" si="9"/>
        <v>8.8596034145220731E-4</v>
      </c>
      <c r="R57" s="28">
        <f>((Scenario_DT!I$11*(IF(Scenario_DT!I$18=1,1,1+$M57/Scenario_DT!$C$19)*(1+$N57)^MAX(0,Scenario_DT!I$18-3))*(Scenario_DT!I$12+$O57)-Scenario_DT!I$13)*(1-Scenario_DT!I$14)+Scenario_DT!I$13-Scenario_DT!I$15)*Scenario_DT!I$16</f>
        <v>893.0471276351949</v>
      </c>
      <c r="S57" s="28">
        <f>((Scenario_DT!J$11*(IF(Scenario_DT!J$18=1,1,1+$M57/Scenario_DT!$C$19)*(1+$N57)^MAX(0,Scenario_DT!J$18-3))*(Scenario_DT!J$12+$O57)-Scenario_DT!J$13)*(1-Scenario_DT!J$14)+Scenario_DT!J$13-Scenario_DT!J$15)*Scenario_DT!J$16</f>
        <v>1791.6613805131938</v>
      </c>
      <c r="T57" s="28">
        <f>((Scenario_DT!K$11*(IF(Scenario_DT!K$18=1,1,1+$M57/Scenario_DT!$C$19)*(1+$N57)^MAX(0,Scenario_DT!K$18-3))*(Scenario_DT!K$12+$O57)-Scenario_DT!K$13)*(1-Scenario_DT!K$14)+Scenario_DT!K$13-Scenario_DT!K$15)*Scenario_DT!K$16</f>
        <v>2054.7737288849999</v>
      </c>
      <c r="U57" s="28">
        <f>((Scenario_DT!L$11*(IF(Scenario_DT!L$18=1,1,1+$M57/Scenario_DT!$C$19)*(1+$N57)^MAX(0,Scenario_DT!L$18-3))*(Scenario_DT!L$12+$O57)-Scenario_DT!L$13)*(1-Scenario_DT!L$14)+Scenario_DT!L$13-Scenario_DT!L$15)*Scenario_DT!L$16</f>
        <v>2445.5418193743685</v>
      </c>
      <c r="V57" s="28">
        <f>((Scenario_DT!M$11*(IF(Scenario_DT!M$18=1,1,1+$M57/Scenario_DT!$C$19)*(1+$N57)^MAX(0,Scenario_DT!M$18-3))*(Scenario_DT!M$12+$O57)-Scenario_DT!M$13)*(1-Scenario_DT!M$14)+Scenario_DT!M$13-Scenario_DT!M$15)*Scenario_DT!M$16</f>
        <v>2559.0546061051978</v>
      </c>
      <c r="W57" s="28">
        <f>((Scenario_DT!N$11*(IF(Scenario_DT!N$18=1,1,1+$M57/Scenario_DT!$C$19)*(1+$N57)^MAX(0,Scenario_DT!N$18-3))*(Scenario_DT!N$12+$O57)-Scenario_DT!N$13)*(1-Scenario_DT!N$14)+Scenario_DT!N$13-Scenario_DT!N$15)*Scenario_DT!N$16</f>
        <v>2677.8241024301014</v>
      </c>
      <c r="X57" s="28">
        <f>((Scenario_DT!O$11*(IF(Scenario_DT!O$18=1,1,1+$M57/Scenario_DT!$C$19)*(1+$N57)^MAX(0,Scenario_DT!O$18-3))*(Scenario_DT!O$12+$O57)-Scenario_DT!O$13)*(1-Scenario_DT!O$14)+Scenario_DT!O$13-Scenario_DT!O$15)*Scenario_DT!O$16</f>
        <v>2802.0957844029349</v>
      </c>
      <c r="Y57" s="28">
        <f>((Scenario_DT!P$11*(IF(Scenario_DT!P$18=1,1,1+$M57/Scenario_DT!$C$19)*(1+$N57)^MAX(0,Scenario_DT!P$18-3))*(Scenario_DT!P$12+$O57)-Scenario_DT!P$13)*(1-Scenario_DT!P$14)+Scenario_DT!P$13-Scenario_DT!P$15)*Scenario_DT!P$16</f>
        <v>2932.1266116919192</v>
      </c>
      <c r="Z57" s="28">
        <f>((Scenario_DT!Q$11*(IF(Scenario_DT!Q$18=1,1,1+$M57/Scenario_DT!$C$19)*(1+$N57)^MAX(0,Scenario_DT!Q$18-3))*(Scenario_DT!Q$12+$O57)-Scenario_DT!Q$13)*(1-Scenario_DT!Q$14)+Scenario_DT!Q$13-Scenario_DT!Q$15)*Scenario_DT!Q$16</f>
        <v>3068.1855649930335</v>
      </c>
      <c r="AA57" s="28">
        <f>((Scenario_DT!R$11*(IF(Scenario_DT!R$18=1,1,1+$M57/Scenario_DT!$C$19)*(1+$N57)^MAX(0,Scenario_DT!R$18-3))*(Scenario_DT!R$12+$O57)-Scenario_DT!R$13)*(1-Scenario_DT!R$14)+Scenario_DT!R$13-Scenario_DT!R$15)*Scenario_DT!R$16</f>
        <v>3210.5542085951402</v>
      </c>
      <c r="AB57" s="17">
        <f>(Scenario_DT!$R$11*(1+$M57/Scenario_DT!$C$19)*(1+$N57)^7*(Scenario_DT!$R$12+$O57)*(1+MIN(DCF_FCFF!$C$26+$Q57,(DCF_FCFF!$C$25+$P57)-0.02))*(1-DCF_FCFF!$C$27)*(1-DCF_FCFF!$C$28)/((DCF_FCFF!$C$25+$P57)-MIN(DCF_FCFF!$C$26+$Q57,(DCF_FCFF!$C$25+$P57)-0.02)))*(1+(DCF_FCFF!$C$25+$P57))^(-(Inputs!$C$9+9))</f>
        <v>34807.16416123815</v>
      </c>
      <c r="AC57" s="17">
        <f>SUMPRODUCT(R57:AA57*(1+(DCF_FCFF!$C$25+$P57))^(-Scenario_DT!$I$17:$R$17))+AB57</f>
        <v>51323.367892841721</v>
      </c>
      <c r="AD57" s="68">
        <f>((AC57-DCF_FCFF!$C$48)*(1-DCF_FCFF!$C$50)+DCF_FCFF!$C$57+DCF_FCFF!$C$58)/DCF_FCFF!$C$60</f>
        <v>396.19669784647516</v>
      </c>
      <c r="AE57" s="6"/>
      <c r="AF57" s="6"/>
      <c r="AG57" s="6"/>
    </row>
    <row r="58" spans="1:33" x14ac:dyDescent="0.3">
      <c r="A58" s="6"/>
      <c r="B58" s="72">
        <v>27</v>
      </c>
      <c r="C58" s="73">
        <v>0.17059296853688599</v>
      </c>
      <c r="D58" s="73">
        <v>0.92512011837679697</v>
      </c>
      <c r="E58" s="73">
        <v>0.58106113970039497</v>
      </c>
      <c r="F58" s="73">
        <v>0.34686980453483701</v>
      </c>
      <c r="G58" s="73">
        <v>0.59091549148141698</v>
      </c>
      <c r="H58" s="15">
        <f t="shared" si="0"/>
        <v>-0.95182461340269064</v>
      </c>
      <c r="I58" s="15">
        <f t="shared" si="1"/>
        <v>1.44038055049424</v>
      </c>
      <c r="J58" s="15">
        <f t="shared" si="2"/>
        <v>0.20460887532848338</v>
      </c>
      <c r="K58" s="15">
        <f t="shared" si="3"/>
        <v>-0.39378523119059339</v>
      </c>
      <c r="L58" s="15">
        <f t="shared" si="4"/>
        <v>0.22990059104898042</v>
      </c>
      <c r="M58" s="18">
        <f t="shared" si="5"/>
        <v>-1.9036492268053814E-2</v>
      </c>
      <c r="N58" s="18">
        <f t="shared" si="6"/>
        <v>6.1719507291494455E-3</v>
      </c>
      <c r="O58" s="18">
        <f t="shared" si="7"/>
        <v>2.4553065039418006E-3</v>
      </c>
      <c r="P58" s="18">
        <f t="shared" si="8"/>
        <v>-2.3627113871435602E-3</v>
      </c>
      <c r="Q58" s="18">
        <f t="shared" si="9"/>
        <v>9.1960236419592173E-4</v>
      </c>
      <c r="R58" s="28">
        <f>((Scenario_DT!I$11*(IF(Scenario_DT!I$18=1,1,1+$M58/Scenario_DT!$C$19)*(1+$N58)^MAX(0,Scenario_DT!I$18-3))*(Scenario_DT!I$12+$O58)-Scenario_DT!I$13)*(1-Scenario_DT!I$14)+Scenario_DT!I$13-Scenario_DT!I$15)*Scenario_DT!I$16</f>
        <v>914.44625547351052</v>
      </c>
      <c r="S58" s="28">
        <f>((Scenario_DT!J$11*(IF(Scenario_DT!J$18=1,1,1+$M58/Scenario_DT!$C$19)*(1+$N58)^MAX(0,Scenario_DT!J$18-3))*(Scenario_DT!J$12+$O58)-Scenario_DT!J$13)*(1-Scenario_DT!J$14)+Scenario_DT!J$13-Scenario_DT!J$15)*Scenario_DT!J$16</f>
        <v>1793.7684239412761</v>
      </c>
      <c r="T58" s="28">
        <f>((Scenario_DT!K$11*(IF(Scenario_DT!K$18=1,1,1+$M58/Scenario_DT!$C$19)*(1+$N58)^MAX(0,Scenario_DT!K$18-3))*(Scenario_DT!K$12+$O58)-Scenario_DT!K$13)*(1-Scenario_DT!K$14)+Scenario_DT!K$13-Scenario_DT!K$15)*Scenario_DT!K$16</f>
        <v>2056.3202826928577</v>
      </c>
      <c r="U58" s="28">
        <f>((Scenario_DT!L$11*(IF(Scenario_DT!L$18=1,1,1+$M58/Scenario_DT!$C$19)*(1+$N58)^MAX(0,Scenario_DT!L$18-3))*(Scenario_DT!L$12+$O58)-Scenario_DT!L$13)*(1-Scenario_DT!L$14)+Scenario_DT!L$13-Scenario_DT!L$15)*Scenario_DT!L$16</f>
        <v>2470.1231705726177</v>
      </c>
      <c r="V58" s="28">
        <f>((Scenario_DT!M$11*(IF(Scenario_DT!M$18=1,1,1+$M58/Scenario_DT!$C$19)*(1+$N58)^MAX(0,Scenario_DT!M$18-3))*(Scenario_DT!M$12+$O58)-Scenario_DT!M$13)*(1-Scenario_DT!M$14)+Scenario_DT!M$13-Scenario_DT!M$15)*Scenario_DT!M$16</f>
        <v>2609.0250102107261</v>
      </c>
      <c r="W58" s="28">
        <f>((Scenario_DT!N$11*(IF(Scenario_DT!N$18=1,1,1+$M58/Scenario_DT!$C$19)*(1+$N58)^MAX(0,Scenario_DT!N$18-3))*(Scenario_DT!N$12+$O58)-Scenario_DT!N$13)*(1-Scenario_DT!N$14)+Scenario_DT!N$13-Scenario_DT!N$15)*Scenario_DT!N$16</f>
        <v>2755.7391890127697</v>
      </c>
      <c r="X58" s="28">
        <f>((Scenario_DT!O$11*(IF(Scenario_DT!O$18=1,1,1+$M58/Scenario_DT!$C$19)*(1+$N58)^MAX(0,Scenario_DT!O$18-3))*(Scenario_DT!O$12+$O58)-Scenario_DT!O$13)*(1-Scenario_DT!O$14)+Scenario_DT!O$13-Scenario_DT!O$15)*Scenario_DT!O$16</f>
        <v>2910.7079449232783</v>
      </c>
      <c r="Y58" s="28">
        <f>((Scenario_DT!P$11*(IF(Scenario_DT!P$18=1,1,1+$M58/Scenario_DT!$C$19)*(1+$N58)^MAX(0,Scenario_DT!P$18-3))*(Scenario_DT!P$12+$O58)-Scenario_DT!P$13)*(1-Scenario_DT!P$14)+Scenario_DT!P$13-Scenario_DT!P$15)*Scenario_DT!P$16</f>
        <v>3074.3985624350266</v>
      </c>
      <c r="Z58" s="28">
        <f>((Scenario_DT!Q$11*(IF(Scenario_DT!Q$18=1,1,1+$M58/Scenario_DT!$C$19)*(1+$N58)^MAX(0,Scenario_DT!Q$18-3))*(Scenario_DT!Q$12+$O58)-Scenario_DT!Q$13)*(1-Scenario_DT!Q$14)+Scenario_DT!Q$13-Scenario_DT!Q$15)*Scenario_DT!Q$16</f>
        <v>3247.3047905286976</v>
      </c>
      <c r="AA58" s="28">
        <f>((Scenario_DT!R$11*(IF(Scenario_DT!R$18=1,1,1+$M58/Scenario_DT!$C$19)*(1+$N58)^MAX(0,Scenario_DT!R$18-3))*(Scenario_DT!R$12+$O58)-Scenario_DT!R$13)*(1-Scenario_DT!R$14)+Scenario_DT!R$13-Scenario_DT!R$15)*Scenario_DT!R$16</f>
        <v>3429.9483408471879</v>
      </c>
      <c r="AB58" s="17">
        <f>(Scenario_DT!$R$11*(1+$M58/Scenario_DT!$C$19)*(1+$N58)^7*(Scenario_DT!$R$12+$O58)*(1+MIN(DCF_FCFF!$C$26+$Q58,(DCF_FCFF!$C$25+$P58)-0.02))*(1-DCF_FCFF!$C$27)*(1-DCF_FCFF!$C$28)/((DCF_FCFF!$C$25+$P58)-MIN(DCF_FCFF!$C$26+$Q58,(DCF_FCFF!$C$25+$P58)-0.02)))*(1+(DCF_FCFF!$C$25+$P58))^(-(Inputs!$C$9+9))</f>
        <v>31610.859961411097</v>
      </c>
      <c r="AC58" s="17">
        <f>SUMPRODUCT(R58:AA58*(1+(DCF_FCFF!$C$25+$P58))^(-Scenario_DT!$I$17:$R$17))+AB58</f>
        <v>48233.93816908689</v>
      </c>
      <c r="AD58" s="68">
        <f>((AC58-DCF_FCFF!$C$48)*(1-DCF_FCFF!$C$50)+DCF_FCFF!$C$57+DCF_FCFF!$C$58)/DCF_FCFF!$C$60</f>
        <v>366.54197721480904</v>
      </c>
      <c r="AE58" s="6"/>
      <c r="AF58" s="6"/>
      <c r="AG58" s="6"/>
    </row>
    <row r="59" spans="1:33" x14ac:dyDescent="0.3">
      <c r="A59" s="6"/>
      <c r="B59" s="72">
        <v>28</v>
      </c>
      <c r="C59" s="73">
        <v>2.2803871029697501E-2</v>
      </c>
      <c r="D59" s="73">
        <v>0.958559213241445</v>
      </c>
      <c r="E59" s="73">
        <v>0.48230343694290001</v>
      </c>
      <c r="F59" s="73">
        <v>0.78273522725028599</v>
      </c>
      <c r="G59" s="73">
        <v>8.2729999922438596E-2</v>
      </c>
      <c r="H59" s="15">
        <f t="shared" si="0"/>
        <v>-1.9990056545319455</v>
      </c>
      <c r="I59" s="15">
        <f t="shared" si="1"/>
        <v>1.7342058040347168</v>
      </c>
      <c r="J59" s="15">
        <f t="shared" si="2"/>
        <v>-4.4373262748442208E-2</v>
      </c>
      <c r="K59" s="15">
        <f t="shared" si="3"/>
        <v>0.78146416443194788</v>
      </c>
      <c r="L59" s="15">
        <f t="shared" si="4"/>
        <v>-1.3869401951055682</v>
      </c>
      <c r="M59" s="18">
        <f t="shared" si="5"/>
        <v>-3.9980113090638911E-2</v>
      </c>
      <c r="N59" s="18">
        <f t="shared" si="6"/>
        <v>4.0189076353480783E-3</v>
      </c>
      <c r="O59" s="18">
        <f t="shared" si="7"/>
        <v>-5.3247915298130653E-4</v>
      </c>
      <c r="P59" s="18">
        <f t="shared" si="8"/>
        <v>4.6887849865916873E-3</v>
      </c>
      <c r="Q59" s="18">
        <f t="shared" si="9"/>
        <v>-5.5477607804222734E-3</v>
      </c>
      <c r="R59" s="28">
        <f>((Scenario_DT!I$11*(IF(Scenario_DT!I$18=1,1,1+$M59/Scenario_DT!$C$19)*(1+$N59)^MAX(0,Scenario_DT!I$18-3))*(Scenario_DT!I$12+$O59)-Scenario_DT!I$13)*(1-Scenario_DT!I$14)+Scenario_DT!I$13-Scenario_DT!I$15)*Scenario_DT!I$16</f>
        <v>910.23379923211553</v>
      </c>
      <c r="S59" s="28">
        <f>((Scenario_DT!J$11*(IF(Scenario_DT!J$18=1,1,1+$M59/Scenario_DT!$C$19)*(1+$N59)^MAX(0,Scenario_DT!J$18-3))*(Scenario_DT!J$12+$O59)-Scenario_DT!J$13)*(1-Scenario_DT!J$14)+Scenario_DT!J$13-Scenario_DT!J$15)*Scenario_DT!J$16</f>
        <v>1734.5216126357286</v>
      </c>
      <c r="T59" s="28">
        <f>((Scenario_DT!K$11*(IF(Scenario_DT!K$18=1,1,1+$M59/Scenario_DT!$C$19)*(1+$N59)^MAX(0,Scenario_DT!K$18-3))*(Scenario_DT!K$12+$O59)-Scenario_DT!K$13)*(1-Scenario_DT!K$14)+Scenario_DT!K$13-Scenario_DT!K$15)*Scenario_DT!K$16</f>
        <v>1994.209053087774</v>
      </c>
      <c r="U59" s="28">
        <f>((Scenario_DT!L$11*(IF(Scenario_DT!L$18=1,1,1+$M59/Scenario_DT!$C$19)*(1+$N59)^MAX(0,Scenario_DT!L$18-3))*(Scenario_DT!L$12+$O59)-Scenario_DT!L$13)*(1-Scenario_DT!L$14)+Scenario_DT!L$13-Scenario_DT!L$15)*Scenario_DT!L$16</f>
        <v>2398.5880855405685</v>
      </c>
      <c r="V59" s="28">
        <f>((Scenario_DT!M$11*(IF(Scenario_DT!M$18=1,1,1+$M59/Scenario_DT!$C$19)*(1+$N59)^MAX(0,Scenario_DT!M$18-3))*(Scenario_DT!M$12+$O59)-Scenario_DT!M$13)*(1-Scenario_DT!M$14)+Scenario_DT!M$13-Scenario_DT!M$15)*Scenario_DT!M$16</f>
        <v>2527.9889587081007</v>
      </c>
      <c r="W59" s="28">
        <f>((Scenario_DT!N$11*(IF(Scenario_DT!N$18=1,1,1+$M59/Scenario_DT!$C$19)*(1+$N59)^MAX(0,Scenario_DT!N$18-3))*(Scenario_DT!N$12+$O59)-Scenario_DT!N$13)*(1-Scenario_DT!N$14)+Scenario_DT!N$13-Scenario_DT!N$15)*Scenario_DT!N$16</f>
        <v>2664.3694769242547</v>
      </c>
      <c r="X59" s="28">
        <f>((Scenario_DT!O$11*(IF(Scenario_DT!O$18=1,1,1+$M59/Scenario_DT!$C$19)*(1+$N59)^MAX(0,Scenario_DT!O$18-3))*(Scenario_DT!O$12+$O59)-Scenario_DT!O$13)*(1-Scenario_DT!O$14)+Scenario_DT!O$13-Scenario_DT!O$15)*Scenario_DT!O$16</f>
        <v>2808.1087940072775</v>
      </c>
      <c r="Y59" s="28">
        <f>((Scenario_DT!P$11*(IF(Scenario_DT!P$18=1,1,1+$M59/Scenario_DT!$C$19)*(1+$N59)^MAX(0,Scenario_DT!P$18-3))*(Scenario_DT!P$12+$O59)-Scenario_DT!P$13)*(1-Scenario_DT!P$14)+Scenario_DT!P$13-Scenario_DT!P$15)*Scenario_DT!P$16</f>
        <v>2959.6066769005661</v>
      </c>
      <c r="Z59" s="28">
        <f>((Scenario_DT!Q$11*(IF(Scenario_DT!Q$18=1,1,1+$M59/Scenario_DT!$C$19)*(1+$N59)^MAX(0,Scenario_DT!Q$18-3))*(Scenario_DT!Q$12+$O59)-Scenario_DT!Q$13)*(1-Scenario_DT!Q$14)+Scenario_DT!Q$13-Scenario_DT!Q$15)*Scenario_DT!Q$16</f>
        <v>3119.2846260173696</v>
      </c>
      <c r="AA59" s="28">
        <f>((Scenario_DT!R$11*(IF(Scenario_DT!R$18=1,1,1+$M59/Scenario_DT!$C$19)*(1+$N59)^MAX(0,Scenario_DT!R$18-3))*(Scenario_DT!R$12+$O59)-Scenario_DT!R$13)*(1-Scenario_DT!R$14)+Scenario_DT!R$13-Scenario_DT!R$15)*Scenario_DT!R$16</f>
        <v>3287.5870564530032</v>
      </c>
      <c r="AB59" s="17">
        <f>(Scenario_DT!$R$11*(1+$M59/Scenario_DT!$C$19)*(1+$N59)^7*(Scenario_DT!$R$12+$O59)*(1+MIN(DCF_FCFF!$C$26+$Q59,(DCF_FCFF!$C$25+$P59)-0.02))*(1-DCF_FCFF!$C$27)*(1-DCF_FCFF!$C$28)/((DCF_FCFF!$C$25+$P59)-MIN(DCF_FCFF!$C$26+$Q59,(DCF_FCFF!$C$25+$P59)-0.02)))*(1+(DCF_FCFF!$C$25+$P59))^(-(Inputs!$C$9+9))</f>
        <v>22016.327635283764</v>
      </c>
      <c r="AC59" s="17">
        <f>SUMPRODUCT(R59:AA59*(1+(DCF_FCFF!$C$25+$P59))^(-Scenario_DT!$I$17:$R$17))+AB59</f>
        <v>37623.835362553014</v>
      </c>
      <c r="AD59" s="68">
        <f>((AC59-DCF_FCFF!$C$48)*(1-DCF_FCFF!$C$50)+DCF_FCFF!$C$57+DCF_FCFF!$C$58)/DCF_FCFF!$C$60</f>
        <v>264.69805690105864</v>
      </c>
      <c r="AE59" s="6"/>
      <c r="AF59" s="6"/>
      <c r="AG59" s="6"/>
    </row>
    <row r="60" spans="1:33" x14ac:dyDescent="0.3">
      <c r="A60" s="6"/>
      <c r="B60" s="72">
        <v>29</v>
      </c>
      <c r="C60" s="73">
        <v>0.48665833083816001</v>
      </c>
      <c r="D60" s="73">
        <v>0.49070699435452098</v>
      </c>
      <c r="E60" s="73">
        <v>0.93782645497498296</v>
      </c>
      <c r="F60" s="73">
        <v>0.57172805237607505</v>
      </c>
      <c r="G60" s="73">
        <v>0.47348940105695397</v>
      </c>
      <c r="H60" s="15">
        <f t="shared" si="0"/>
        <v>-3.3448841338469454E-2</v>
      </c>
      <c r="I60" s="15">
        <f t="shared" si="1"/>
        <v>-2.3296217732055917E-2</v>
      </c>
      <c r="J60" s="15">
        <f t="shared" si="2"/>
        <v>1.536780418960962</v>
      </c>
      <c r="K60" s="15">
        <f t="shared" si="3"/>
        <v>0.18077537154826523</v>
      </c>
      <c r="L60" s="15">
        <f t="shared" si="4"/>
        <v>-6.6501200314805539E-2</v>
      </c>
      <c r="M60" s="18">
        <f t="shared" si="5"/>
        <v>-6.6897682676938912E-4</v>
      </c>
      <c r="N60" s="18">
        <f t="shared" si="6"/>
        <v>-2.9519629629830925E-4</v>
      </c>
      <c r="O60" s="18">
        <f t="shared" si="7"/>
        <v>1.8441365027531544E-2</v>
      </c>
      <c r="P60" s="18">
        <f t="shared" si="8"/>
        <v>1.0846522292895914E-3</v>
      </c>
      <c r="Q60" s="18">
        <f t="shared" si="9"/>
        <v>-2.6600480125922214E-4</v>
      </c>
      <c r="R60" s="28">
        <f>((Scenario_DT!I$11*(IF(Scenario_DT!I$18=1,1,1+$M60/Scenario_DT!$C$19)*(1+$N60)^MAX(0,Scenario_DT!I$18-3))*(Scenario_DT!I$12+$O60)-Scenario_DT!I$13)*(1-Scenario_DT!I$14)+Scenario_DT!I$13-Scenario_DT!I$15)*Scenario_DT!I$16</f>
        <v>936.98487762900766</v>
      </c>
      <c r="S60" s="28">
        <f>((Scenario_DT!J$11*(IF(Scenario_DT!J$18=1,1,1+$M60/Scenario_DT!$C$19)*(1+$N60)^MAX(0,Scenario_DT!J$18-3))*(Scenario_DT!J$12+$O60)-Scenario_DT!J$13)*(1-Scenario_DT!J$14)+Scenario_DT!J$13-Scenario_DT!J$15)*Scenario_DT!J$16</f>
        <v>1887.5756605264378</v>
      </c>
      <c r="T60" s="28">
        <f>((Scenario_DT!K$11*(IF(Scenario_DT!K$18=1,1,1+$M60/Scenario_DT!$C$19)*(1+$N60)^MAX(0,Scenario_DT!K$18-3))*(Scenario_DT!K$12+$O60)-Scenario_DT!K$13)*(1-Scenario_DT!K$14)+Scenario_DT!K$13-Scenario_DT!K$15)*Scenario_DT!K$16</f>
        <v>2154.1598427771223</v>
      </c>
      <c r="U60" s="28">
        <f>((Scenario_DT!L$11*(IF(Scenario_DT!L$18=1,1,1+$M60/Scenario_DT!$C$19)*(1+$N60)^MAX(0,Scenario_DT!L$18-3))*(Scenario_DT!L$12+$O60)-Scenario_DT!L$13)*(1-Scenario_DT!L$14)+Scenario_DT!L$13-Scenario_DT!L$15)*Scenario_DT!L$16</f>
        <v>2557.9911790405881</v>
      </c>
      <c r="V60" s="28">
        <f>((Scenario_DT!M$11*(IF(Scenario_DT!M$18=1,1,1+$M60/Scenario_DT!$C$19)*(1+$N60)^MAX(0,Scenario_DT!M$18-3))*(Scenario_DT!M$12+$O60)-Scenario_DT!M$13)*(1-Scenario_DT!M$14)+Scenario_DT!M$13-Scenario_DT!M$15)*Scenario_DT!M$16</f>
        <v>2684.3712127326917</v>
      </c>
      <c r="W60" s="28">
        <f>((Scenario_DT!N$11*(IF(Scenario_DT!N$18=1,1,1+$M60/Scenario_DT!$C$19)*(1+$N60)^MAX(0,Scenario_DT!N$18-3))*(Scenario_DT!N$12+$O60)-Scenario_DT!N$13)*(1-Scenario_DT!N$14)+Scenario_DT!N$13-Scenario_DT!N$15)*Scenario_DT!N$16</f>
        <v>2816.9875346324438</v>
      </c>
      <c r="X60" s="28">
        <f>((Scenario_DT!O$11*(IF(Scenario_DT!O$18=1,1,1+$M60/Scenario_DT!$C$19)*(1+$N60)^MAX(0,Scenario_DT!O$18-3))*(Scenario_DT!O$12+$O60)-Scenario_DT!O$13)*(1-Scenario_DT!O$14)+Scenario_DT!O$13-Scenario_DT!O$15)*Scenario_DT!O$16</f>
        <v>2956.150195131449</v>
      </c>
      <c r="Y60" s="28">
        <f>((Scenario_DT!P$11*(IF(Scenario_DT!P$18=1,1,1+$M60/Scenario_DT!$C$19)*(1+$N60)^MAX(0,Scenario_DT!P$18-3))*(Scenario_DT!P$12+$O60)-Scenario_DT!P$13)*(1-Scenario_DT!P$14)+Scenario_DT!P$13-Scenario_DT!P$15)*Scenario_DT!P$16</f>
        <v>3102.1846799587734</v>
      </c>
      <c r="Z60" s="28">
        <f>((Scenario_DT!Q$11*(IF(Scenario_DT!Q$18=1,1,1+$M60/Scenario_DT!$C$19)*(1+$N60)^MAX(0,Scenario_DT!Q$18-3))*(Scenario_DT!Q$12+$O60)-Scenario_DT!Q$13)*(1-Scenario_DT!Q$14)+Scenario_DT!Q$13-Scenario_DT!Q$15)*Scenario_DT!Q$16</f>
        <v>3255.4326786797974</v>
      </c>
      <c r="AA60" s="28">
        <f>((Scenario_DT!R$11*(IF(Scenario_DT!R$18=1,1,1+$M60/Scenario_DT!$C$19)*(1+$N60)^MAX(0,Scenario_DT!R$18-3))*(Scenario_DT!R$12+$O60)-Scenario_DT!R$13)*(1-Scenario_DT!R$14)+Scenario_DT!R$13-Scenario_DT!R$15)*Scenario_DT!R$16</f>
        <v>3416.25289145226</v>
      </c>
      <c r="AB60" s="17">
        <f>(Scenario_DT!$R$11*(1+$M60/Scenario_DT!$C$19)*(1+$N60)^7*(Scenario_DT!$R$12+$O60)*(1+MIN(DCF_FCFF!$C$26+$Q60,(DCF_FCFF!$C$25+$P60)-0.02))*(1-DCF_FCFF!$C$27)*(1-DCF_FCFF!$C$28)/((DCF_FCFF!$C$25+$P60)-MIN(DCF_FCFF!$C$26+$Q60,(DCF_FCFF!$C$25+$P60)-0.02)))*(1+(DCF_FCFF!$C$25+$P60))^(-(Inputs!$C$9+9))</f>
        <v>27788.935079941937</v>
      </c>
      <c r="AC60" s="17">
        <f>SUMPRODUCT(R60:AA60*(1+(DCF_FCFF!$C$25+$P60))^(-Scenario_DT!$I$17:$R$17))+AB60</f>
        <v>44560.473803203524</v>
      </c>
      <c r="AD60" s="68">
        <f>((AC60-DCF_FCFF!$C$48)*(1-DCF_FCFF!$C$50)+DCF_FCFF!$C$57+DCF_FCFF!$C$58)/DCF_FCFF!$C$60</f>
        <v>331.28124327318898</v>
      </c>
      <c r="AE60" s="6"/>
      <c r="AF60" s="6"/>
      <c r="AG60" s="6"/>
    </row>
    <row r="61" spans="1:33" x14ac:dyDescent="0.3">
      <c r="A61" s="6"/>
      <c r="B61" s="72">
        <v>30</v>
      </c>
      <c r="C61" s="73">
        <v>0.26697566309189402</v>
      </c>
      <c r="D61" s="73">
        <v>0.33156899734255202</v>
      </c>
      <c r="E61" s="73">
        <v>0.52067240247153801</v>
      </c>
      <c r="F61" s="73">
        <v>0.43891146030504702</v>
      </c>
      <c r="G61" s="73">
        <v>2.1612079880330402E-2</v>
      </c>
      <c r="H61" s="15">
        <f t="shared" si="0"/>
        <v>-0.62198561612028391</v>
      </c>
      <c r="I61" s="15">
        <f t="shared" si="1"/>
        <v>-0.43558480863921489</v>
      </c>
      <c r="J61" s="15">
        <f t="shared" si="2"/>
        <v>5.1841239859432196E-2</v>
      </c>
      <c r="K61" s="15">
        <f t="shared" si="3"/>
        <v>-0.15372963064733541</v>
      </c>
      <c r="L61" s="15">
        <f t="shared" si="4"/>
        <v>-2.0215374490946667</v>
      </c>
      <c r="M61" s="18">
        <f t="shared" si="5"/>
        <v>-1.2439712322405679E-2</v>
      </c>
      <c r="N61" s="18">
        <f t="shared" si="6"/>
        <v>-5.5057625427542833E-3</v>
      </c>
      <c r="O61" s="18">
        <f t="shared" si="7"/>
        <v>6.2209487831318641E-4</v>
      </c>
      <c r="P61" s="18">
        <f t="shared" si="8"/>
        <v>-9.2237778388401255E-4</v>
      </c>
      <c r="Q61" s="18">
        <f t="shared" si="9"/>
        <v>-8.0861497963786669E-3</v>
      </c>
      <c r="R61" s="28">
        <f>((Scenario_DT!I$11*(IF(Scenario_DT!I$18=1,1,1+$M61/Scenario_DT!$C$19)*(1+$N61)^MAX(0,Scenario_DT!I$18-3))*(Scenario_DT!I$12+$O61)-Scenario_DT!I$13)*(1-Scenario_DT!I$14)+Scenario_DT!I$13-Scenario_DT!I$15)*Scenario_DT!I$16</f>
        <v>911.86162436508994</v>
      </c>
      <c r="S61" s="28">
        <f>((Scenario_DT!J$11*(IF(Scenario_DT!J$18=1,1,1+$M61/Scenario_DT!$C$19)*(1+$N61)^MAX(0,Scenario_DT!J$18-3))*(Scenario_DT!J$12+$O61)-Scenario_DT!J$13)*(1-Scenario_DT!J$14)+Scenario_DT!J$13-Scenario_DT!J$15)*Scenario_DT!J$16</f>
        <v>1804.0077419750555</v>
      </c>
      <c r="T61" s="28">
        <f>((Scenario_DT!K$11*(IF(Scenario_DT!K$18=1,1,1+$M61/Scenario_DT!$C$19)*(1+$N61)^MAX(0,Scenario_DT!K$18-3))*(Scenario_DT!K$12+$O61)-Scenario_DT!K$13)*(1-Scenario_DT!K$14)+Scenario_DT!K$13-Scenario_DT!K$15)*Scenario_DT!K$16</f>
        <v>2067.155873825398</v>
      </c>
      <c r="U61" s="28">
        <f>((Scenario_DT!L$11*(IF(Scenario_DT!L$18=1,1,1+$M61/Scenario_DT!$C$19)*(1+$N61)^MAX(0,Scenario_DT!L$18-3))*(Scenario_DT!L$12+$O61)-Scenario_DT!L$13)*(1-Scenario_DT!L$14)+Scenario_DT!L$13-Scenario_DT!L$15)*Scenario_DT!L$16</f>
        <v>2452.7005075227403</v>
      </c>
      <c r="V61" s="28">
        <f>((Scenario_DT!M$11*(IF(Scenario_DT!M$18=1,1,1+$M61/Scenario_DT!$C$19)*(1+$N61)^MAX(0,Scenario_DT!M$18-3))*(Scenario_DT!M$12+$O61)-Scenario_DT!M$13)*(1-Scenario_DT!M$14)+Scenario_DT!M$13-Scenario_DT!M$15)*Scenario_DT!M$16</f>
        <v>2560.3373626641655</v>
      </c>
      <c r="W61" s="28">
        <f>((Scenario_DT!N$11*(IF(Scenario_DT!N$18=1,1,1+$M61/Scenario_DT!$C$19)*(1+$N61)^MAX(0,Scenario_DT!N$18-3))*(Scenario_DT!N$12+$O61)-Scenario_DT!N$13)*(1-Scenario_DT!N$14)+Scenario_DT!N$13-Scenario_DT!N$15)*Scenario_DT!N$16</f>
        <v>2672.6817020223111</v>
      </c>
      <c r="X61" s="28">
        <f>((Scenario_DT!O$11*(IF(Scenario_DT!O$18=1,1,1+$M61/Scenario_DT!$C$19)*(1+$N61)^MAX(0,Scenario_DT!O$18-3))*(Scenario_DT!O$12+$O61)-Scenario_DT!O$13)*(1-Scenario_DT!O$14)+Scenario_DT!O$13-Scenario_DT!O$15)*Scenario_DT!O$16</f>
        <v>2789.9411908355351</v>
      </c>
      <c r="Y61" s="28">
        <f>((Scenario_DT!P$11*(IF(Scenario_DT!P$18=1,1,1+$M61/Scenario_DT!$C$19)*(1+$N61)^MAX(0,Scenario_DT!P$18-3))*(Scenario_DT!P$12+$O61)-Scenario_DT!P$13)*(1-Scenario_DT!P$14)+Scenario_DT!P$13-Scenario_DT!P$15)*Scenario_DT!P$16</f>
        <v>2912.3326739446188</v>
      </c>
      <c r="Z61" s="28">
        <f>((Scenario_DT!Q$11*(IF(Scenario_DT!Q$18=1,1,1+$M61/Scenario_DT!$C$19)*(1+$N61)^MAX(0,Scenario_DT!Q$18-3))*(Scenario_DT!Q$12+$O61)-Scenario_DT!Q$13)*(1-Scenario_DT!Q$14)+Scenario_DT!Q$13-Scenario_DT!Q$15)*Scenario_DT!Q$16</f>
        <v>3040.0825817867535</v>
      </c>
      <c r="AA61" s="28">
        <f>((Scenario_DT!R$11*(IF(Scenario_DT!R$18=1,1,1+$M61/Scenario_DT!$C$19)*(1+$N61)^MAX(0,Scenario_DT!R$18-3))*(Scenario_DT!R$12+$O61)-Scenario_DT!R$13)*(1-Scenario_DT!R$14)+Scenario_DT!R$13-Scenario_DT!R$15)*Scenario_DT!R$16</f>
        <v>3173.4273543496092</v>
      </c>
      <c r="AB61" s="17">
        <f>(Scenario_DT!$R$11*(1+$M61/Scenario_DT!$C$19)*(1+$N61)^7*(Scenario_DT!$R$12+$O61)*(1+MIN(DCF_FCFF!$C$26+$Q61,(DCF_FCFF!$C$25+$P61)-0.02))*(1-DCF_FCFF!$C$27)*(1-DCF_FCFF!$C$28)/((DCF_FCFF!$C$25+$P61)-MIN(DCF_FCFF!$C$26+$Q61,(DCF_FCFF!$C$25+$P61)-0.02)))*(1+(DCF_FCFF!$C$25+$P61))^(-(Inputs!$C$9+9))</f>
        <v>23451.938948553252</v>
      </c>
      <c r="AC61" s="17">
        <f>SUMPRODUCT(R61:AA61*(1+(DCF_FCFF!$C$25+$P61))^(-Scenario_DT!$I$17:$R$17))+AB61</f>
        <v>39501.506857228334</v>
      </c>
      <c r="AD61" s="68">
        <f>((AC61-DCF_FCFF!$C$48)*(1-DCF_FCFF!$C$50)+DCF_FCFF!$C$57+DCF_FCFF!$C$58)/DCF_FCFF!$C$60</f>
        <v>282.72139084664036</v>
      </c>
      <c r="AE61" s="6"/>
      <c r="AF61" s="6"/>
      <c r="AG61" s="6"/>
    </row>
    <row r="62" spans="1:33" x14ac:dyDescent="0.3">
      <c r="A62" s="6"/>
      <c r="B62" s="72">
        <v>31</v>
      </c>
      <c r="C62" s="73">
        <v>0.82629192419435804</v>
      </c>
      <c r="D62" s="73">
        <v>0.89616077183976695</v>
      </c>
      <c r="E62" s="73">
        <v>0.14024908899861099</v>
      </c>
      <c r="F62" s="73">
        <v>0.55403614353904895</v>
      </c>
      <c r="G62" s="73">
        <v>0.10857574113544401</v>
      </c>
      <c r="H62" s="15">
        <f t="shared" si="0"/>
        <v>0.93961291026438365</v>
      </c>
      <c r="I62" s="15">
        <f t="shared" si="1"/>
        <v>1.2599747910550785</v>
      </c>
      <c r="J62" s="15">
        <f t="shared" si="2"/>
        <v>-1.0792009012572163</v>
      </c>
      <c r="K62" s="15">
        <f t="shared" si="3"/>
        <v>0.13586536921814635</v>
      </c>
      <c r="L62" s="15">
        <f t="shared" si="4"/>
        <v>-1.234138009160215</v>
      </c>
      <c r="M62" s="18">
        <f t="shared" si="5"/>
        <v>1.8792258205287675E-2</v>
      </c>
      <c r="N62" s="18">
        <f t="shared" si="6"/>
        <v>1.2487813058511038E-2</v>
      </c>
      <c r="O62" s="18">
        <f t="shared" si="7"/>
        <v>-1.2950410815086596E-2</v>
      </c>
      <c r="P62" s="18">
        <f t="shared" si="8"/>
        <v>8.151922153088781E-4</v>
      </c>
      <c r="Q62" s="18">
        <f t="shared" si="9"/>
        <v>-4.9365520366408599E-3</v>
      </c>
      <c r="R62" s="28">
        <f>((Scenario_DT!I$11*(IF(Scenario_DT!I$18=1,1,1+$M62/Scenario_DT!$C$19)*(1+$N62)^MAX(0,Scenario_DT!I$18-3))*(Scenario_DT!I$12+$O62)-Scenario_DT!I$13)*(1-Scenario_DT!I$14)+Scenario_DT!I$13-Scenario_DT!I$15)*Scenario_DT!I$16</f>
        <v>892.7258519621887</v>
      </c>
      <c r="S62" s="28">
        <f>((Scenario_DT!J$11*(IF(Scenario_DT!J$18=1,1,1+$M62/Scenario_DT!$C$19)*(1+$N62)^MAX(0,Scenario_DT!J$18-3))*(Scenario_DT!J$12+$O62)-Scenario_DT!J$13)*(1-Scenario_DT!J$14)+Scenario_DT!J$13-Scenario_DT!J$15)*Scenario_DT!J$16</f>
        <v>1835.8896062047415</v>
      </c>
      <c r="T62" s="28">
        <f>((Scenario_DT!K$11*(IF(Scenario_DT!K$18=1,1,1+$M62/Scenario_DT!$C$19)*(1+$N62)^MAX(0,Scenario_DT!K$18-3))*(Scenario_DT!K$12+$O62)-Scenario_DT!K$13)*(1-Scenario_DT!K$14)+Scenario_DT!K$13-Scenario_DT!K$15)*Scenario_DT!K$16</f>
        <v>2101.2578767439818</v>
      </c>
      <c r="U62" s="28">
        <f>((Scenario_DT!L$11*(IF(Scenario_DT!L$18=1,1,1+$M62/Scenario_DT!$C$19)*(1+$N62)^MAX(0,Scenario_DT!L$18-3))*(Scenario_DT!L$12+$O62)-Scenario_DT!L$13)*(1-Scenario_DT!L$14)+Scenario_DT!L$13-Scenario_DT!L$15)*Scenario_DT!L$16</f>
        <v>2534.0439012417469</v>
      </c>
      <c r="V62" s="28">
        <f>((Scenario_DT!M$11*(IF(Scenario_DT!M$18=1,1,1+$M62/Scenario_DT!$C$19)*(1+$N62)^MAX(0,Scenario_DT!M$18-3))*(Scenario_DT!M$12+$O62)-Scenario_DT!M$13)*(1-Scenario_DT!M$14)+Scenario_DT!M$13-Scenario_DT!M$15)*Scenario_DT!M$16</f>
        <v>2693.4728332170725</v>
      </c>
      <c r="W62" s="28">
        <f>((Scenario_DT!N$11*(IF(Scenario_DT!N$18=1,1,1+$M62/Scenario_DT!$C$19)*(1+$N62)^MAX(0,Scenario_DT!N$18-3))*(Scenario_DT!N$12+$O62)-Scenario_DT!N$13)*(1-Scenario_DT!N$14)+Scenario_DT!N$13-Scenario_DT!N$15)*Scenario_DT!N$16</f>
        <v>2862.9411432238808</v>
      </c>
      <c r="X62" s="28">
        <f>((Scenario_DT!O$11*(IF(Scenario_DT!O$18=1,1,1+$M62/Scenario_DT!$C$19)*(1+$N62)^MAX(0,Scenario_DT!O$18-3))*(Scenario_DT!O$12+$O62)-Scenario_DT!O$13)*(1-Scenario_DT!O$14)+Scenario_DT!O$13-Scenario_DT!O$15)*Scenario_DT!O$16</f>
        <v>3043.0842357966758</v>
      </c>
      <c r="Y62" s="28">
        <f>((Scenario_DT!P$11*(IF(Scenario_DT!P$18=1,1,1+$M62/Scenario_DT!$C$19)*(1+$N62)^MAX(0,Scenario_DT!P$18-3))*(Scenario_DT!P$12+$O62)-Scenario_DT!P$13)*(1-Scenario_DT!P$14)+Scenario_DT!P$13-Scenario_DT!P$15)*Scenario_DT!P$16</f>
        <v>3234.5777248131076</v>
      </c>
      <c r="Z62" s="28">
        <f>((Scenario_DT!Q$11*(IF(Scenario_DT!Q$18=1,1,1+$M62/Scenario_DT!$C$19)*(1+$N62)^MAX(0,Scenario_DT!Q$18-3))*(Scenario_DT!Q$12+$O62)-Scenario_DT!Q$13)*(1-Scenario_DT!Q$14)+Scenario_DT!Q$13-Scenario_DT!Q$15)*Scenario_DT!Q$16</f>
        <v>3438.1399762301016</v>
      </c>
      <c r="AA62" s="28">
        <f>((Scenario_DT!R$11*(IF(Scenario_DT!R$18=1,1,1+$M62/Scenario_DT!$C$19)*(1+$N62)^MAX(0,Scenario_DT!R$18-3))*(Scenario_DT!R$12+$O62)-Scenario_DT!R$13)*(1-Scenario_DT!R$14)+Scenario_DT!R$13-Scenario_DT!R$15)*Scenario_DT!R$16</f>
        <v>3654.5348115226238</v>
      </c>
      <c r="AB62" s="17">
        <f>(Scenario_DT!$R$11*(1+$M62/Scenario_DT!$C$19)*(1+$N62)^7*(Scenario_DT!$R$12+$O62)*(1+MIN(DCF_FCFF!$C$26+$Q62,(DCF_FCFF!$C$25+$P62)-0.02))*(1-DCF_FCFF!$C$27)*(1-DCF_FCFF!$C$28)/((DCF_FCFF!$C$25+$P62)-MIN(DCF_FCFF!$C$26+$Q62,(DCF_FCFF!$C$25+$P62)-0.02)))*(1+(DCF_FCFF!$C$25+$P62))^(-(Inputs!$C$9+9))</f>
        <v>27323.312091338717</v>
      </c>
      <c r="AC62" s="17">
        <f>SUMPRODUCT(R62:AA62*(1+(DCF_FCFF!$C$25+$P62))^(-Scenario_DT!$I$17:$R$17))+AB62</f>
        <v>44319.90355760805</v>
      </c>
      <c r="AD62" s="68">
        <f>((AC62-DCF_FCFF!$C$48)*(1-DCF_FCFF!$C$50)+DCF_FCFF!$C$57+DCF_FCFF!$C$58)/DCF_FCFF!$C$60</f>
        <v>328.97206518424559</v>
      </c>
      <c r="AE62" s="6"/>
      <c r="AF62" s="6"/>
      <c r="AG62" s="6"/>
    </row>
    <row r="63" spans="1:33" x14ac:dyDescent="0.3">
      <c r="A63" s="6"/>
      <c r="B63" s="72">
        <v>32</v>
      </c>
      <c r="C63" s="73">
        <v>0.67224009303981203</v>
      </c>
      <c r="D63" s="73">
        <v>0.28123378383900799</v>
      </c>
      <c r="E63" s="73">
        <v>0.65942263469190199</v>
      </c>
      <c r="F63" s="73">
        <v>0.72699461428688295</v>
      </c>
      <c r="G63" s="73">
        <v>0.76864749191765702</v>
      </c>
      <c r="H63" s="15">
        <f t="shared" si="0"/>
        <v>0.44610719755782841</v>
      </c>
      <c r="I63" s="15">
        <f t="shared" si="1"/>
        <v>-0.57918023223338821</v>
      </c>
      <c r="J63" s="15">
        <f t="shared" si="2"/>
        <v>0.41088790637994232</v>
      </c>
      <c r="K63" s="15">
        <f t="shared" si="3"/>
        <v>0.60374863880107232</v>
      </c>
      <c r="L63" s="15">
        <f t="shared" si="4"/>
        <v>0.73439995180658069</v>
      </c>
      <c r="M63" s="18">
        <f t="shared" si="5"/>
        <v>8.9221439511565689E-3</v>
      </c>
      <c r="N63" s="18">
        <f t="shared" si="6"/>
        <v>-2.2282495656397662E-3</v>
      </c>
      <c r="O63" s="18">
        <f t="shared" si="7"/>
        <v>4.9306548765593082E-3</v>
      </c>
      <c r="P63" s="18">
        <f t="shared" si="8"/>
        <v>3.6224918328064339E-3</v>
      </c>
      <c r="Q63" s="18">
        <f t="shared" si="9"/>
        <v>2.9375998072263226E-3</v>
      </c>
      <c r="R63" s="28">
        <f>((Scenario_DT!I$11*(IF(Scenario_DT!I$18=1,1,1+$M63/Scenario_DT!$C$19)*(1+$N63)^MAX(0,Scenario_DT!I$18-3))*(Scenario_DT!I$12+$O63)-Scenario_DT!I$13)*(1-Scenario_DT!I$14)+Scenario_DT!I$13-Scenario_DT!I$15)*Scenario_DT!I$16</f>
        <v>917.93623029071307</v>
      </c>
      <c r="S63" s="28">
        <f>((Scenario_DT!J$11*(IF(Scenario_DT!J$18=1,1,1+$M63/Scenario_DT!$C$19)*(1+$N63)^MAX(0,Scenario_DT!J$18-3))*(Scenario_DT!J$12+$O63)-Scenario_DT!J$13)*(1-Scenario_DT!J$14)+Scenario_DT!J$13-Scenario_DT!J$15)*Scenario_DT!J$16</f>
        <v>1868.7569865340965</v>
      </c>
      <c r="T63" s="28">
        <f>((Scenario_DT!K$11*(IF(Scenario_DT!K$18=1,1,1+$M63/Scenario_DT!$C$19)*(1+$N63)^MAX(0,Scenario_DT!K$18-3))*(Scenario_DT!K$12+$O63)-Scenario_DT!K$13)*(1-Scenario_DT!K$14)+Scenario_DT!K$13-Scenario_DT!K$15)*Scenario_DT!K$16</f>
        <v>2134.9836477471686</v>
      </c>
      <c r="U63" s="28">
        <f>((Scenario_DT!L$11*(IF(Scenario_DT!L$18=1,1,1+$M63/Scenario_DT!$C$19)*(1+$N63)^MAX(0,Scenario_DT!L$18-3))*(Scenario_DT!L$12+$O63)-Scenario_DT!L$13)*(1-Scenario_DT!L$14)+Scenario_DT!L$13-Scenario_DT!L$15)*Scenario_DT!L$16</f>
        <v>2532.6968817498582</v>
      </c>
      <c r="V63" s="28">
        <f>((Scenario_DT!M$11*(IF(Scenario_DT!M$18=1,1,1+$M63/Scenario_DT!$C$19)*(1+$N63)^MAX(0,Scenario_DT!M$18-3))*(Scenario_DT!M$12+$O63)-Scenario_DT!M$13)*(1-Scenario_DT!M$14)+Scenario_DT!M$13-Scenario_DT!M$15)*Scenario_DT!M$16</f>
        <v>2652.6451597697287</v>
      </c>
      <c r="W63" s="28">
        <f>((Scenario_DT!N$11*(IF(Scenario_DT!N$18=1,1,1+$M63/Scenario_DT!$C$19)*(1+$N63)^MAX(0,Scenario_DT!N$18-3))*(Scenario_DT!N$12+$O63)-Scenario_DT!N$13)*(1-Scenario_DT!N$14)+Scenario_DT!N$13-Scenario_DT!N$15)*Scenario_DT!N$16</f>
        <v>2778.2634952016174</v>
      </c>
      <c r="X63" s="28">
        <f>((Scenario_DT!O$11*(IF(Scenario_DT!O$18=1,1,1+$M63/Scenario_DT!$C$19)*(1+$N63)^MAX(0,Scenario_DT!O$18-3))*(Scenario_DT!O$12+$O63)-Scenario_DT!O$13)*(1-Scenario_DT!O$14)+Scenario_DT!O$13-Scenario_DT!O$15)*Scenario_DT!O$16</f>
        <v>2909.822047621577</v>
      </c>
      <c r="Y63" s="28">
        <f>((Scenario_DT!P$11*(IF(Scenario_DT!P$18=1,1,1+$M63/Scenario_DT!$C$19)*(1+$N63)^MAX(0,Scenario_DT!P$18-3))*(Scenario_DT!P$12+$O63)-Scenario_DT!P$13)*(1-Scenario_DT!P$14)+Scenario_DT!P$13-Scenario_DT!P$15)*Scenario_DT!P$16</f>
        <v>3047.6038695298362</v>
      </c>
      <c r="Z63" s="28">
        <f>((Scenario_DT!Q$11*(IF(Scenario_DT!Q$18=1,1,1+$M63/Scenario_DT!$C$19)*(1+$N63)^MAX(0,Scenario_DT!Q$18-3))*(Scenario_DT!Q$12+$O63)-Scenario_DT!Q$13)*(1-Scenario_DT!Q$14)+Scenario_DT!Q$13-Scenario_DT!Q$15)*Scenario_DT!Q$16</f>
        <v>3191.9055218159501</v>
      </c>
      <c r="AA63" s="28">
        <f>((Scenario_DT!R$11*(IF(Scenario_DT!R$18=1,1,1+$M63/Scenario_DT!$C$19)*(1+$N63)^MAX(0,Scenario_DT!R$18-3))*(Scenario_DT!R$12+$O63)-Scenario_DT!R$13)*(1-Scenario_DT!R$14)+Scenario_DT!R$13-Scenario_DT!R$15)*Scenario_DT!R$16</f>
        <v>3343.0377186043065</v>
      </c>
      <c r="AB63" s="17">
        <f>(Scenario_DT!$R$11*(1+$M63/Scenario_DT!$C$19)*(1+$N63)^7*(Scenario_DT!$R$12+$O63)*(1+MIN(DCF_FCFF!$C$26+$Q63,(DCF_FCFF!$C$25+$P63)-0.02))*(1-DCF_FCFF!$C$27)*(1-DCF_FCFF!$C$28)/((DCF_FCFF!$C$25+$P63)-MIN(DCF_FCFF!$C$26+$Q63,(DCF_FCFF!$C$25+$P63)-0.02)))*(1+(DCF_FCFF!$C$25+$P63))^(-(Inputs!$C$9+9))</f>
        <v>27036.341405509214</v>
      </c>
      <c r="AC63" s="17">
        <f>SUMPRODUCT(R63:AA63*(1+(DCF_FCFF!$C$25+$P63))^(-Scenario_DT!$I$17:$R$17))+AB63</f>
        <v>43391.954688934631</v>
      </c>
      <c r="AD63" s="68">
        <f>((AC63-DCF_FCFF!$C$48)*(1-DCF_FCFF!$C$50)+DCF_FCFF!$C$57+DCF_FCFF!$C$58)/DCF_FCFF!$C$60</f>
        <v>320.06489883914548</v>
      </c>
      <c r="AE63" s="6"/>
      <c r="AF63" s="6"/>
      <c r="AG63" s="6"/>
    </row>
    <row r="64" spans="1:33" x14ac:dyDescent="0.3">
      <c r="A64" s="6"/>
      <c r="B64" s="72">
        <v>33</v>
      </c>
      <c r="C64" s="73">
        <v>0.10774094595589701</v>
      </c>
      <c r="D64" s="73">
        <v>0.91601184513760803</v>
      </c>
      <c r="E64" s="73">
        <v>0.23021399089488101</v>
      </c>
      <c r="F64" s="73">
        <v>3.74125561761798E-2</v>
      </c>
      <c r="G64" s="73">
        <v>0.55485246939148303</v>
      </c>
      <c r="H64" s="15">
        <f t="shared" si="0"/>
        <v>-1.2386317837582836</v>
      </c>
      <c r="I64" s="15">
        <f t="shared" si="1"/>
        <v>1.3787355327887829</v>
      </c>
      <c r="J64" s="15">
        <f t="shared" si="2"/>
        <v>-0.73814229930752751</v>
      </c>
      <c r="K64" s="15">
        <f t="shared" si="3"/>
        <v>-1.7815348777685802</v>
      </c>
      <c r="L64" s="15">
        <f t="shared" si="4"/>
        <v>0.137930859410897</v>
      </c>
      <c r="M64" s="18">
        <f t="shared" si="5"/>
        <v>-2.4772635675165675E-2</v>
      </c>
      <c r="N64" s="18">
        <f t="shared" si="6"/>
        <v>4.5976328369297364E-3</v>
      </c>
      <c r="O64" s="18">
        <f t="shared" si="7"/>
        <v>-8.8577075916903298E-3</v>
      </c>
      <c r="P64" s="18">
        <f t="shared" si="8"/>
        <v>-1.0689209266611481E-2</v>
      </c>
      <c r="Q64" s="18">
        <f t="shared" si="9"/>
        <v>5.5172343764358798E-4</v>
      </c>
      <c r="R64" s="28">
        <f>((Scenario_DT!I$11*(IF(Scenario_DT!I$18=1,1,1+$M64/Scenario_DT!$C$19)*(1+$N64)^MAX(0,Scenario_DT!I$18-3))*(Scenario_DT!I$12+$O64)-Scenario_DT!I$13)*(1-Scenario_DT!I$14)+Scenario_DT!I$13-Scenario_DT!I$15)*Scenario_DT!I$16</f>
        <v>898.49612306501217</v>
      </c>
      <c r="S64" s="28">
        <f>((Scenario_DT!J$11*(IF(Scenario_DT!J$18=1,1,1+$M64/Scenario_DT!$C$19)*(1+$N64)^MAX(0,Scenario_DT!J$18-3))*(Scenario_DT!J$12+$O64)-Scenario_DT!J$13)*(1-Scenario_DT!J$14)+Scenario_DT!J$13-Scenario_DT!J$15)*Scenario_DT!J$16</f>
        <v>1745.7447087944261</v>
      </c>
      <c r="T64" s="28">
        <f>((Scenario_DT!K$11*(IF(Scenario_DT!K$18=1,1,1+$M64/Scenario_DT!$C$19)*(1+$N64)^MAX(0,Scenario_DT!K$18-3))*(Scenario_DT!K$12+$O64)-Scenario_DT!K$13)*(1-Scenario_DT!K$14)+Scenario_DT!K$13-Scenario_DT!K$15)*Scenario_DT!K$16</f>
        <v>2006.3569408307199</v>
      </c>
      <c r="U64" s="28">
        <f>((Scenario_DT!L$11*(IF(Scenario_DT!L$18=1,1,1+$M64/Scenario_DT!$C$19)*(1+$N64)^MAX(0,Scenario_DT!L$18-3))*(Scenario_DT!L$12+$O64)-Scenario_DT!L$13)*(1-Scenario_DT!L$14)+Scenario_DT!L$13-Scenario_DT!L$15)*Scenario_DT!L$16</f>
        <v>2412.9380293329955</v>
      </c>
      <c r="V64" s="28">
        <f>((Scenario_DT!M$11*(IF(Scenario_DT!M$18=1,1,1+$M64/Scenario_DT!$C$19)*(1+$N64)^MAX(0,Scenario_DT!M$18-3))*(Scenario_DT!M$12+$O64)-Scenario_DT!M$13)*(1-Scenario_DT!M$14)+Scenario_DT!M$13-Scenario_DT!M$15)*Scenario_DT!M$16</f>
        <v>2544.5934580074368</v>
      </c>
      <c r="W64" s="28">
        <f>((Scenario_DT!N$11*(IF(Scenario_DT!N$18=1,1,1+$M64/Scenario_DT!$C$19)*(1+$N64)^MAX(0,Scenario_DT!N$18-3))*(Scenario_DT!N$12+$O64)-Scenario_DT!N$13)*(1-Scenario_DT!N$14)+Scenario_DT!N$13-Scenario_DT!N$15)*Scenario_DT!N$16</f>
        <v>2683.4317264247029</v>
      </c>
      <c r="X64" s="28">
        <f>((Scenario_DT!O$11*(IF(Scenario_DT!O$18=1,1,1+$M64/Scenario_DT!$C$19)*(1+$N64)^MAX(0,Scenario_DT!O$18-3))*(Scenario_DT!O$12+$O64)-Scenario_DT!O$13)*(1-Scenario_DT!O$14)+Scenario_DT!O$13-Scenario_DT!O$15)*Scenario_DT!O$16</f>
        <v>2829.8474440426971</v>
      </c>
      <c r="Y64" s="28">
        <f>((Scenario_DT!P$11*(IF(Scenario_DT!P$18=1,1,1+$M64/Scenario_DT!$C$19)*(1+$N64)^MAX(0,Scenario_DT!P$18-3))*(Scenario_DT!P$12+$O64)-Scenario_DT!P$13)*(1-Scenario_DT!P$14)+Scenario_DT!P$13-Scenario_DT!P$15)*Scenario_DT!P$16</f>
        <v>2984.2569147963454</v>
      </c>
      <c r="Z64" s="28">
        <f>((Scenario_DT!Q$11*(IF(Scenario_DT!Q$18=1,1,1+$M64/Scenario_DT!$C$19)*(1+$N64)^MAX(0,Scenario_DT!Q$18-3))*(Scenario_DT!Q$12+$O64)-Scenario_DT!Q$13)*(1-Scenario_DT!Q$14)+Scenario_DT!Q$13-Scenario_DT!Q$15)*Scenario_DT!Q$16</f>
        <v>3147.0993294152681</v>
      </c>
      <c r="AA64" s="28">
        <f>((Scenario_DT!R$11*(IF(Scenario_DT!R$18=1,1,1+$M64/Scenario_DT!$C$19)*(1+$N64)^MAX(0,Scenario_DT!R$18-3))*(Scenario_DT!R$12+$O64)-Scenario_DT!R$13)*(1-Scenario_DT!R$14)+Scenario_DT!R$13-Scenario_DT!R$15)*Scenario_DT!R$16</f>
        <v>3318.8380232428708</v>
      </c>
      <c r="AB64" s="17">
        <f>(Scenario_DT!$R$11*(1+$M64/Scenario_DT!$C$19)*(1+$N64)^7*(Scenario_DT!$R$12+$O64)*(1+MIN(DCF_FCFF!$C$26+$Q64,(DCF_FCFF!$C$25+$P64)-0.02))*(1-DCF_FCFF!$C$27)*(1-DCF_FCFF!$C$28)/((DCF_FCFF!$C$25+$P64)-MIN(DCF_FCFF!$C$26+$Q64,(DCF_FCFF!$C$25+$P64)-0.02)))*(1+(DCF_FCFF!$C$25+$P64))^(-(Inputs!$C$9+9))</f>
        <v>39578.147666847522</v>
      </c>
      <c r="AC64" s="17">
        <f>SUMPRODUCT(R64:AA64*(1+(DCF_FCFF!$C$25+$P64))^(-Scenario_DT!$I$17:$R$17))+AB64</f>
        <v>56350.661253292492</v>
      </c>
      <c r="AD64" s="68">
        <f>((AC64-DCF_FCFF!$C$48)*(1-DCF_FCFF!$C$50)+DCF_FCFF!$C$57+DCF_FCFF!$C$58)/DCF_FCFF!$C$60</f>
        <v>444.45252285886789</v>
      </c>
      <c r="AE64" s="6"/>
      <c r="AF64" s="6"/>
      <c r="AG64" s="6"/>
    </row>
    <row r="65" spans="1:33" x14ac:dyDescent="0.3">
      <c r="A65" s="6"/>
      <c r="B65" s="72">
        <v>34</v>
      </c>
      <c r="C65" s="73">
        <v>0.37092228386243897</v>
      </c>
      <c r="D65" s="73">
        <v>0.82978974313241305</v>
      </c>
      <c r="E65" s="73">
        <v>0.80825147206430203</v>
      </c>
      <c r="F65" s="73">
        <v>0.31713889282271501</v>
      </c>
      <c r="G65" s="73">
        <v>0.95289939506974497</v>
      </c>
      <c r="H65" s="15">
        <f t="shared" si="0"/>
        <v>-0.32941164415642005</v>
      </c>
      <c r="I65" s="15">
        <f t="shared" si="1"/>
        <v>0.95333470324872738</v>
      </c>
      <c r="J65" s="15">
        <f t="shared" si="2"/>
        <v>0.87147095911365291</v>
      </c>
      <c r="K65" s="15">
        <f t="shared" si="3"/>
        <v>-0.47571450515715774</v>
      </c>
      <c r="L65" s="15">
        <f t="shared" si="4"/>
        <v>1.6736408257302329</v>
      </c>
      <c r="M65" s="18">
        <f t="shared" si="5"/>
        <v>-6.5882328831284014E-3</v>
      </c>
      <c r="N65" s="18">
        <f t="shared" si="6"/>
        <v>5.2872499939558967E-3</v>
      </c>
      <c r="O65" s="18">
        <f t="shared" si="7"/>
        <v>1.0457651509363836E-2</v>
      </c>
      <c r="P65" s="18">
        <f t="shared" si="8"/>
        <v>-2.8542870309429466E-3</v>
      </c>
      <c r="Q65" s="18">
        <f t="shared" si="9"/>
        <v>6.694563302920932E-3</v>
      </c>
      <c r="R65" s="28">
        <f>((Scenario_DT!I$11*(IF(Scenario_DT!I$18=1,1,1+$M65/Scenario_DT!$C$19)*(1+$N65)^MAX(0,Scenario_DT!I$18-3))*(Scenario_DT!I$12+$O65)-Scenario_DT!I$13)*(1-Scenario_DT!I$14)+Scenario_DT!I$13-Scenario_DT!I$15)*Scenario_DT!I$16</f>
        <v>925.72870074724631</v>
      </c>
      <c r="S65" s="28">
        <f>((Scenario_DT!J$11*(IF(Scenario_DT!J$18=1,1,1+$M65/Scenario_DT!$C$19)*(1+$N65)^MAX(0,Scenario_DT!J$18-3))*(Scenario_DT!J$12+$O65)-Scenario_DT!J$13)*(1-Scenario_DT!J$14)+Scenario_DT!J$13-Scenario_DT!J$15)*Scenario_DT!J$16</f>
        <v>1848.3935602340775</v>
      </c>
      <c r="T65" s="28">
        <f>((Scenario_DT!K$11*(IF(Scenario_DT!K$18=1,1,1+$M65/Scenario_DT!$C$19)*(1+$N65)^MAX(0,Scenario_DT!K$18-3))*(Scenario_DT!K$12+$O65)-Scenario_DT!K$13)*(1-Scenario_DT!K$14)+Scenario_DT!K$13-Scenario_DT!K$15)*Scenario_DT!K$16</f>
        <v>2113.3530843399894</v>
      </c>
      <c r="U65" s="28">
        <f>((Scenario_DT!L$11*(IF(Scenario_DT!L$18=1,1,1+$M65/Scenario_DT!$C$19)*(1+$N65)^MAX(0,Scenario_DT!L$18-3))*(Scenario_DT!L$12+$O65)-Scenario_DT!L$13)*(1-Scenario_DT!L$14)+Scenario_DT!L$13-Scenario_DT!L$15)*Scenario_DT!L$16</f>
        <v>2528.8127120114032</v>
      </c>
      <c r="V65" s="28">
        <f>((Scenario_DT!M$11*(IF(Scenario_DT!M$18=1,1,1+$M65/Scenario_DT!$C$19)*(1+$N65)^MAX(0,Scenario_DT!M$18-3))*(Scenario_DT!M$12+$O65)-Scenario_DT!M$13)*(1-Scenario_DT!M$14)+Scenario_DT!M$13-Scenario_DT!M$15)*Scenario_DT!M$16</f>
        <v>2668.6645888595558</v>
      </c>
      <c r="W65" s="28">
        <f>((Scenario_DT!N$11*(IF(Scenario_DT!N$18=1,1,1+$M65/Scenario_DT!$C$19)*(1+$N65)^MAX(0,Scenario_DT!N$18-3))*(Scenario_DT!N$12+$O65)-Scenario_DT!N$13)*(1-Scenario_DT!N$14)+Scenario_DT!N$13-Scenario_DT!N$15)*Scenario_DT!N$16</f>
        <v>2816.2510961370645</v>
      </c>
      <c r="X65" s="28">
        <f>((Scenario_DT!O$11*(IF(Scenario_DT!O$18=1,1,1+$M65/Scenario_DT!$C$19)*(1+$N65)^MAX(0,Scenario_DT!O$18-3))*(Scenario_DT!O$12+$O65)-Scenario_DT!O$13)*(1-Scenario_DT!O$14)+Scenario_DT!O$13-Scenario_DT!O$15)*Scenario_DT!O$16</f>
        <v>2972.0027850880124</v>
      </c>
      <c r="Y65" s="28">
        <f>((Scenario_DT!P$11*(IF(Scenario_DT!P$18=1,1,1+$M65/Scenario_DT!$C$19)*(1+$N65)^MAX(0,Scenario_DT!P$18-3))*(Scenario_DT!P$12+$O65)-Scenario_DT!P$13)*(1-Scenario_DT!P$14)+Scenario_DT!P$13-Scenario_DT!P$15)*Scenario_DT!P$16</f>
        <v>3136.3741880362236</v>
      </c>
      <c r="Z65" s="28">
        <f>((Scenario_DT!Q$11*(IF(Scenario_DT!Q$18=1,1,1+$M65/Scenario_DT!$C$19)*(1+$N65)^MAX(0,Scenario_DT!Q$18-3))*(Scenario_DT!Q$12+$O65)-Scenario_DT!Q$13)*(1-Scenario_DT!Q$14)+Scenario_DT!Q$13-Scenario_DT!Q$15)*Scenario_DT!Q$16</f>
        <v>3309.8451536262119</v>
      </c>
      <c r="AA65" s="28">
        <f>((Scenario_DT!R$11*(IF(Scenario_DT!R$18=1,1,1+$M65/Scenario_DT!$C$19)*(1+$N65)^MAX(0,Scenario_DT!R$18-3))*(Scenario_DT!R$12+$O65)-Scenario_DT!R$13)*(1-Scenario_DT!R$14)+Scenario_DT!R$13-Scenario_DT!R$15)*Scenario_DT!R$16</f>
        <v>3492.9222563768508</v>
      </c>
      <c r="AB65" s="17">
        <f>(Scenario_DT!$R$11*(1+$M65/Scenario_DT!$C$19)*(1+$N65)^7*(Scenario_DT!$R$12+$O65)*(1+MIN(DCF_FCFF!$C$26+$Q65,(DCF_FCFF!$C$25+$P65)-0.02))*(1-DCF_FCFF!$C$27)*(1-DCF_FCFF!$C$28)/((DCF_FCFF!$C$25+$P65)-MIN(DCF_FCFF!$C$26+$Q65,(DCF_FCFF!$C$25+$P65)-0.02)))*(1+(DCF_FCFF!$C$25+$P65))^(-(Inputs!$C$9+9))</f>
        <v>37490.272046067934</v>
      </c>
      <c r="AC65" s="17">
        <f>SUMPRODUCT(R65:AA65*(1+(DCF_FCFF!$C$25+$P65))^(-Scenario_DT!$I$17:$R$17))+AB65</f>
        <v>54519.840772873416</v>
      </c>
      <c r="AD65" s="68">
        <f>((AC65-DCF_FCFF!$C$48)*(1-DCF_FCFF!$C$50)+DCF_FCFF!$C$57+DCF_FCFF!$C$58)/DCF_FCFF!$C$60</f>
        <v>426.87890095185304</v>
      </c>
      <c r="AE65" s="6"/>
      <c r="AF65" s="6"/>
      <c r="AG65" s="6"/>
    </row>
    <row r="66" spans="1:33" x14ac:dyDescent="0.3">
      <c r="A66" s="6"/>
      <c r="B66" s="72">
        <v>35</v>
      </c>
      <c r="C66" s="73">
        <v>0.29091783814011901</v>
      </c>
      <c r="D66" s="73">
        <v>0.51505712923171498</v>
      </c>
      <c r="E66" s="73">
        <v>0.25596509056760303</v>
      </c>
      <c r="F66" s="73">
        <v>0.93604357004896299</v>
      </c>
      <c r="G66" s="73">
        <v>0.16460781758201801</v>
      </c>
      <c r="H66" s="15">
        <f t="shared" si="0"/>
        <v>-0.55070535039332791</v>
      </c>
      <c r="I66" s="15">
        <f t="shared" si="1"/>
        <v>3.7751591102327627E-2</v>
      </c>
      <c r="J66" s="15">
        <f t="shared" si="2"/>
        <v>-0.65583517551451398</v>
      </c>
      <c r="K66" s="15">
        <f t="shared" si="3"/>
        <v>1.5223841261956483</v>
      </c>
      <c r="L66" s="15">
        <f t="shared" si="4"/>
        <v>-0.9756949910732533</v>
      </c>
      <c r="M66" s="18">
        <f t="shared" si="5"/>
        <v>-1.1014107007866559E-2</v>
      </c>
      <c r="N66" s="18">
        <f t="shared" si="6"/>
        <v>-1.9412707061501253E-3</v>
      </c>
      <c r="O66" s="18">
        <f t="shared" si="7"/>
        <v>-7.8700221061741675E-3</v>
      </c>
      <c r="P66" s="18">
        <f t="shared" si="8"/>
        <v>9.1343047571738906E-3</v>
      </c>
      <c r="Q66" s="18">
        <f t="shared" si="9"/>
        <v>-3.9027799642930134E-3</v>
      </c>
      <c r="R66" s="28">
        <f>((Scenario_DT!I$11*(IF(Scenario_DT!I$18=1,1,1+$M66/Scenario_DT!$C$19)*(1+$N66)^MAX(0,Scenario_DT!I$18-3))*(Scenario_DT!I$12+$O66)-Scenario_DT!I$13)*(1-Scenario_DT!I$14)+Scenario_DT!I$13-Scenario_DT!I$15)*Scenario_DT!I$16</f>
        <v>899.88865330839064</v>
      </c>
      <c r="S66" s="28">
        <f>((Scenario_DT!J$11*(IF(Scenario_DT!J$18=1,1,1+$M66/Scenario_DT!$C$19)*(1+$N66)^MAX(0,Scenario_DT!J$18-3))*(Scenario_DT!J$12+$O66)-Scenario_DT!J$13)*(1-Scenario_DT!J$14)+Scenario_DT!J$13-Scenario_DT!J$15)*Scenario_DT!J$16</f>
        <v>1781.3446208008481</v>
      </c>
      <c r="T66" s="28">
        <f>((Scenario_DT!K$11*(IF(Scenario_DT!K$18=1,1,1+$M66/Scenario_DT!$C$19)*(1+$N66)^MAX(0,Scenario_DT!K$18-3))*(Scenario_DT!K$12+$O66)-Scenario_DT!K$13)*(1-Scenario_DT!K$14)+Scenario_DT!K$13-Scenario_DT!K$15)*Scenario_DT!K$16</f>
        <v>2043.7179288928855</v>
      </c>
      <c r="U66" s="28">
        <f>((Scenario_DT!L$11*(IF(Scenario_DT!L$18=1,1,1+$M66/Scenario_DT!$C$19)*(1+$N66)^MAX(0,Scenario_DT!L$18-3))*(Scenario_DT!L$12+$O66)-Scenario_DT!L$13)*(1-Scenario_DT!L$14)+Scenario_DT!L$13-Scenario_DT!L$15)*Scenario_DT!L$16</f>
        <v>2436.7144618958573</v>
      </c>
      <c r="V66" s="28">
        <f>((Scenario_DT!M$11*(IF(Scenario_DT!M$18=1,1,1+$M66/Scenario_DT!$C$19)*(1+$N66)^MAX(0,Scenario_DT!M$18-3))*(Scenario_DT!M$12+$O66)-Scenario_DT!M$13)*(1-Scenario_DT!M$14)+Scenario_DT!M$13-Scenario_DT!M$15)*Scenario_DT!M$16</f>
        <v>2552.827520032004</v>
      </c>
      <c r="W66" s="28">
        <f>((Scenario_DT!N$11*(IF(Scenario_DT!N$18=1,1,1+$M66/Scenario_DT!$C$19)*(1+$N66)^MAX(0,Scenario_DT!N$18-3))*(Scenario_DT!N$12+$O66)-Scenario_DT!N$13)*(1-Scenario_DT!N$14)+Scenario_DT!N$13-Scenario_DT!N$15)*Scenario_DT!N$16</f>
        <v>2674.4633074273911</v>
      </c>
      <c r="X66" s="28">
        <f>((Scenario_DT!O$11*(IF(Scenario_DT!O$18=1,1,1+$M66/Scenario_DT!$C$19)*(1+$N66)^MAX(0,Scenario_DT!O$18-3))*(Scenario_DT!O$12+$O66)-Scenario_DT!O$13)*(1-Scenario_DT!O$14)+Scenario_DT!O$13-Scenario_DT!O$15)*Scenario_DT!O$16</f>
        <v>2801.8866626559006</v>
      </c>
      <c r="Y66" s="28">
        <f>((Scenario_DT!P$11*(IF(Scenario_DT!P$18=1,1,1+$M66/Scenario_DT!$C$19)*(1+$N66)^MAX(0,Scenario_DT!P$18-3))*(Scenario_DT!P$12+$O66)-Scenario_DT!P$13)*(1-Scenario_DT!P$14)+Scenario_DT!P$13-Scenario_DT!P$15)*Scenario_DT!P$16</f>
        <v>2935.3751451835892</v>
      </c>
      <c r="Z66" s="28">
        <f>((Scenario_DT!Q$11*(IF(Scenario_DT!Q$18=1,1,1+$M66/Scenario_DT!$C$19)*(1+$N66)^MAX(0,Scenario_DT!Q$18-3))*(Scenario_DT!Q$12+$O66)-Scenario_DT!Q$13)*(1-Scenario_DT!Q$14)+Scenario_DT!Q$13-Scenario_DT!Q$15)*Scenario_DT!Q$16</f>
        <v>3075.2196465469128</v>
      </c>
      <c r="AA66" s="28">
        <f>((Scenario_DT!R$11*(IF(Scenario_DT!R$18=1,1,1+$M66/Scenario_DT!$C$19)*(1+$N66)^MAX(0,Scenario_DT!R$18-3))*(Scenario_DT!R$12+$O66)-Scenario_DT!R$13)*(1-Scenario_DT!R$14)+Scenario_DT!R$13-Scenario_DT!R$15)*Scenario_DT!R$16</f>
        <v>3221.7250308946054</v>
      </c>
      <c r="AB66" s="17">
        <f>(Scenario_DT!$R$11*(1+$M66/Scenario_DT!$C$19)*(1+$N66)^7*(Scenario_DT!$R$12+$O66)*(1+MIN(DCF_FCFF!$C$26+$Q66,(DCF_FCFF!$C$25+$P66)-0.02))*(1-DCF_FCFF!$C$27)*(1-DCF_FCFF!$C$28)/((DCF_FCFF!$C$25+$P66)-MIN(DCF_FCFF!$C$26+$Q66,(DCF_FCFF!$C$25+$P66)-0.02)))*(1+(DCF_FCFF!$C$25+$P66))^(-(Inputs!$C$9+9))</f>
        <v>19881.442762128725</v>
      </c>
      <c r="AC66" s="17">
        <f>SUMPRODUCT(R66:AA66*(1+(DCF_FCFF!$C$25+$P66))^(-Scenario_DT!$I$17:$R$17))+AB66</f>
        <v>35262.87941503062</v>
      </c>
      <c r="AD66" s="68">
        <f>((AC66-DCF_FCFF!$C$48)*(1-DCF_FCFF!$C$50)+DCF_FCFF!$C$57+DCF_FCFF!$C$58)/DCF_FCFF!$C$60</f>
        <v>242.03578738603812</v>
      </c>
      <c r="AE66" s="6"/>
      <c r="AF66" s="6"/>
      <c r="AG66" s="6"/>
    </row>
    <row r="67" spans="1:33" x14ac:dyDescent="0.3">
      <c r="A67" s="6"/>
      <c r="B67" s="72">
        <v>36</v>
      </c>
      <c r="C67" s="73">
        <v>4.4910619392329001E-2</v>
      </c>
      <c r="D67" s="73">
        <v>0.43509706000303799</v>
      </c>
      <c r="E67" s="73">
        <v>0.99237556405583704</v>
      </c>
      <c r="F67" s="73">
        <v>0.89167726625491395</v>
      </c>
      <c r="G67" s="73">
        <v>0.74860801945694899</v>
      </c>
      <c r="H67" s="15">
        <f t="shared" si="0"/>
        <v>-1.6963414297937751</v>
      </c>
      <c r="I67" s="15">
        <f t="shared" si="1"/>
        <v>-0.1634119177462717</v>
      </c>
      <c r="J67" s="15">
        <f t="shared" si="2"/>
        <v>2.4264138108648399</v>
      </c>
      <c r="K67" s="15">
        <f t="shared" si="3"/>
        <v>1.2354973355222265</v>
      </c>
      <c r="L67" s="15">
        <f t="shared" si="4"/>
        <v>0.6701158195270388</v>
      </c>
      <c r="M67" s="18">
        <f t="shared" si="5"/>
        <v>-3.3926828595875501E-2</v>
      </c>
      <c r="N67" s="18">
        <f t="shared" si="6"/>
        <v>-7.9175166955703351E-3</v>
      </c>
      <c r="O67" s="18">
        <f t="shared" si="7"/>
        <v>2.9116965730378079E-2</v>
      </c>
      <c r="P67" s="18">
        <f t="shared" si="8"/>
        <v>7.412984013133359E-3</v>
      </c>
      <c r="Q67" s="18">
        <f t="shared" si="9"/>
        <v>2.6804632781081551E-3</v>
      </c>
      <c r="R67" s="28">
        <f>((Scenario_DT!I$11*(IF(Scenario_DT!I$18=1,1,1+$M67/Scenario_DT!$C$19)*(1+$N67)^MAX(0,Scenario_DT!I$18-3))*(Scenario_DT!I$12+$O67)-Scenario_DT!I$13)*(1-Scenario_DT!I$14)+Scenario_DT!I$13-Scenario_DT!I$15)*Scenario_DT!I$16</f>
        <v>952.0363257498409</v>
      </c>
      <c r="S67" s="28">
        <f>((Scenario_DT!J$11*(IF(Scenario_DT!J$18=1,1,1+$M67/Scenario_DT!$C$19)*(1+$N67)^MAX(0,Scenario_DT!J$18-3))*(Scenario_DT!J$12+$O67)-Scenario_DT!J$13)*(1-Scenario_DT!J$14)+Scenario_DT!J$13-Scenario_DT!J$15)*Scenario_DT!J$16</f>
        <v>1837.8354422154734</v>
      </c>
      <c r="T67" s="28">
        <f>((Scenario_DT!K$11*(IF(Scenario_DT!K$18=1,1,1+$M67/Scenario_DT!$C$19)*(1+$N67)^MAX(0,Scenario_DT!K$18-3))*(Scenario_DT!K$12+$O67)-Scenario_DT!K$13)*(1-Scenario_DT!K$14)+Scenario_DT!K$13-Scenario_DT!K$15)*Scenario_DT!K$16</f>
        <v>2101.4818505904805</v>
      </c>
      <c r="U67" s="28">
        <f>((Scenario_DT!L$11*(IF(Scenario_DT!L$18=1,1,1+$M67/Scenario_DT!$C$19)*(1+$N67)^MAX(0,Scenario_DT!L$18-3))*(Scenario_DT!L$12+$O67)-Scenario_DT!L$13)*(1-Scenario_DT!L$14)+Scenario_DT!L$13-Scenario_DT!L$15)*Scenario_DT!L$16</f>
        <v>2482.8694924329925</v>
      </c>
      <c r="V67" s="28">
        <f>((Scenario_DT!M$11*(IF(Scenario_DT!M$18=1,1,1+$M67/Scenario_DT!$C$19)*(1+$N67)^MAX(0,Scenario_DT!M$18-3))*(Scenario_DT!M$12+$O67)-Scenario_DT!M$13)*(1-Scenario_DT!M$14)+Scenario_DT!M$13-Scenario_DT!M$15)*Scenario_DT!M$16</f>
        <v>2585.5101810762812</v>
      </c>
      <c r="W67" s="28">
        <f>((Scenario_DT!N$11*(IF(Scenario_DT!N$18=1,1,1+$M67/Scenario_DT!$C$19)*(1+$N67)^MAX(0,Scenario_DT!N$18-3))*(Scenario_DT!N$12+$O67)-Scenario_DT!N$13)*(1-Scenario_DT!N$14)+Scenario_DT!N$13-Scenario_DT!N$15)*Scenario_DT!N$16</f>
        <v>2692.3735438355957</v>
      </c>
      <c r="X67" s="28">
        <f>((Scenario_DT!O$11*(IF(Scenario_DT!O$18=1,1,1+$M67/Scenario_DT!$C$19)*(1+$N67)^MAX(0,Scenario_DT!O$18-3))*(Scenario_DT!O$12+$O67)-Scenario_DT!O$13)*(1-Scenario_DT!O$14)+Scenario_DT!O$13-Scenario_DT!O$15)*Scenario_DT!O$16</f>
        <v>2803.6348076911308</v>
      </c>
      <c r="Y67" s="28">
        <f>((Scenario_DT!P$11*(IF(Scenario_DT!P$18=1,1,1+$M67/Scenario_DT!$C$19)*(1+$N67)^MAX(0,Scenario_DT!P$18-3))*(Scenario_DT!P$12+$O67)-Scenario_DT!P$13)*(1-Scenario_DT!P$14)+Scenario_DT!P$13-Scenario_DT!P$15)*Scenario_DT!P$16</f>
        <v>2919.4764862677453</v>
      </c>
      <c r="Z67" s="28">
        <f>((Scenario_DT!Q$11*(IF(Scenario_DT!Q$18=1,1,1+$M67/Scenario_DT!$C$19)*(1+$N67)^MAX(0,Scenario_DT!Q$18-3))*(Scenario_DT!Q$12+$O67)-Scenario_DT!Q$13)*(1-Scenario_DT!Q$14)+Scenario_DT!Q$13-Scenario_DT!Q$15)*Scenario_DT!Q$16</f>
        <v>3040.0886830080403</v>
      </c>
      <c r="AA67" s="28">
        <f>((Scenario_DT!R$11*(IF(Scenario_DT!R$18=1,1,1+$M67/Scenario_DT!$C$19)*(1+$N67)^MAX(0,Scenario_DT!R$18-3))*(Scenario_DT!R$12+$O67)-Scenario_DT!R$13)*(1-Scenario_DT!R$14)+Scenario_DT!R$13-Scenario_DT!R$15)*Scenario_DT!R$16</f>
        <v>3165.6694069619743</v>
      </c>
      <c r="AB67" s="17">
        <f>(Scenario_DT!$R$11*(1+$M67/Scenario_DT!$C$19)*(1+$N67)^7*(Scenario_DT!$R$12+$O67)*(1+MIN(DCF_FCFF!$C$26+$Q67,(DCF_FCFF!$C$25+$P67)-0.02))*(1-DCF_FCFF!$C$27)*(1-DCF_FCFF!$C$28)/((DCF_FCFF!$C$25+$P67)-MIN(DCF_FCFF!$C$26+$Q67,(DCF_FCFF!$C$25+$P67)-0.02)))*(1+(DCF_FCFF!$C$25+$P67))^(-(Inputs!$C$9+9))</f>
        <v>22962.799783978608</v>
      </c>
      <c r="AC67" s="17">
        <f>SUMPRODUCT(R67:AA67*(1+(DCF_FCFF!$C$25+$P67))^(-Scenario_DT!$I$17:$R$17))+AB67</f>
        <v>38625.233179363771</v>
      </c>
      <c r="AD67" s="68">
        <f>((AC67-DCF_FCFF!$C$48)*(1-DCF_FCFF!$C$50)+DCF_FCFF!$C$57+DCF_FCFF!$C$58)/DCF_FCFF!$C$60</f>
        <v>274.31024269390821</v>
      </c>
      <c r="AE67" s="6"/>
      <c r="AF67" s="6"/>
      <c r="AG67" s="6"/>
    </row>
    <row r="68" spans="1:33" x14ac:dyDescent="0.3">
      <c r="A68" s="6"/>
      <c r="B68" s="72">
        <v>37</v>
      </c>
      <c r="C68" s="73">
        <v>0.89079249087852497</v>
      </c>
      <c r="D68" s="73">
        <v>0.89344663969786298</v>
      </c>
      <c r="E68" s="73">
        <v>0.51885836038644895</v>
      </c>
      <c r="F68" s="73">
        <v>0.31592905183079301</v>
      </c>
      <c r="G68" s="73">
        <v>0.77201243211098802</v>
      </c>
      <c r="H68" s="15">
        <f t="shared" si="0"/>
        <v>1.2307536432011172</v>
      </c>
      <c r="I68" s="15">
        <f t="shared" si="1"/>
        <v>1.2450680951916506</v>
      </c>
      <c r="J68" s="15">
        <f t="shared" si="2"/>
        <v>4.7288517909211687E-2</v>
      </c>
      <c r="K68" s="15">
        <f t="shared" si="3"/>
        <v>-0.47911319438516886</v>
      </c>
      <c r="L68" s="15">
        <f t="shared" si="4"/>
        <v>0.74549069242749311</v>
      </c>
      <c r="M68" s="18">
        <f t="shared" si="5"/>
        <v>2.4615072864022345E-2</v>
      </c>
      <c r="N68" s="18">
        <f t="shared" si="6"/>
        <v>1.3549099371824238E-2</v>
      </c>
      <c r="O68" s="18">
        <f t="shared" si="7"/>
        <v>5.6746221491054023E-4</v>
      </c>
      <c r="P68" s="18">
        <f t="shared" si="8"/>
        <v>-2.8746791663110133E-3</v>
      </c>
      <c r="Q68" s="18">
        <f t="shared" si="9"/>
        <v>2.9819627697099723E-3</v>
      </c>
      <c r="R68" s="28">
        <f>((Scenario_DT!I$11*(IF(Scenario_DT!I$18=1,1,1+$M68/Scenario_DT!$C$19)*(1+$N68)^MAX(0,Scenario_DT!I$18-3))*(Scenario_DT!I$12+$O68)-Scenario_DT!I$13)*(1-Scenario_DT!I$14)+Scenario_DT!I$13-Scenario_DT!I$15)*Scenario_DT!I$16</f>
        <v>911.78459818906504</v>
      </c>
      <c r="S68" s="28">
        <f>((Scenario_DT!J$11*(IF(Scenario_DT!J$18=1,1,1+$M68/Scenario_DT!$C$19)*(1+$N68)^MAX(0,Scenario_DT!J$18-3))*(Scenario_DT!J$12+$O68)-Scenario_DT!J$13)*(1-Scenario_DT!J$14)+Scenario_DT!J$13-Scenario_DT!J$15)*Scenario_DT!J$16</f>
        <v>1892.7025178497684</v>
      </c>
      <c r="T68" s="28">
        <f>((Scenario_DT!K$11*(IF(Scenario_DT!K$18=1,1,1+$M68/Scenario_DT!$C$19)*(1+$N68)^MAX(0,Scenario_DT!K$18-3))*(Scenario_DT!K$12+$O68)-Scenario_DT!K$13)*(1-Scenario_DT!K$14)+Scenario_DT!K$13-Scenario_DT!K$15)*Scenario_DT!K$16</f>
        <v>2160.3326526095202</v>
      </c>
      <c r="U68" s="28">
        <f>((Scenario_DT!L$11*(IF(Scenario_DT!L$18=1,1,1+$M68/Scenario_DT!$C$19)*(1+$N68)^MAX(0,Scenario_DT!L$18-3))*(Scenario_DT!L$12+$O68)-Scenario_DT!L$13)*(1-Scenario_DT!L$14)+Scenario_DT!L$13-Scenario_DT!L$15)*Scenario_DT!L$16</f>
        <v>2600.2918625604848</v>
      </c>
      <c r="V68" s="28">
        <f>((Scenario_DT!M$11*(IF(Scenario_DT!M$18=1,1,1+$M68/Scenario_DT!$C$19)*(1+$N68)^MAX(0,Scenario_DT!M$18-3))*(Scenario_DT!M$12+$O68)-Scenario_DT!M$13)*(1-Scenario_DT!M$14)+Scenario_DT!M$13-Scenario_DT!M$15)*Scenario_DT!M$16</f>
        <v>2766.818290771067</v>
      </c>
      <c r="W68" s="28">
        <f>((Scenario_DT!N$11*(IF(Scenario_DT!N$18=1,1,1+$M68/Scenario_DT!$C$19)*(1+$N68)^MAX(0,Scenario_DT!N$18-3))*(Scenario_DT!N$12+$O68)-Scenario_DT!N$13)*(1-Scenario_DT!N$14)+Scenario_DT!N$13-Scenario_DT!N$15)*Scenario_DT!N$16</f>
        <v>2944.0193486237554</v>
      </c>
      <c r="X68" s="28">
        <f>((Scenario_DT!O$11*(IF(Scenario_DT!O$18=1,1,1+$M68/Scenario_DT!$C$19)*(1+$N68)^MAX(0,Scenario_DT!O$18-3))*(Scenario_DT!O$12+$O68)-Scenario_DT!O$13)*(1-Scenario_DT!O$14)+Scenario_DT!O$13-Scenario_DT!O$15)*Scenario_DT!O$16</f>
        <v>3132.5825632495507</v>
      </c>
      <c r="Y68" s="28">
        <f>((Scenario_DT!P$11*(IF(Scenario_DT!P$18=1,1,1+$M68/Scenario_DT!$C$19)*(1+$N68)^MAX(0,Scenario_DT!P$18-3))*(Scenario_DT!P$12+$O68)-Scenario_DT!P$13)*(1-Scenario_DT!P$14)+Scenario_DT!P$13-Scenario_DT!P$15)*Scenario_DT!P$16</f>
        <v>3333.2397333700033</v>
      </c>
      <c r="Z68" s="28">
        <f>((Scenario_DT!Q$11*(IF(Scenario_DT!Q$18=1,1,1+$M68/Scenario_DT!$C$19)*(1+$N68)^MAX(0,Scenario_DT!Q$18-3))*(Scenario_DT!Q$12+$O68)-Scenario_DT!Q$13)*(1-Scenario_DT!Q$14)+Scenario_DT!Q$13-Scenario_DT!Q$15)*Scenario_DT!Q$16</f>
        <v>3546.7697780370031</v>
      </c>
      <c r="AA68" s="28">
        <f>((Scenario_DT!R$11*(IF(Scenario_DT!R$18=1,1,1+$M68/Scenario_DT!$C$19)*(1+$N68)^MAX(0,Scenario_DT!R$18-3))*(Scenario_DT!R$12+$O68)-Scenario_DT!R$13)*(1-Scenario_DT!R$14)+Scenario_DT!R$13-Scenario_DT!R$15)*Scenario_DT!R$16</f>
        <v>3774.0017685751095</v>
      </c>
      <c r="AB68" s="17">
        <f>(Scenario_DT!$R$11*(1+$M68/Scenario_DT!$C$19)*(1+$N68)^7*(Scenario_DT!$R$12+$O68)*(1+MIN(DCF_FCFF!$C$26+$Q68,(DCF_FCFF!$C$25+$P68)-0.02))*(1-DCF_FCFF!$C$27)*(1-DCF_FCFF!$C$28)/((DCF_FCFF!$C$25+$P68)-MIN(DCF_FCFF!$C$26+$Q68,(DCF_FCFF!$C$25+$P68)-0.02)))*(1+(DCF_FCFF!$C$25+$P68))^(-(Inputs!$C$9+9))</f>
        <v>37002.039627630409</v>
      </c>
      <c r="AC68" s="17">
        <f>SUMPRODUCT(R68:AA68*(1+(DCF_FCFF!$C$25+$P68))^(-Scenario_DT!$I$17:$R$17))+AB68</f>
        <v>54771.103496118259</v>
      </c>
      <c r="AD68" s="68">
        <f>((AC68-DCF_FCFF!$C$48)*(1-DCF_FCFF!$C$50)+DCF_FCFF!$C$57+DCF_FCFF!$C$58)/DCF_FCFF!$C$60</f>
        <v>429.29071365815463</v>
      </c>
      <c r="AE68" s="6"/>
      <c r="AF68" s="6"/>
      <c r="AG68" s="6"/>
    </row>
    <row r="69" spans="1:33" x14ac:dyDescent="0.3">
      <c r="A69" s="6"/>
      <c r="B69" s="72">
        <v>38</v>
      </c>
      <c r="C69" s="73">
        <v>0.66166126316776097</v>
      </c>
      <c r="D69" s="73">
        <v>0.37365772887371002</v>
      </c>
      <c r="E69" s="73">
        <v>9.4466668061515296E-2</v>
      </c>
      <c r="F69" s="73">
        <v>0.74678961134902599</v>
      </c>
      <c r="G69" s="73">
        <v>0.26246051592286501</v>
      </c>
      <c r="H69" s="15">
        <f t="shared" si="0"/>
        <v>0.41700127699682504</v>
      </c>
      <c r="I69" s="15">
        <f t="shared" si="1"/>
        <v>-0.32218115811005815</v>
      </c>
      <c r="J69" s="15">
        <f t="shared" si="2"/>
        <v>-1.3137411257896914</v>
      </c>
      <c r="K69" s="15">
        <f t="shared" si="3"/>
        <v>0.66442118533119665</v>
      </c>
      <c r="L69" s="15">
        <f t="shared" si="4"/>
        <v>-0.63577814855331471</v>
      </c>
      <c r="M69" s="18">
        <f t="shared" si="5"/>
        <v>8.3400255399365009E-3</v>
      </c>
      <c r="N69" s="18">
        <f t="shared" si="6"/>
        <v>-5.641314323647093E-4</v>
      </c>
      <c r="O69" s="18">
        <f t="shared" si="7"/>
        <v>-1.5764893509476297E-2</v>
      </c>
      <c r="P69" s="18">
        <f t="shared" si="8"/>
        <v>3.9865271119871801E-3</v>
      </c>
      <c r="Q69" s="18">
        <f t="shared" si="9"/>
        <v>-2.543112594213259E-3</v>
      </c>
      <c r="R69" s="28">
        <f>((Scenario_DT!I$11*(IF(Scenario_DT!I$18=1,1,1+$M69/Scenario_DT!$C$19)*(1+$N69)^MAX(0,Scenario_DT!I$18-3))*(Scenario_DT!I$12+$O69)-Scenario_DT!I$13)*(1-Scenario_DT!I$14)+Scenario_DT!I$13-Scenario_DT!I$15)*Scenario_DT!I$16</f>
        <v>888.75773424771728</v>
      </c>
      <c r="S69" s="28">
        <f>((Scenario_DT!J$11*(IF(Scenario_DT!J$18=1,1,1+$M69/Scenario_DT!$C$19)*(1+$N69)^MAX(0,Scenario_DT!J$18-3))*(Scenario_DT!J$12+$O69)-Scenario_DT!J$13)*(1-Scenario_DT!J$14)+Scenario_DT!J$13-Scenario_DT!J$15)*Scenario_DT!J$16</f>
        <v>1802.4663416957992</v>
      </c>
      <c r="T69" s="28">
        <f>((Scenario_DT!K$11*(IF(Scenario_DT!K$18=1,1,1+$M69/Scenario_DT!$C$19)*(1+$N69)^MAX(0,Scenario_DT!K$18-3))*(Scenario_DT!K$12+$O69)-Scenario_DT!K$13)*(1-Scenario_DT!K$14)+Scenario_DT!K$13-Scenario_DT!K$15)*Scenario_DT!K$16</f>
        <v>2066.2650289692656</v>
      </c>
      <c r="U69" s="28">
        <f>((Scenario_DT!L$11*(IF(Scenario_DT!L$18=1,1,1+$M69/Scenario_DT!$C$19)*(1+$N69)^MAX(0,Scenario_DT!L$18-3))*(Scenario_DT!L$12+$O69)-Scenario_DT!L$13)*(1-Scenario_DT!L$14)+Scenario_DT!L$13-Scenario_DT!L$15)*Scenario_DT!L$16</f>
        <v>2464.0264559086481</v>
      </c>
      <c r="V69" s="28">
        <f>((Scenario_DT!M$11*(IF(Scenario_DT!M$18=1,1,1+$M69/Scenario_DT!$C$19)*(1+$N69)^MAX(0,Scenario_DT!M$18-3))*(Scenario_DT!M$12+$O69)-Scenario_DT!M$13)*(1-Scenario_DT!M$14)+Scenario_DT!M$13-Scenario_DT!M$15)*Scenario_DT!M$16</f>
        <v>2585.0368167692322</v>
      </c>
      <c r="W69" s="28">
        <f>((Scenario_DT!N$11*(IF(Scenario_DT!N$18=1,1,1+$M69/Scenario_DT!$C$19)*(1+$N69)^MAX(0,Scenario_DT!N$18-3))*(Scenario_DT!N$12+$O69)-Scenario_DT!N$13)*(1-Scenario_DT!N$14)+Scenario_DT!N$13-Scenario_DT!N$15)*Scenario_DT!N$16</f>
        <v>2711.9820334473116</v>
      </c>
      <c r="X69" s="28">
        <f>((Scenario_DT!O$11*(IF(Scenario_DT!O$18=1,1,1+$M69/Scenario_DT!$C$19)*(1+$N69)^MAX(0,Scenario_DT!O$18-3))*(Scenario_DT!O$12+$O69)-Scenario_DT!O$13)*(1-Scenario_DT!O$14)+Scenario_DT!O$13-Scenario_DT!O$15)*Scenario_DT!O$16</f>
        <v>2845.1554679928827</v>
      </c>
      <c r="Y69" s="28">
        <f>((Scenario_DT!P$11*(IF(Scenario_DT!P$18=1,1,1+$M69/Scenario_DT!$C$19)*(1+$N69)^MAX(0,Scenario_DT!P$18-3))*(Scenario_DT!P$12+$O69)-Scenario_DT!P$13)*(1-Scenario_DT!P$14)+Scenario_DT!P$13-Scenario_DT!P$15)*Scenario_DT!P$16</f>
        <v>2984.8650040543175</v>
      </c>
      <c r="Z69" s="28">
        <f>((Scenario_DT!Q$11*(IF(Scenario_DT!Q$18=1,1,1+$M69/Scenario_DT!$C$19)*(1+$N69)^MAX(0,Scenario_DT!Q$18-3))*(Scenario_DT!Q$12+$O69)-Scenario_DT!Q$13)*(1-Scenario_DT!Q$14)+Scenario_DT!Q$13-Scenario_DT!Q$15)*Scenario_DT!Q$16</f>
        <v>3131.4337657988012</v>
      </c>
      <c r="AA69" s="28">
        <f>((Scenario_DT!R$11*(IF(Scenario_DT!R$18=1,1,1+$M69/Scenario_DT!$C$19)*(1+$N69)^MAX(0,Scenario_DT!R$18-3))*(Scenario_DT!R$12+$O69)-Scenario_DT!R$13)*(1-Scenario_DT!R$14)+Scenario_DT!R$13-Scenario_DT!R$15)*Scenario_DT!R$16</f>
        <v>3285.2008724201391</v>
      </c>
      <c r="AB69" s="17">
        <f>(Scenario_DT!$R$11*(1+$M69/Scenario_DT!$C$19)*(1+$N69)^7*(Scenario_DT!$R$12+$O69)*(1+MIN(DCF_FCFF!$C$26+$Q69,(DCF_FCFF!$C$25+$P69)-0.02))*(1-DCF_FCFF!$C$27)*(1-DCF_FCFF!$C$28)/((DCF_FCFF!$C$25+$P69)-MIN(DCF_FCFF!$C$26+$Q69,(DCF_FCFF!$C$25+$P69)-0.02)))*(1+(DCF_FCFF!$C$25+$P69))^(-(Inputs!$C$9+9))</f>
        <v>23644.365263318046</v>
      </c>
      <c r="AC69" s="17">
        <f>SUMPRODUCT(R69:AA69*(1+(DCF_FCFF!$C$25+$P69))^(-Scenario_DT!$I$17:$R$17))+AB69</f>
        <v>39559.79934371436</v>
      </c>
      <c r="AD69" s="68">
        <f>((AC69-DCF_FCFF!$C$48)*(1-DCF_FCFF!$C$50)+DCF_FCFF!$C$57+DCF_FCFF!$C$58)/DCF_FCFF!$C$60</f>
        <v>283.28092692813027</v>
      </c>
      <c r="AE69" s="6"/>
      <c r="AF69" s="6"/>
      <c r="AG69" s="6"/>
    </row>
    <row r="70" spans="1:33" x14ac:dyDescent="0.3">
      <c r="A70" s="6"/>
      <c r="B70" s="72">
        <v>39</v>
      </c>
      <c r="C70" s="73">
        <v>0.936813150533779</v>
      </c>
      <c r="D70" s="73">
        <v>0.240970575005685</v>
      </c>
      <c r="E70" s="73">
        <v>0.122757932411486</v>
      </c>
      <c r="F70" s="73">
        <v>0.83111267212490603</v>
      </c>
      <c r="G70" s="73">
        <v>0.15328431662449399</v>
      </c>
      <c r="H70" s="15">
        <f t="shared" si="0"/>
        <v>1.5285594342164166</v>
      </c>
      <c r="I70" s="15">
        <f t="shared" si="1"/>
        <v>-0.70318390211372306</v>
      </c>
      <c r="J70" s="15">
        <f t="shared" si="2"/>
        <v>-1.1613099740095507</v>
      </c>
      <c r="K70" s="15">
        <f t="shared" si="3"/>
        <v>0.95857150002945501</v>
      </c>
      <c r="L70" s="15">
        <f t="shared" si="4"/>
        <v>-1.0224485895286077</v>
      </c>
      <c r="M70" s="18">
        <f t="shared" si="5"/>
        <v>3.0571188684328333E-2</v>
      </c>
      <c r="N70" s="18">
        <f t="shared" si="6"/>
        <v>1.2424367547636335E-3</v>
      </c>
      <c r="O70" s="18">
        <f t="shared" si="7"/>
        <v>-1.393571968811461E-2</v>
      </c>
      <c r="P70" s="18">
        <f t="shared" si="8"/>
        <v>5.7514290001767299E-3</v>
      </c>
      <c r="Q70" s="18">
        <f t="shared" si="9"/>
        <v>-4.0897943581144312E-3</v>
      </c>
      <c r="R70" s="28">
        <f>((Scenario_DT!I$11*(IF(Scenario_DT!I$18=1,1,1+$M70/Scenario_DT!$C$19)*(1+$N70)^MAX(0,Scenario_DT!I$18-3))*(Scenario_DT!I$12+$O70)-Scenario_DT!I$13)*(1-Scenario_DT!I$14)+Scenario_DT!I$13-Scenario_DT!I$15)*Scenario_DT!I$16</f>
        <v>891.33667248665597</v>
      </c>
      <c r="S70" s="28">
        <f>((Scenario_DT!J$11*(IF(Scenario_DT!J$18=1,1,1+$M70/Scenario_DT!$C$19)*(1+$N70)^MAX(0,Scenario_DT!J$18-3))*(Scenario_DT!J$12+$O70)-Scenario_DT!J$13)*(1-Scenario_DT!J$14)+Scenario_DT!J$13-Scenario_DT!J$15)*Scenario_DT!J$16</f>
        <v>1860.4494650367324</v>
      </c>
      <c r="T70" s="28">
        <f>((Scenario_DT!K$11*(IF(Scenario_DT!K$18=1,1,1+$M70/Scenario_DT!$C$19)*(1+$N70)^MAX(0,Scenario_DT!K$18-3))*(Scenario_DT!K$12+$O70)-Scenario_DT!K$13)*(1-Scenario_DT!K$14)+Scenario_DT!K$13-Scenario_DT!K$15)*Scenario_DT!K$16</f>
        <v>2127.1104427445821</v>
      </c>
      <c r="U70" s="28">
        <f>((Scenario_DT!L$11*(IF(Scenario_DT!L$18=1,1,1+$M70/Scenario_DT!$C$19)*(1+$N70)^MAX(0,Scenario_DT!L$18-3))*(Scenario_DT!L$12+$O70)-Scenario_DT!L$13)*(1-Scenario_DT!L$14)+Scenario_DT!L$13-Scenario_DT!L$15)*Scenario_DT!L$16</f>
        <v>2533.1954324109493</v>
      </c>
      <c r="V70" s="28">
        <f>((Scenario_DT!M$11*(IF(Scenario_DT!M$18=1,1,1+$M70/Scenario_DT!$C$19)*(1+$N70)^MAX(0,Scenario_DT!M$18-3))*(Scenario_DT!M$12+$O70)-Scenario_DT!M$13)*(1-Scenario_DT!M$14)+Scenario_DT!M$13-Scenario_DT!M$15)*Scenario_DT!M$16</f>
        <v>2662.4604903784334</v>
      </c>
      <c r="W70" s="28">
        <f>((Scenario_DT!N$11*(IF(Scenario_DT!N$18=1,1,1+$M70/Scenario_DT!$C$19)*(1+$N70)^MAX(0,Scenario_DT!N$18-3))*(Scenario_DT!N$12+$O70)-Scenario_DT!N$13)*(1-Scenario_DT!N$14)+Scenario_DT!N$13-Scenario_DT!N$15)*Scenario_DT!N$16</f>
        <v>2798.3164208692301</v>
      </c>
      <c r="X70" s="28">
        <f>((Scenario_DT!O$11*(IF(Scenario_DT!O$18=1,1,1+$M70/Scenario_DT!$C$19)*(1+$N70)^MAX(0,Scenario_DT!O$18-3))*(Scenario_DT!O$12+$O70)-Scenario_DT!O$13)*(1-Scenario_DT!O$14)+Scenario_DT!O$13-Scenario_DT!O$15)*Scenario_DT!O$16</f>
        <v>2941.1017305102255</v>
      </c>
      <c r="Y70" s="28">
        <f>((Scenario_DT!P$11*(IF(Scenario_DT!P$18=1,1,1+$M70/Scenario_DT!$C$19)*(1+$N70)^MAX(0,Scenario_DT!P$18-3))*(Scenario_DT!P$12+$O70)-Scenario_DT!P$13)*(1-Scenario_DT!P$14)+Scenario_DT!P$13-Scenario_DT!P$15)*Scenario_DT!P$16</f>
        <v>3091.1723312410018</v>
      </c>
      <c r="Z70" s="28">
        <f>((Scenario_DT!Q$11*(IF(Scenario_DT!Q$18=1,1,1+$M70/Scenario_DT!$C$19)*(1+$N70)^MAX(0,Scenario_DT!Q$18-3))*(Scenario_DT!Q$12+$O70)-Scenario_DT!Q$13)*(1-Scenario_DT!Q$14)+Scenario_DT!Q$13-Scenario_DT!Q$15)*Scenario_DT!Q$16</f>
        <v>3248.9024352253441</v>
      </c>
      <c r="AA70" s="28">
        <f>((Scenario_DT!R$11*(IF(Scenario_DT!R$18=1,1,1+$M70/Scenario_DT!$C$19)*(1+$N70)^MAX(0,Scenario_DT!R$18-3))*(Scenario_DT!R$12+$O70)-Scenario_DT!R$13)*(1-Scenario_DT!R$14)+Scenario_DT!R$13-Scenario_DT!R$15)*Scenario_DT!R$16</f>
        <v>3414.6854957648297</v>
      </c>
      <c r="AB70" s="17">
        <f>(Scenario_DT!$R$11*(1+$M70/Scenario_DT!$C$19)*(1+$N70)^7*(Scenario_DT!$R$12+$O70)*(1+MIN(DCF_FCFF!$C$26+$Q70,(DCF_FCFF!$C$25+$P70)-0.02))*(1-DCF_FCFF!$C$27)*(1-DCF_FCFF!$C$28)/((DCF_FCFF!$C$25+$P70)-MIN(DCF_FCFF!$C$26+$Q70,(DCF_FCFF!$C$25+$P70)-0.02)))*(1+(DCF_FCFF!$C$25+$P70))^(-(Inputs!$C$9+9))</f>
        <v>22831.988581049867</v>
      </c>
      <c r="AC70" s="17">
        <f>SUMPRODUCT(R70:AA70*(1+(DCF_FCFF!$C$25+$P70))^(-Scenario_DT!$I$17:$R$17))+AB70</f>
        <v>39122.836822671314</v>
      </c>
      <c r="AD70" s="68">
        <f>((AC70-DCF_FCFF!$C$48)*(1-DCF_FCFF!$C$50)+DCF_FCFF!$C$57+DCF_FCFF!$C$58)/DCF_FCFF!$C$60</f>
        <v>279.08662485729656</v>
      </c>
      <c r="AE70" s="6"/>
      <c r="AF70" s="6"/>
      <c r="AG70" s="6"/>
    </row>
    <row r="71" spans="1:33" x14ac:dyDescent="0.3">
      <c r="A71" s="6"/>
      <c r="B71" s="72">
        <v>40</v>
      </c>
      <c r="C71" s="73">
        <v>0.179268308157739</v>
      </c>
      <c r="D71" s="73">
        <v>0.59938279152084395</v>
      </c>
      <c r="E71" s="73">
        <v>0.87456204083746503</v>
      </c>
      <c r="F71" s="73">
        <v>0.19643466571457299</v>
      </c>
      <c r="G71" s="73">
        <v>0.31032367290009499</v>
      </c>
      <c r="H71" s="15">
        <f t="shared" si="0"/>
        <v>-0.91815711583240001</v>
      </c>
      <c r="I71" s="15">
        <f t="shared" si="1"/>
        <v>0.25174985764129848</v>
      </c>
      <c r="J71" s="15">
        <f t="shared" si="2"/>
        <v>1.1482244499304568</v>
      </c>
      <c r="K71" s="15">
        <f t="shared" si="3"/>
        <v>-0.85442539256883843</v>
      </c>
      <c r="L71" s="15">
        <f t="shared" si="4"/>
        <v>-0.49493309880193997</v>
      </c>
      <c r="M71" s="18">
        <f t="shared" si="5"/>
        <v>-1.8363142316648002E-2</v>
      </c>
      <c r="N71" s="18">
        <f t="shared" si="6"/>
        <v>-1.9284542863977567E-3</v>
      </c>
      <c r="O71" s="18">
        <f t="shared" si="7"/>
        <v>1.3778693399165482E-2</v>
      </c>
      <c r="P71" s="18">
        <f t="shared" si="8"/>
        <v>-5.126552355413031E-3</v>
      </c>
      <c r="Q71" s="18">
        <f t="shared" si="9"/>
        <v>-1.9797323952077599E-3</v>
      </c>
      <c r="R71" s="28">
        <f>((Scenario_DT!I$11*(IF(Scenario_DT!I$18=1,1,1+$M71/Scenario_DT!$C$19)*(1+$N71)^MAX(0,Scenario_DT!I$18-3))*(Scenario_DT!I$12+$O71)-Scenario_DT!I$13)*(1-Scenario_DT!I$14)+Scenario_DT!I$13-Scenario_DT!I$15)*Scenario_DT!I$16</f>
        <v>930.41101241314971</v>
      </c>
      <c r="S71" s="28">
        <f>((Scenario_DT!J$11*(IF(Scenario_DT!J$18=1,1,1+$M71/Scenario_DT!$C$19)*(1+$N71)^MAX(0,Scenario_DT!J$18-3))*(Scenario_DT!J$12+$O71)-Scenario_DT!J$13)*(1-Scenario_DT!J$14)+Scenario_DT!J$13-Scenario_DT!J$15)*Scenario_DT!J$16</f>
        <v>1829.8904592103327</v>
      </c>
      <c r="T71" s="28">
        <f>((Scenario_DT!K$11*(IF(Scenario_DT!K$18=1,1,1+$M71/Scenario_DT!$C$19)*(1+$N71)^MAX(0,Scenario_DT!K$18-3))*(Scenario_DT!K$12+$O71)-Scenario_DT!K$13)*(1-Scenario_DT!K$14)+Scenario_DT!K$13-Scenario_DT!K$15)*Scenario_DT!K$16</f>
        <v>2093.7774404162956</v>
      </c>
      <c r="U71" s="28">
        <f>((Scenario_DT!L$11*(IF(Scenario_DT!L$18=1,1,1+$M71/Scenario_DT!$C$19)*(1+$N71)^MAX(0,Scenario_DT!L$18-3))*(Scenario_DT!L$12+$O71)-Scenario_DT!L$13)*(1-Scenario_DT!L$14)+Scenario_DT!L$13-Scenario_DT!L$15)*Scenario_DT!L$16</f>
        <v>2489.7955073328339</v>
      </c>
      <c r="V71" s="28">
        <f>((Scenario_DT!M$11*(IF(Scenario_DT!M$18=1,1,1+$M71/Scenario_DT!$C$19)*(1+$N71)^MAX(0,Scenario_DT!M$18-3))*(Scenario_DT!M$12+$O71)-Scenario_DT!M$13)*(1-Scenario_DT!M$14)+Scenario_DT!M$13-Scenario_DT!M$15)*Scenario_DT!M$16</f>
        <v>2608.488153695193</v>
      </c>
      <c r="W71" s="28">
        <f>((Scenario_DT!N$11*(IF(Scenario_DT!N$18=1,1,1+$M71/Scenario_DT!$C$19)*(1+$N71)^MAX(0,Scenario_DT!N$18-3))*(Scenario_DT!N$12+$O71)-Scenario_DT!N$13)*(1-Scenario_DT!N$14)+Scenario_DT!N$13-Scenario_DT!N$15)*Scenario_DT!N$16</f>
        <v>2732.8288690035288</v>
      </c>
      <c r="X71" s="28">
        <f>((Scenario_DT!O$11*(IF(Scenario_DT!O$18=1,1,1+$M71/Scenario_DT!$C$19)*(1+$N71)^MAX(0,Scenario_DT!O$18-3))*(Scenario_DT!O$12+$O71)-Scenario_DT!O$13)*(1-Scenario_DT!O$14)+Scenario_DT!O$13-Scenario_DT!O$15)*Scenario_DT!O$16</f>
        <v>2863.0885809718702</v>
      </c>
      <c r="Y71" s="28">
        <f>((Scenario_DT!P$11*(IF(Scenario_DT!P$18=1,1,1+$M71/Scenario_DT!$C$19)*(1+$N71)^MAX(0,Scenario_DT!P$18-3))*(Scenario_DT!P$12+$O71)-Scenario_DT!P$13)*(1-Scenario_DT!P$14)+Scenario_DT!P$13-Scenario_DT!P$15)*Scenario_DT!P$16</f>
        <v>2999.5512339765151</v>
      </c>
      <c r="Z71" s="28">
        <f>((Scenario_DT!Q$11*(IF(Scenario_DT!Q$18=1,1,1+$M71/Scenario_DT!$C$19)*(1+$N71)^MAX(0,Scenario_DT!Q$18-3))*(Scenario_DT!Q$12+$O71)-Scenario_DT!Q$13)*(1-Scenario_DT!Q$14)+Scenario_DT!Q$13-Scenario_DT!Q$15)*Scenario_DT!Q$16</f>
        <v>3142.5144145985714</v>
      </c>
      <c r="AA71" s="28">
        <f>((Scenario_DT!R$11*(IF(Scenario_DT!R$18=1,1,1+$M71/Scenario_DT!$C$19)*(1+$N71)^MAX(0,Scenario_DT!R$18-3))*(Scenario_DT!R$12+$O71)-Scenario_DT!R$13)*(1-Scenario_DT!R$14)+Scenario_DT!R$13-Scenario_DT!R$15)*Scenario_DT!R$16</f>
        <v>3292.2900072276802</v>
      </c>
      <c r="AB71" s="17">
        <f>(Scenario_DT!$R$11*(1+$M71/Scenario_DT!$C$19)*(1+$N71)^7*(Scenario_DT!$R$12+$O71)*(1+MIN(DCF_FCFF!$C$26+$Q71,(DCF_FCFF!$C$25+$P71)-0.02))*(1-DCF_FCFF!$C$27)*(1-DCF_FCFF!$C$28)/((DCF_FCFF!$C$25+$P71)-MIN(DCF_FCFF!$C$26+$Q71,(DCF_FCFF!$C$25+$P71)-0.02)))*(1+(DCF_FCFF!$C$25+$P71))^(-(Inputs!$C$9+9))</f>
        <v>30917.072583183464</v>
      </c>
      <c r="AC71" s="17">
        <f>SUMPRODUCT(R71:AA71*(1+(DCF_FCFF!$C$25+$P71))^(-Scenario_DT!$I$17:$R$17))+AB71</f>
        <v>47627.163153858521</v>
      </c>
      <c r="AD71" s="68">
        <f>((AC71-DCF_FCFF!$C$48)*(1-DCF_FCFF!$C$50)+DCF_FCFF!$C$57+DCF_FCFF!$C$58)/DCF_FCFF!$C$60</f>
        <v>360.71768432848211</v>
      </c>
      <c r="AE71" s="6"/>
      <c r="AF71" s="6"/>
      <c r="AG71" s="6"/>
    </row>
    <row r="72" spans="1:33" x14ac:dyDescent="0.3">
      <c r="A72" s="6"/>
      <c r="B72" s="72">
        <v>41</v>
      </c>
      <c r="C72" s="73">
        <v>0.77740483824117801</v>
      </c>
      <c r="D72" s="73">
        <v>0.97182642606096703</v>
      </c>
      <c r="E72" s="73">
        <v>0.50074118620234198</v>
      </c>
      <c r="F72" s="73">
        <v>0.143897502551251</v>
      </c>
      <c r="G72" s="73">
        <v>1.39362877082015E-2</v>
      </c>
      <c r="H72" s="15">
        <f t="shared" si="0"/>
        <v>0.76345796251996401</v>
      </c>
      <c r="I72" s="15">
        <f t="shared" si="1"/>
        <v>1.9083410713466531</v>
      </c>
      <c r="J72" s="15">
        <f t="shared" si="2"/>
        <v>1.8578793603681294E-3</v>
      </c>
      <c r="K72" s="15">
        <f t="shared" si="3"/>
        <v>-1.0629712154965199</v>
      </c>
      <c r="L72" s="15">
        <f t="shared" si="4"/>
        <v>-2.1990752028280922</v>
      </c>
      <c r="M72" s="18">
        <f t="shared" si="5"/>
        <v>1.526915925039928E-2</v>
      </c>
      <c r="N72" s="18">
        <f t="shared" si="6"/>
        <v>1.6275206625051161E-2</v>
      </c>
      <c r="O72" s="18">
        <f t="shared" si="7"/>
        <v>2.2294552324417553E-5</v>
      </c>
      <c r="P72" s="18">
        <f t="shared" si="8"/>
        <v>-6.3778272929791192E-3</v>
      </c>
      <c r="Q72" s="18">
        <f t="shared" si="9"/>
        <v>-8.7963008113123697E-3</v>
      </c>
      <c r="R72" s="28">
        <f>((Scenario_DT!I$11*(IF(Scenario_DT!I$18=1,1,1+$M72/Scenario_DT!$C$19)*(1+$N72)^MAX(0,Scenario_DT!I$18-3))*(Scenario_DT!I$12+$O72)-Scenario_DT!I$13)*(1-Scenario_DT!I$14)+Scenario_DT!I$13-Scenario_DT!I$15)*Scenario_DT!I$16</f>
        <v>911.01597045382346</v>
      </c>
      <c r="S72" s="28">
        <f>((Scenario_DT!J$11*(IF(Scenario_DT!J$18=1,1,1+$M72/Scenario_DT!$C$19)*(1+$N72)^MAX(0,Scenario_DT!J$18-3))*(Scenario_DT!J$12+$O72)-Scenario_DT!J$13)*(1-Scenario_DT!J$14)+Scenario_DT!J$13-Scenario_DT!J$15)*Scenario_DT!J$16</f>
        <v>1868.5680409306092</v>
      </c>
      <c r="T72" s="28">
        <f>((Scenario_DT!K$11*(IF(Scenario_DT!K$18=1,1,1+$M72/Scenario_DT!$C$19)*(1+$N72)^MAX(0,Scenario_DT!K$18-3))*(Scenario_DT!K$12+$O72)-Scenario_DT!K$13)*(1-Scenario_DT!K$14)+Scenario_DT!K$13-Scenario_DT!K$15)*Scenario_DT!K$16</f>
        <v>2135.0036488555215</v>
      </c>
      <c r="U72" s="28">
        <f>((Scenario_DT!L$11*(IF(Scenario_DT!L$18=1,1,1+$M72/Scenario_DT!$C$19)*(1+$N72)^MAX(0,Scenario_DT!L$18-3))*(Scenario_DT!L$12+$O72)-Scenario_DT!L$13)*(1-Scenario_DT!L$14)+Scenario_DT!L$13-Scenario_DT!L$15)*Scenario_DT!L$16</f>
        <v>2579.9997078975302</v>
      </c>
      <c r="V72" s="28">
        <f>((Scenario_DT!M$11*(IF(Scenario_DT!M$18=1,1,1+$M72/Scenario_DT!$C$19)*(1+$N72)^MAX(0,Scenario_DT!M$18-3))*(Scenario_DT!M$12+$O72)-Scenario_DT!M$13)*(1-Scenario_DT!M$14)+Scenario_DT!M$13-Scenario_DT!M$15)*Scenario_DT!M$16</f>
        <v>2752.6561675145176</v>
      </c>
      <c r="W72" s="28">
        <f>((Scenario_DT!N$11*(IF(Scenario_DT!N$18=1,1,1+$M72/Scenario_DT!$C$19)*(1+$N72)^MAX(0,Scenario_DT!N$18-3))*(Scenario_DT!N$12+$O72)-Scenario_DT!N$13)*(1-Scenario_DT!N$14)+Scenario_DT!N$13-Scenario_DT!N$15)*Scenario_DT!N$16</f>
        <v>2936.8796617701805</v>
      </c>
      <c r="X72" s="28">
        <f>((Scenario_DT!O$11*(IF(Scenario_DT!O$18=1,1,1+$M72/Scenario_DT!$C$19)*(1+$N72)^MAX(0,Scenario_DT!O$18-3))*(Scenario_DT!O$12+$O72)-Scenario_DT!O$13)*(1-Scenario_DT!O$14)+Scenario_DT!O$13-Scenario_DT!O$15)*Scenario_DT!O$16</f>
        <v>3133.4484907723199</v>
      </c>
      <c r="Y72" s="28">
        <f>((Scenario_DT!P$11*(IF(Scenario_DT!P$18=1,1,1+$M72/Scenario_DT!$C$19)*(1+$N72)^MAX(0,Scenario_DT!P$18-3))*(Scenario_DT!P$12+$O72)-Scenario_DT!P$13)*(1-Scenario_DT!P$14)+Scenario_DT!P$13-Scenario_DT!P$15)*Scenario_DT!P$16</f>
        <v>3343.1933008422525</v>
      </c>
      <c r="Z72" s="28">
        <f>((Scenario_DT!Q$11*(IF(Scenario_DT!Q$18=1,1,1+$M72/Scenario_DT!$C$19)*(1+$N72)^MAX(0,Scenario_DT!Q$18-3))*(Scenario_DT!Q$12+$O72)-Scenario_DT!Q$13)*(1-Scenario_DT!Q$14)+Scenario_DT!Q$13-Scenario_DT!Q$15)*Scenario_DT!Q$16</f>
        <v>3567.0006024468548</v>
      </c>
      <c r="AA72" s="28">
        <f>((Scenario_DT!R$11*(IF(Scenario_DT!R$18=1,1,1+$M72/Scenario_DT!$C$19)*(1+$N72)^MAX(0,Scenario_DT!R$18-3))*(Scenario_DT!R$12+$O72)-Scenario_DT!R$13)*(1-Scenario_DT!R$14)+Scenario_DT!R$13-Scenario_DT!R$15)*Scenario_DT!R$16</f>
        <v>3805.816524415809</v>
      </c>
      <c r="AB72" s="17">
        <f>(Scenario_DT!$R$11*(1+$M72/Scenario_DT!$C$19)*(1+$N72)^7*(Scenario_DT!$R$12+$O72)*(1+MIN(DCF_FCFF!$C$26+$Q72,(DCF_FCFF!$C$25+$P72)-0.02))*(1-DCF_FCFF!$C$27)*(1-DCF_FCFF!$C$28)/((DCF_FCFF!$C$25+$P72)-MIN(DCF_FCFF!$C$26+$Q72,(DCF_FCFF!$C$25+$P72)-0.02)))*(1+(DCF_FCFF!$C$25+$P72))^(-(Inputs!$C$9+9))</f>
        <v>32075.73839665889</v>
      </c>
      <c r="AC72" s="17">
        <f>SUMPRODUCT(R72:AA72*(1+(DCF_FCFF!$C$25+$P72))^(-Scenario_DT!$I$17:$R$17))+AB72</f>
        <v>50074.381728006381</v>
      </c>
      <c r="AD72" s="68">
        <f>((AC72-DCF_FCFF!$C$48)*(1-DCF_FCFF!$C$50)+DCF_FCFF!$C$57+DCF_FCFF!$C$58)/DCF_FCFF!$C$60</f>
        <v>384.20796882434598</v>
      </c>
      <c r="AE72" s="6"/>
      <c r="AF72" s="6"/>
      <c r="AG72" s="6"/>
    </row>
    <row r="73" spans="1:33" x14ac:dyDescent="0.3">
      <c r="A73" s="6"/>
      <c r="B73" s="72">
        <v>42</v>
      </c>
      <c r="C73" s="73">
        <v>0.22965602999885501</v>
      </c>
      <c r="D73" s="73">
        <v>0.13182221778652101</v>
      </c>
      <c r="E73" s="73">
        <v>0.67765867361285803</v>
      </c>
      <c r="F73" s="73">
        <v>0.121832504628531</v>
      </c>
      <c r="G73" s="73">
        <v>0.506329931620633</v>
      </c>
      <c r="H73" s="15">
        <f t="shared" si="0"/>
        <v>-0.73998011535013786</v>
      </c>
      <c r="I73" s="15">
        <f t="shared" si="1"/>
        <v>-1.1178186944109563</v>
      </c>
      <c r="J73" s="15">
        <f t="shared" si="2"/>
        <v>0.46116162328942029</v>
      </c>
      <c r="K73" s="15">
        <f t="shared" si="3"/>
        <v>-1.1658749477106556</v>
      </c>
      <c r="L73" s="15">
        <f t="shared" si="4"/>
        <v>1.5867451392223675E-2</v>
      </c>
      <c r="M73" s="18">
        <f t="shared" si="5"/>
        <v>-1.4799602307002757E-2</v>
      </c>
      <c r="N73" s="18">
        <f t="shared" si="6"/>
        <v>-1.0704395550880891E-2</v>
      </c>
      <c r="O73" s="18">
        <f t="shared" si="7"/>
        <v>5.5339394794730436E-3</v>
      </c>
      <c r="P73" s="18">
        <f t="shared" si="8"/>
        <v>-6.995249686263934E-3</v>
      </c>
      <c r="Q73" s="18">
        <f t="shared" si="9"/>
        <v>6.3469805568894697E-5</v>
      </c>
      <c r="R73" s="28">
        <f>((Scenario_DT!I$11*(IF(Scenario_DT!I$18=1,1,1+$M73/Scenario_DT!$C$19)*(1+$N73)^MAX(0,Scenario_DT!I$18-3))*(Scenario_DT!I$12+$O73)-Scenario_DT!I$13)*(1-Scenario_DT!I$14)+Scenario_DT!I$13-Scenario_DT!I$15)*Scenario_DT!I$16</f>
        <v>918.78679665747791</v>
      </c>
      <c r="S73" s="28">
        <f>((Scenario_DT!J$11*(IF(Scenario_DT!J$18=1,1,1+$M73/Scenario_DT!$C$19)*(1+$N73)^MAX(0,Scenario_DT!J$18-3))*(Scenario_DT!J$12+$O73)-Scenario_DT!J$13)*(1-Scenario_DT!J$14)+Scenario_DT!J$13-Scenario_DT!J$15)*Scenario_DT!J$16</f>
        <v>1813.3725000472632</v>
      </c>
      <c r="T73" s="28">
        <f>((Scenario_DT!K$11*(IF(Scenario_DT!K$18=1,1,1+$M73/Scenario_DT!$C$19)*(1+$N73)^MAX(0,Scenario_DT!K$18-3))*(Scenario_DT!K$12+$O73)-Scenario_DT!K$13)*(1-Scenario_DT!K$14)+Scenario_DT!K$13-Scenario_DT!K$15)*Scenario_DT!K$16</f>
        <v>2076.7805904208162</v>
      </c>
      <c r="U73" s="28">
        <f>((Scenario_DT!L$11*(IF(Scenario_DT!L$18=1,1,1+$M73/Scenario_DT!$C$19)*(1+$N73)^MAX(0,Scenario_DT!L$18-3))*(Scenario_DT!L$12+$O73)-Scenario_DT!L$13)*(1-Scenario_DT!L$14)+Scenario_DT!L$13-Scenario_DT!L$15)*Scenario_DT!L$16</f>
        <v>2449.9009263101498</v>
      </c>
      <c r="V73" s="28">
        <f>((Scenario_DT!M$11*(IF(Scenario_DT!M$18=1,1,1+$M73/Scenario_DT!$C$19)*(1+$N73)^MAX(0,Scenario_DT!M$18-3))*(Scenario_DT!M$12+$O73)-Scenario_DT!M$13)*(1-Scenario_DT!M$14)+Scenario_DT!M$13-Scenario_DT!M$15)*Scenario_DT!M$16</f>
        <v>2543.9489316782378</v>
      </c>
      <c r="W73" s="28">
        <f>((Scenario_DT!N$11*(IF(Scenario_DT!N$18=1,1,1+$M73/Scenario_DT!$C$19)*(1+$N73)^MAX(0,Scenario_DT!N$18-3))*(Scenario_DT!N$12+$O73)-Scenario_DT!N$13)*(1-Scenario_DT!N$14)+Scenario_DT!N$13-Scenario_DT!N$15)*Scenario_DT!N$16</f>
        <v>2641.5816258829868</v>
      </c>
      <c r="X73" s="28">
        <f>((Scenario_DT!O$11*(IF(Scenario_DT!O$18=1,1,1+$M73/Scenario_DT!$C$19)*(1+$N73)^MAX(0,Scenario_DT!O$18-3))*(Scenario_DT!O$12+$O73)-Scenario_DT!O$13)*(1-Scenario_DT!O$14)+Scenario_DT!O$13-Scenario_DT!O$15)*Scenario_DT!O$16</f>
        <v>2742.9367958704479</v>
      </c>
      <c r="Y73" s="28">
        <f>((Scenario_DT!P$11*(IF(Scenario_DT!P$18=1,1,1+$M73/Scenario_DT!$C$19)*(1+$N73)^MAX(0,Scenario_DT!P$18-3))*(Scenario_DT!P$12+$O73)-Scenario_DT!P$13)*(1-Scenario_DT!P$14)+Scenario_DT!P$13-Scenario_DT!P$15)*Scenario_DT!P$16</f>
        <v>2848.1575341427638</v>
      </c>
      <c r="Z73" s="28">
        <f>((Scenario_DT!Q$11*(IF(Scenario_DT!Q$18=1,1,1+$M73/Scenario_DT!$C$19)*(1+$N73)^MAX(0,Scenario_DT!Q$18-3))*(Scenario_DT!Q$12+$O73)-Scenario_DT!Q$13)*(1-Scenario_DT!Q$14)+Scenario_DT!Q$13-Scenario_DT!Q$15)*Scenario_DT!Q$16</f>
        <v>2957.3924430538177</v>
      </c>
      <c r="AA73" s="28">
        <f>((Scenario_DT!R$11*(IF(Scenario_DT!R$18=1,1,1+$M73/Scenario_DT!$C$19)*(1+$N73)^MAX(0,Scenario_DT!R$18-3))*(Scenario_DT!R$12+$O73)-Scenario_DT!R$13)*(1-Scenario_DT!R$14)+Scenario_DT!R$13-Scenario_DT!R$15)*Scenario_DT!R$16</f>
        <v>3070.7958469680639</v>
      </c>
      <c r="AB73" s="17">
        <f>(Scenario_DT!$R$11*(1+$M73/Scenario_DT!$C$19)*(1+$N73)^7*(Scenario_DT!$R$12+$O73)*(1+MIN(DCF_FCFF!$C$26+$Q73,(DCF_FCFF!$C$25+$P73)-0.02))*(1-DCF_FCFF!$C$27)*(1-DCF_FCFF!$C$28)/((DCF_FCFF!$C$25+$P73)-MIN(DCF_FCFF!$C$26+$Q73,(DCF_FCFF!$C$25+$P73)-0.02)))*(1+(DCF_FCFF!$C$25+$P73))^(-(Inputs!$C$9+9))</f>
        <v>32039.912557930165</v>
      </c>
      <c r="AC73" s="17">
        <f>SUMPRODUCT(R73:AA73*(1+(DCF_FCFF!$C$25+$P73))^(-Scenario_DT!$I$17:$R$17))+AB73</f>
        <v>48336.137684426751</v>
      </c>
      <c r="AD73" s="68">
        <f>((AC73-DCF_FCFF!$C$48)*(1-DCF_FCFF!$C$50)+DCF_FCFF!$C$57+DCF_FCFF!$C$58)/DCF_FCFF!$C$60</f>
        <v>367.52296670060053</v>
      </c>
      <c r="AE73" s="6"/>
      <c r="AF73" s="6"/>
      <c r="AG73" s="6"/>
    </row>
    <row r="74" spans="1:33" x14ac:dyDescent="0.3">
      <c r="A74" s="6"/>
      <c r="B74" s="72">
        <v>43</v>
      </c>
      <c r="C74" s="73">
        <v>0.69426243564288703</v>
      </c>
      <c r="D74" s="73">
        <v>0.58111660922090203</v>
      </c>
      <c r="E74" s="73">
        <v>0.19977565166005801</v>
      </c>
      <c r="F74" s="73">
        <v>0.80412452618226304</v>
      </c>
      <c r="G74" s="73">
        <v>0.715407129615802</v>
      </c>
      <c r="H74" s="15">
        <f t="shared" si="0"/>
        <v>0.50796893567271206</v>
      </c>
      <c r="I74" s="15">
        <f t="shared" si="1"/>
        <v>0.20475086000614226</v>
      </c>
      <c r="J74" s="15">
        <f t="shared" si="2"/>
        <v>-0.8424228570649881</v>
      </c>
      <c r="K74" s="15">
        <f t="shared" si="3"/>
        <v>0.85644632955063205</v>
      </c>
      <c r="L74" s="15">
        <f t="shared" si="4"/>
        <v>0.56925110899216047</v>
      </c>
      <c r="M74" s="18">
        <f t="shared" si="5"/>
        <v>1.0159378713454242E-2</v>
      </c>
      <c r="N74" s="18">
        <f t="shared" si="6"/>
        <v>3.4504313123870914E-3</v>
      </c>
      <c r="O74" s="18">
        <f t="shared" si="7"/>
        <v>-1.0109074284779857E-2</v>
      </c>
      <c r="P74" s="18">
        <f t="shared" si="8"/>
        <v>5.1386779773037921E-3</v>
      </c>
      <c r="Q74" s="18">
        <f t="shared" si="9"/>
        <v>2.2770044359686418E-3</v>
      </c>
      <c r="R74" s="28">
        <f>((Scenario_DT!I$11*(IF(Scenario_DT!I$18=1,1,1+$M74/Scenario_DT!$C$19)*(1+$N74)^MAX(0,Scenario_DT!I$18-3))*(Scenario_DT!I$12+$O74)-Scenario_DT!I$13)*(1-Scenario_DT!I$14)+Scenario_DT!I$13-Scenario_DT!I$15)*Scenario_DT!I$16</f>
        <v>896.73183069538902</v>
      </c>
      <c r="S74" s="28">
        <f>((Scenario_DT!J$11*(IF(Scenario_DT!J$18=1,1,1+$M74/Scenario_DT!$C$19)*(1+$N74)^MAX(0,Scenario_DT!J$18-3))*(Scenario_DT!J$12+$O74)-Scenario_DT!J$13)*(1-Scenario_DT!J$14)+Scenario_DT!J$13-Scenario_DT!J$15)*Scenario_DT!J$16</f>
        <v>1824.497778396068</v>
      </c>
      <c r="T74" s="28">
        <f>((Scenario_DT!K$11*(IF(Scenario_DT!K$18=1,1,1+$M74/Scenario_DT!$C$19)*(1+$N74)^MAX(0,Scenario_DT!K$18-3))*(Scenario_DT!K$12+$O74)-Scenario_DT!K$13)*(1-Scenario_DT!K$14)+Scenario_DT!K$13-Scenario_DT!K$15)*Scenario_DT!K$16</f>
        <v>2089.1586766318715</v>
      </c>
      <c r="U74" s="28">
        <f>((Scenario_DT!L$11*(IF(Scenario_DT!L$18=1,1,1+$M74/Scenario_DT!$C$19)*(1+$N74)^MAX(0,Scenario_DT!L$18-3))*(Scenario_DT!L$12+$O74)-Scenario_DT!L$13)*(1-Scenario_DT!L$14)+Scenario_DT!L$13-Scenario_DT!L$15)*Scenario_DT!L$16</f>
        <v>2498.3836338151377</v>
      </c>
      <c r="V74" s="28">
        <f>((Scenario_DT!M$11*(IF(Scenario_DT!M$18=1,1,1+$M74/Scenario_DT!$C$19)*(1+$N74)^MAX(0,Scenario_DT!M$18-3))*(Scenario_DT!M$12+$O74)-Scenario_DT!M$13)*(1-Scenario_DT!M$14)+Scenario_DT!M$13-Scenario_DT!M$15)*Scenario_DT!M$16</f>
        <v>2631.6940487854486</v>
      </c>
      <c r="W74" s="28">
        <f>((Scenario_DT!N$11*(IF(Scenario_DT!N$18=1,1,1+$M74/Scenario_DT!$C$19)*(1+$N74)^MAX(0,Scenario_DT!N$18-3))*(Scenario_DT!N$12+$O74)-Scenario_DT!N$13)*(1-Scenario_DT!N$14)+Scenario_DT!N$13-Scenario_DT!N$15)*Scenario_DT!N$16</f>
        <v>2772.1155763286165</v>
      </c>
      <c r="X74" s="28">
        <f>((Scenario_DT!O$11*(IF(Scenario_DT!O$18=1,1,1+$M74/Scenario_DT!$C$19)*(1+$N74)^MAX(0,Scenario_DT!O$18-3))*(Scenario_DT!O$12+$O74)-Scenario_DT!O$13)*(1-Scenario_DT!O$14)+Scenario_DT!O$13-Scenario_DT!O$15)*Scenario_DT!O$16</f>
        <v>2920.0301813758442</v>
      </c>
      <c r="Y74" s="28">
        <f>((Scenario_DT!P$11*(IF(Scenario_DT!P$18=1,1,1+$M74/Scenario_DT!$C$19)*(1+$N74)^MAX(0,Scenario_DT!P$18-3))*(Scenario_DT!P$12+$O74)-Scenario_DT!P$13)*(1-Scenario_DT!P$14)+Scenario_DT!P$13-Scenario_DT!P$15)*Scenario_DT!P$16</f>
        <v>3075.8403629093532</v>
      </c>
      <c r="Z74" s="28">
        <f>((Scenario_DT!Q$11*(IF(Scenario_DT!Q$18=1,1,1+$M74/Scenario_DT!$C$19)*(1+$N74)^MAX(0,Scenario_DT!Q$18-3))*(Scenario_DT!Q$12+$O74)-Scenario_DT!Q$13)*(1-Scenario_DT!Q$14)+Scenario_DT!Q$13-Scenario_DT!Q$15)*Scenario_DT!Q$16</f>
        <v>3239.9702576063887</v>
      </c>
      <c r="AA74" s="28">
        <f>((Scenario_DT!R$11*(IF(Scenario_DT!R$18=1,1,1+$M74/Scenario_DT!$C$19)*(1+$N74)^MAX(0,Scenario_DT!R$18-3))*(Scenario_DT!R$12+$O74)-Scenario_DT!R$13)*(1-Scenario_DT!R$14)+Scenario_DT!R$13-Scenario_DT!R$15)*Scenario_DT!R$16</f>
        <v>3412.8668027796166</v>
      </c>
      <c r="AB74" s="17">
        <f>(Scenario_DT!$R$11*(1+$M74/Scenario_DT!$C$19)*(1+$N74)^7*(Scenario_DT!$R$12+$O74)*(1+MIN(DCF_FCFF!$C$26+$Q74,(DCF_FCFF!$C$25+$P74)-0.02))*(1-DCF_FCFF!$C$27)*(1-DCF_FCFF!$C$28)/((DCF_FCFF!$C$25+$P74)-MIN(DCF_FCFF!$C$26+$Q74,(DCF_FCFF!$C$25+$P74)-0.02)))*(1+(DCF_FCFF!$C$25+$P74))^(-(Inputs!$C$9+9))</f>
        <v>26106.980349946571</v>
      </c>
      <c r="AC74" s="17">
        <f>SUMPRODUCT(R74:AA74*(1+(DCF_FCFF!$C$25+$P74))^(-Scenario_DT!$I$17:$R$17))+AB74</f>
        <v>42290.259607127155</v>
      </c>
      <c r="AD74" s="68">
        <f>((AC74-DCF_FCFF!$C$48)*(1-DCF_FCFF!$C$50)+DCF_FCFF!$C$57+DCF_FCFF!$C$58)/DCF_FCFF!$C$60</f>
        <v>309.48998282112575</v>
      </c>
      <c r="AE74" s="6"/>
      <c r="AF74" s="6"/>
      <c r="AG74" s="6"/>
    </row>
    <row r="75" spans="1:33" x14ac:dyDescent="0.3">
      <c r="A75" s="6"/>
      <c r="B75" s="72">
        <v>44</v>
      </c>
      <c r="C75" s="73">
        <v>0.73898400391554198</v>
      </c>
      <c r="D75" s="73">
        <v>0.131057751557313</v>
      </c>
      <c r="E75" s="73">
        <v>0.123753803650345</v>
      </c>
      <c r="F75" s="73">
        <v>0.92756255100650797</v>
      </c>
      <c r="G75" s="73">
        <v>0.39757819382494097</v>
      </c>
      <c r="H75" s="15">
        <f t="shared" si="0"/>
        <v>0.64021629233163757</v>
      </c>
      <c r="I75" s="15">
        <f t="shared" si="1"/>
        <v>-1.1214050133839244</v>
      </c>
      <c r="J75" s="15">
        <f t="shared" si="2"/>
        <v>-1.1564243966893772</v>
      </c>
      <c r="K75" s="15">
        <f t="shared" si="3"/>
        <v>1.4578753725077587</v>
      </c>
      <c r="L75" s="15">
        <f t="shared" si="4"/>
        <v>-0.25962067377734427</v>
      </c>
      <c r="M75" s="18">
        <f t="shared" si="5"/>
        <v>1.2804325846632752E-2</v>
      </c>
      <c r="N75" s="18">
        <f t="shared" si="6"/>
        <v>-5.2084566668471055E-3</v>
      </c>
      <c r="O75" s="18">
        <f t="shared" si="7"/>
        <v>-1.3877092760272528E-2</v>
      </c>
      <c r="P75" s="18">
        <f t="shared" si="8"/>
        <v>8.7472522350465522E-3</v>
      </c>
      <c r="Q75" s="18">
        <f t="shared" si="9"/>
        <v>-1.038482695109377E-3</v>
      </c>
      <c r="R75" s="28">
        <f>((Scenario_DT!I$11*(IF(Scenario_DT!I$18=1,1,1+$M75/Scenario_DT!$C$19)*(1+$N75)^MAX(0,Scenario_DT!I$18-3))*(Scenario_DT!I$12+$O75)-Scenario_DT!I$13)*(1-Scenario_DT!I$14)+Scenario_DT!I$13-Scenario_DT!I$15)*Scenario_DT!I$16</f>
        <v>891.41933014569167</v>
      </c>
      <c r="S75" s="28">
        <f>((Scenario_DT!J$11*(IF(Scenario_DT!J$18=1,1,1+$M75/Scenario_DT!$C$19)*(1+$N75)^MAX(0,Scenario_DT!J$18-3))*(Scenario_DT!J$12+$O75)-Scenario_DT!J$13)*(1-Scenario_DT!J$14)+Scenario_DT!J$13-Scenario_DT!J$15)*Scenario_DT!J$16</f>
        <v>1818.8780775001901</v>
      </c>
      <c r="T75" s="28">
        <f>((Scenario_DT!K$11*(IF(Scenario_DT!K$18=1,1,1+$M75/Scenario_DT!$C$19)*(1+$N75)^MAX(0,Scenario_DT!K$18-3))*(Scenario_DT!K$12+$O75)-Scenario_DT!K$13)*(1-Scenario_DT!K$14)+Scenario_DT!K$13-Scenario_DT!K$15)*Scenario_DT!K$16</f>
        <v>2083.4247586834576</v>
      </c>
      <c r="U75" s="28">
        <f>((Scenario_DT!L$11*(IF(Scenario_DT!L$18=1,1,1+$M75/Scenario_DT!$C$19)*(1+$N75)^MAX(0,Scenario_DT!L$18-3))*(Scenario_DT!L$12+$O75)-Scenario_DT!L$13)*(1-Scenario_DT!L$14)+Scenario_DT!L$13-Scenario_DT!L$15)*Scenario_DT!L$16</f>
        <v>2470.6227493043102</v>
      </c>
      <c r="V75" s="28">
        <f>((Scenario_DT!M$11*(IF(Scenario_DT!M$18=1,1,1+$M75/Scenario_DT!$C$19)*(1+$N75)^MAX(0,Scenario_DT!M$18-3))*(Scenario_DT!M$12+$O75)-Scenario_DT!M$13)*(1-Scenario_DT!M$14)+Scenario_DT!M$13-Scenario_DT!M$15)*Scenario_DT!M$16</f>
        <v>2579.8286321913411</v>
      </c>
      <c r="W75" s="28">
        <f>((Scenario_DT!N$11*(IF(Scenario_DT!N$18=1,1,1+$M75/Scenario_DT!$C$19)*(1+$N75)^MAX(0,Scenario_DT!N$18-3))*(Scenario_DT!N$12+$O75)-Scenario_DT!N$13)*(1-Scenario_DT!N$14)+Scenario_DT!N$13-Scenario_DT!N$15)*Scenario_DT!N$16</f>
        <v>2693.845959583794</v>
      </c>
      <c r="X75" s="28">
        <f>((Scenario_DT!O$11*(IF(Scenario_DT!O$18=1,1,1+$M75/Scenario_DT!$C$19)*(1+$N75)^MAX(0,Scenario_DT!O$18-3))*(Scenario_DT!O$12+$O75)-Scenario_DT!O$13)*(1-Scenario_DT!O$14)+Scenario_DT!O$13-Scenario_DT!O$15)*Scenario_DT!O$16</f>
        <v>2812.8885335999989</v>
      </c>
      <c r="Y75" s="28">
        <f>((Scenario_DT!P$11*(IF(Scenario_DT!P$18=1,1,1+$M75/Scenario_DT!$C$19)*(1+$N75)^MAX(0,Scenario_DT!P$18-3))*(Scenario_DT!P$12+$O75)-Scenario_DT!P$13)*(1-Scenario_DT!P$14)+Scenario_DT!P$13-Scenario_DT!P$15)*Scenario_DT!P$16</f>
        <v>2937.1796758990154</v>
      </c>
      <c r="Z75" s="28">
        <f>((Scenario_DT!Q$11*(IF(Scenario_DT!Q$18=1,1,1+$M75/Scenario_DT!$C$19)*(1+$N75)^MAX(0,Scenario_DT!Q$18-3))*(Scenario_DT!Q$12+$O75)-Scenario_DT!Q$13)*(1-Scenario_DT!Q$14)+Scenario_DT!Q$13-Scenario_DT!Q$15)*Scenario_DT!Q$16</f>
        <v>3066.9526517599215</v>
      </c>
      <c r="AA75" s="28">
        <f>((Scenario_DT!R$11*(IF(Scenario_DT!R$18=1,1,1+$M75/Scenario_DT!$C$19)*(1+$N75)^MAX(0,Scenario_DT!R$18-3))*(Scenario_DT!R$12+$O75)-Scenario_DT!R$13)*(1-Scenario_DT!R$14)+Scenario_DT!R$13-Scenario_DT!R$15)*Scenario_DT!R$16</f>
        <v>3202.4511130568749</v>
      </c>
      <c r="AB75" s="17">
        <f>(Scenario_DT!$R$11*(1+$M75/Scenario_DT!$C$19)*(1+$N75)^7*(Scenario_DT!$R$12+$O75)*(1+MIN(DCF_FCFF!$C$26+$Q75,(DCF_FCFF!$C$25+$P75)-0.02))*(1-DCF_FCFF!$C$27)*(1-DCF_FCFF!$C$28)/((DCF_FCFF!$C$25+$P75)-MIN(DCF_FCFF!$C$26+$Q75,(DCF_FCFF!$C$25+$P75)-0.02)))*(1+(DCF_FCFF!$C$25+$P75))^(-(Inputs!$C$9+9))</f>
        <v>20958.603923067025</v>
      </c>
      <c r="AC75" s="17">
        <f>SUMPRODUCT(R75:AA75*(1+(DCF_FCFF!$C$25+$P75))^(-Scenario_DT!$I$17:$R$17))+AB75</f>
        <v>36474.84894023661</v>
      </c>
      <c r="AD75" s="68">
        <f>((AC75-DCF_FCFF!$C$48)*(1-DCF_FCFF!$C$50)+DCF_FCFF!$C$57+DCF_FCFF!$C$58)/DCF_FCFF!$C$60</f>
        <v>253.66920225471986</v>
      </c>
      <c r="AE75" s="6"/>
      <c r="AF75" s="6"/>
      <c r="AG75" s="6"/>
    </row>
    <row r="76" spans="1:33" x14ac:dyDescent="0.3">
      <c r="A76" s="6"/>
      <c r="B76" s="72">
        <v>45</v>
      </c>
      <c r="C76" s="73">
        <v>0.30094869178094003</v>
      </c>
      <c r="D76" s="73">
        <v>0.48858404535153299</v>
      </c>
      <c r="E76" s="73">
        <v>0.66286421276358198</v>
      </c>
      <c r="F76" s="73">
        <v>0.95562325704697004</v>
      </c>
      <c r="G76" s="73">
        <v>0.28644622688205501</v>
      </c>
      <c r="H76" s="15">
        <f t="shared" si="0"/>
        <v>-0.52167392362496745</v>
      </c>
      <c r="I76" s="15">
        <f t="shared" si="1"/>
        <v>-2.861946113108995E-2</v>
      </c>
      <c r="J76" s="15">
        <f t="shared" si="2"/>
        <v>0.42029279254861168</v>
      </c>
      <c r="K76" s="15">
        <f t="shared" si="3"/>
        <v>1.7020100415235608</v>
      </c>
      <c r="L76" s="15">
        <f t="shared" si="4"/>
        <v>-0.56379676486426367</v>
      </c>
      <c r="M76" s="18">
        <f t="shared" si="5"/>
        <v>-1.043347847249935E-2</v>
      </c>
      <c r="N76" s="18">
        <f t="shared" si="6"/>
        <v>-2.2849771375570318E-3</v>
      </c>
      <c r="O76" s="18">
        <f t="shared" si="7"/>
        <v>5.0435135105833407E-3</v>
      </c>
      <c r="P76" s="18">
        <f t="shared" si="8"/>
        <v>1.0212060249141366E-2</v>
      </c>
      <c r="Q76" s="18">
        <f t="shared" si="9"/>
        <v>-2.2551870594570548E-3</v>
      </c>
      <c r="R76" s="28">
        <f>((Scenario_DT!I$11*(IF(Scenario_DT!I$18=1,1,1+$M76/Scenario_DT!$C$19)*(1+$N76)^MAX(0,Scenario_DT!I$18-3))*(Scenario_DT!I$12+$O76)-Scenario_DT!I$13)*(1-Scenario_DT!I$14)+Scenario_DT!I$13-Scenario_DT!I$15)*Scenario_DT!I$16</f>
        <v>918.09534881924196</v>
      </c>
      <c r="S76" s="28">
        <f>((Scenario_DT!J$11*(IF(Scenario_DT!J$18=1,1,1+$M76/Scenario_DT!$C$19)*(1+$N76)^MAX(0,Scenario_DT!J$18-3))*(Scenario_DT!J$12+$O76)-Scenario_DT!J$13)*(1-Scenario_DT!J$14)+Scenario_DT!J$13-Scenario_DT!J$15)*Scenario_DT!J$16</f>
        <v>1822.4074765420996</v>
      </c>
      <c r="T76" s="28">
        <f>((Scenario_DT!K$11*(IF(Scenario_DT!K$18=1,1,1+$M76/Scenario_DT!$C$19)*(1+$N76)^MAX(0,Scenario_DT!K$18-3))*(Scenario_DT!K$12+$O76)-Scenario_DT!K$13)*(1-Scenario_DT!K$14)+Scenario_DT!K$13-Scenario_DT!K$15)*Scenario_DT!K$16</f>
        <v>2086.2922425903821</v>
      </c>
      <c r="U76" s="28">
        <f>((Scenario_DT!L$11*(IF(Scenario_DT!L$18=1,1,1+$M76/Scenario_DT!$C$19)*(1+$N76)^MAX(0,Scenario_DT!L$18-3))*(Scenario_DT!L$12+$O76)-Scenario_DT!L$13)*(1-Scenario_DT!L$14)+Scenario_DT!L$13-Scenario_DT!L$15)*Scenario_DT!L$16</f>
        <v>2480.9706443138061</v>
      </c>
      <c r="V76" s="28">
        <f>((Scenario_DT!M$11*(IF(Scenario_DT!M$18=1,1,1+$M76/Scenario_DT!$C$19)*(1+$N76)^MAX(0,Scenario_DT!M$18-3))*(Scenario_DT!M$12+$O76)-Scenario_DT!M$13)*(1-Scenario_DT!M$14)+Scenario_DT!M$13-Scenario_DT!M$15)*Scenario_DT!M$16</f>
        <v>2598.3048508291131</v>
      </c>
      <c r="W76" s="28">
        <f>((Scenario_DT!N$11*(IF(Scenario_DT!N$18=1,1,1+$M76/Scenario_DT!$C$19)*(1+$N76)^MAX(0,Scenario_DT!N$18-3))*(Scenario_DT!N$12+$O76)-Scenario_DT!N$13)*(1-Scenario_DT!N$14)+Scenario_DT!N$13-Scenario_DT!N$15)*Scenario_DT!N$16</f>
        <v>2721.1774451082879</v>
      </c>
      <c r="X76" s="28">
        <f>((Scenario_DT!O$11*(IF(Scenario_DT!O$18=1,1,1+$M76/Scenario_DT!$C$19)*(1+$N76)^MAX(0,Scenario_DT!O$18-3))*(Scenario_DT!O$12+$O76)-Scenario_DT!O$13)*(1-Scenario_DT!O$14)+Scenario_DT!O$13-Scenario_DT!O$15)*Scenario_DT!O$16</f>
        <v>2849.8519741932109</v>
      </c>
      <c r="Y76" s="28">
        <f>((Scenario_DT!P$11*(IF(Scenario_DT!P$18=1,1,1+$M76/Scenario_DT!$C$19)*(1+$N76)^MAX(0,Scenario_DT!P$18-3))*(Scenario_DT!P$12+$O76)-Scenario_DT!P$13)*(1-Scenario_DT!P$14)+Scenario_DT!P$13-Scenario_DT!P$15)*Scenario_DT!P$16</f>
        <v>2984.6045468474281</v>
      </c>
      <c r="Z76" s="28">
        <f>((Scenario_DT!Q$11*(IF(Scenario_DT!Q$18=1,1,1+$M76/Scenario_DT!$C$19)*(1+$N76)^MAX(0,Scenario_DT!Q$18-3))*(Scenario_DT!Q$12+$O76)-Scenario_DT!Q$13)*(1-Scenario_DT!Q$14)+Scenario_DT!Q$13-Scenario_DT!Q$15)*Scenario_DT!Q$16</f>
        <v>3125.7244324722319</v>
      </c>
      <c r="AA76" s="28">
        <f>((Scenario_DT!R$11*(IF(Scenario_DT!R$18=1,1,1+$M76/Scenario_DT!$C$19)*(1+$N76)^MAX(0,Scenario_DT!R$18-3))*(Scenario_DT!R$12+$O76)-Scenario_DT!R$13)*(1-Scenario_DT!R$14)+Scenario_DT!R$13-Scenario_DT!R$15)*Scenario_DT!R$16</f>
        <v>3273.5146885780014</v>
      </c>
      <c r="AB76" s="17">
        <f>(Scenario_DT!$R$11*(1+$M76/Scenario_DT!$C$19)*(1+$N76)^7*(Scenario_DT!$R$12+$O76)*(1+MIN(DCF_FCFF!$C$26+$Q76,(DCF_FCFF!$C$25+$P76)-0.02))*(1-DCF_FCFF!$C$27)*(1-DCF_FCFF!$C$28)/((DCF_FCFF!$C$25+$P76)-MIN(DCF_FCFF!$C$26+$Q76,(DCF_FCFF!$C$25+$P76)-0.02)))*(1+(DCF_FCFF!$C$25+$P76))^(-(Inputs!$C$9+9))</f>
        <v>20225.21777931874</v>
      </c>
      <c r="AC76" s="17">
        <f>SUMPRODUCT(R76:AA76*(1+(DCF_FCFF!$C$25+$P76))^(-Scenario_DT!$I$17:$R$17))+AB76</f>
        <v>35820.092003742306</v>
      </c>
      <c r="AD76" s="68">
        <f>((AC76-DCF_FCFF!$C$48)*(1-DCF_FCFF!$C$50)+DCF_FCFF!$C$57+DCF_FCFF!$C$58)/DCF_FCFF!$C$60</f>
        <v>247.38434201527554</v>
      </c>
      <c r="AE76" s="6"/>
      <c r="AF76" s="6"/>
      <c r="AG76" s="6"/>
    </row>
    <row r="77" spans="1:33" x14ac:dyDescent="0.3">
      <c r="A77" s="6"/>
      <c r="B77" s="72">
        <v>46</v>
      </c>
      <c r="C77" s="73">
        <v>0.924808429312027</v>
      </c>
      <c r="D77" s="73">
        <v>2.4859491386256299E-2</v>
      </c>
      <c r="E77" s="73">
        <v>0.55519804232682501</v>
      </c>
      <c r="F77" s="73">
        <v>0.633975111681085</v>
      </c>
      <c r="G77" s="73">
        <v>0.105897403750753</v>
      </c>
      <c r="H77" s="15">
        <f t="shared" si="0"/>
        <v>1.4381794606779106</v>
      </c>
      <c r="I77" s="15">
        <f t="shared" si="1"/>
        <v>-1.9623737828505656</v>
      </c>
      <c r="J77" s="15">
        <f t="shared" si="2"/>
        <v>0.13880541438582258</v>
      </c>
      <c r="K77" s="15">
        <f t="shared" si="3"/>
        <v>0.34240014865573298</v>
      </c>
      <c r="L77" s="15">
        <f t="shared" si="4"/>
        <v>-1.248645377473788</v>
      </c>
      <c r="M77" s="18">
        <f t="shared" si="5"/>
        <v>2.8763589213558212E-2</v>
      </c>
      <c r="N77" s="18">
        <f t="shared" si="6"/>
        <v>-7.843006538641617E-3</v>
      </c>
      <c r="O77" s="18">
        <f t="shared" si="7"/>
        <v>1.665664972629871E-3</v>
      </c>
      <c r="P77" s="18">
        <f t="shared" si="8"/>
        <v>2.0544008919343979E-3</v>
      </c>
      <c r="Q77" s="18">
        <f t="shared" si="9"/>
        <v>-4.9945815098951518E-3</v>
      </c>
      <c r="R77" s="28">
        <f>((Scenario_DT!I$11*(IF(Scenario_DT!I$18=1,1,1+$M77/Scenario_DT!$C$19)*(1+$N77)^MAX(0,Scenario_DT!I$18-3))*(Scenario_DT!I$12+$O77)-Scenario_DT!I$13)*(1-Scenario_DT!I$14)+Scenario_DT!I$13-Scenario_DT!I$15)*Scenario_DT!I$16</f>
        <v>913.33294589277432</v>
      </c>
      <c r="S77" s="28">
        <f>((Scenario_DT!J$11*(IF(Scenario_DT!J$18=1,1,1+$M77/Scenario_DT!$C$19)*(1+$N77)^MAX(0,Scenario_DT!J$18-3))*(Scenario_DT!J$12+$O77)-Scenario_DT!J$13)*(1-Scenario_DT!J$14)+Scenario_DT!J$13-Scenario_DT!J$15)*Scenario_DT!J$16</f>
        <v>1906.1684774649757</v>
      </c>
      <c r="T77" s="28">
        <f>((Scenario_DT!K$11*(IF(Scenario_DT!K$18=1,1,1+$M77/Scenario_DT!$C$19)*(1+$N77)^MAX(0,Scenario_DT!K$18-3))*(Scenario_DT!K$12+$O77)-Scenario_DT!K$13)*(1-Scenario_DT!K$14)+Scenario_DT!K$13-Scenario_DT!K$15)*Scenario_DT!K$16</f>
        <v>2174.4288558629064</v>
      </c>
      <c r="U77" s="28">
        <f>((Scenario_DT!L$11*(IF(Scenario_DT!L$18=1,1,1+$M77/Scenario_DT!$C$19)*(1+$N77)^MAX(0,Scenario_DT!L$18-3))*(Scenario_DT!L$12+$O77)-Scenario_DT!L$13)*(1-Scenario_DT!L$14)+Scenario_DT!L$13-Scenario_DT!L$15)*Scenario_DT!L$16</f>
        <v>2559.90322167466</v>
      </c>
      <c r="V77" s="28">
        <f>((Scenario_DT!M$11*(IF(Scenario_DT!M$18=1,1,1+$M77/Scenario_DT!$C$19)*(1+$N77)^MAX(0,Scenario_DT!M$18-3))*(Scenario_DT!M$12+$O77)-Scenario_DT!M$13)*(1-Scenario_DT!M$14)+Scenario_DT!M$13-Scenario_DT!M$15)*Scenario_DT!M$16</f>
        <v>2665.956781098485</v>
      </c>
      <c r="W77" s="28">
        <f>((Scenario_DT!N$11*(IF(Scenario_DT!N$18=1,1,1+$M77/Scenario_DT!$C$19)*(1+$N77)^MAX(0,Scenario_DT!N$18-3))*(Scenario_DT!N$12+$O77)-Scenario_DT!N$13)*(1-Scenario_DT!N$14)+Scenario_DT!N$13-Scenario_DT!N$15)*Scenario_DT!N$16</f>
        <v>2776.3837052660406</v>
      </c>
      <c r="X77" s="28">
        <f>((Scenario_DT!O$11*(IF(Scenario_DT!O$18=1,1,1+$M77/Scenario_DT!$C$19)*(1+$N77)^MAX(0,Scenario_DT!O$18-3))*(Scenario_DT!O$12+$O77)-Scenario_DT!O$13)*(1-Scenario_DT!O$14)+Scenario_DT!O$13-Scenario_DT!O$15)*Scenario_DT!O$16</f>
        <v>2891.3658545828084</v>
      </c>
      <c r="Y77" s="28">
        <f>((Scenario_DT!P$11*(IF(Scenario_DT!P$18=1,1,1+$M77/Scenario_DT!$C$19)*(1+$N77)^MAX(0,Scenario_DT!P$18-3))*(Scenario_DT!P$12+$O77)-Scenario_DT!P$13)*(1-Scenario_DT!P$14)+Scenario_DT!P$13-Scenario_DT!P$15)*Scenario_DT!P$16</f>
        <v>3011.0926673102972</v>
      </c>
      <c r="Z77" s="28">
        <f>((Scenario_DT!Q$11*(IF(Scenario_DT!Q$18=1,1,1+$M77/Scenario_DT!$C$19)*(1+$N77)^MAX(0,Scenario_DT!Q$18-3))*(Scenario_DT!Q$12+$O77)-Scenario_DT!Q$13)*(1-Scenario_DT!Q$14)+Scenario_DT!Q$13-Scenario_DT!Q$15)*Scenario_DT!Q$16</f>
        <v>3135.7614754921037</v>
      </c>
      <c r="AA77" s="28">
        <f>((Scenario_DT!R$11*(IF(Scenario_DT!R$18=1,1,1+$M77/Scenario_DT!$C$19)*(1+$N77)^MAX(0,Scenario_DT!R$18-3))*(Scenario_DT!R$12+$O77)-Scenario_DT!R$13)*(1-Scenario_DT!R$14)+Scenario_DT!R$13-Scenario_DT!R$15)*Scenario_DT!R$16</f>
        <v>3265.5778340537713</v>
      </c>
      <c r="AB77" s="17">
        <f>(Scenario_DT!$R$11*(1+$M77/Scenario_DT!$C$19)*(1+$N77)^7*(Scenario_DT!$R$12+$O77)*(1+MIN(DCF_FCFF!$C$26+$Q77,(DCF_FCFF!$C$25+$P77)-0.02))*(1-DCF_FCFF!$C$27)*(1-DCF_FCFF!$C$28)/((DCF_FCFF!$C$25+$P77)-MIN(DCF_FCFF!$C$26+$Q77,(DCF_FCFF!$C$25+$P77)-0.02)))*(1+(DCF_FCFF!$C$25+$P77))^(-(Inputs!$C$9+9))</f>
        <v>23628.975744269563</v>
      </c>
      <c r="AC77" s="17">
        <f>SUMPRODUCT(R77:AA77*(1+(DCF_FCFF!$C$25+$P77))^(-Scenario_DT!$I$17:$R$17))+AB77</f>
        <v>40090.880627010367</v>
      </c>
      <c r="AD77" s="68">
        <f>((AC77-DCF_FCFF!$C$48)*(1-DCF_FCFF!$C$50)+DCF_FCFF!$C$57+DCF_FCFF!$C$58)/DCF_FCFF!$C$60</f>
        <v>288.37865320678748</v>
      </c>
      <c r="AE77" s="6"/>
      <c r="AF77" s="6"/>
      <c r="AG77" s="6"/>
    </row>
    <row r="78" spans="1:33" x14ac:dyDescent="0.3">
      <c r="A78" s="6"/>
      <c r="B78" s="72">
        <v>47</v>
      </c>
      <c r="C78" s="73">
        <v>0.140339597063913</v>
      </c>
      <c r="D78" s="73">
        <v>0.419114319316304</v>
      </c>
      <c r="E78" s="73">
        <v>0.96623191214318205</v>
      </c>
      <c r="F78" s="73">
        <v>0.59604255323437305</v>
      </c>
      <c r="G78" s="73">
        <v>0.93302322160021101</v>
      </c>
      <c r="H78" s="15">
        <f t="shared" si="0"/>
        <v>-1.0787948433807133</v>
      </c>
      <c r="I78" s="15">
        <f t="shared" si="1"/>
        <v>-0.20415978209608765</v>
      </c>
      <c r="J78" s="15">
        <f t="shared" si="2"/>
        <v>1.8280891323050801</v>
      </c>
      <c r="K78" s="15">
        <f t="shared" si="3"/>
        <v>0.24311683038884474</v>
      </c>
      <c r="L78" s="15">
        <f t="shared" si="4"/>
        <v>1.4986919856271494</v>
      </c>
      <c r="M78" s="18">
        <f t="shared" si="5"/>
        <v>-2.1575896867614266E-2</v>
      </c>
      <c r="N78" s="18">
        <f t="shared" si="6"/>
        <v>-5.729639835333312E-3</v>
      </c>
      <c r="O78" s="18">
        <f t="shared" si="7"/>
        <v>2.1937069587660962E-2</v>
      </c>
      <c r="P78" s="18">
        <f t="shared" si="8"/>
        <v>1.4587009823330685E-3</v>
      </c>
      <c r="Q78" s="18">
        <f t="shared" si="9"/>
        <v>5.9947679425085979E-3</v>
      </c>
      <c r="R78" s="28">
        <f>((Scenario_DT!I$11*(IF(Scenario_DT!I$18=1,1,1+$M78/Scenario_DT!$C$19)*(1+$N78)^MAX(0,Scenario_DT!I$18-3))*(Scenario_DT!I$12+$O78)-Scenario_DT!I$13)*(1-Scenario_DT!I$14)+Scenario_DT!I$13-Scenario_DT!I$15)*Scenario_DT!I$16</f>
        <v>941.9134448634976</v>
      </c>
      <c r="S78" s="28">
        <f>((Scenario_DT!J$11*(IF(Scenario_DT!J$18=1,1,1+$M78/Scenario_DT!$C$19)*(1+$N78)^MAX(0,Scenario_DT!J$18-3))*(Scenario_DT!J$12+$O78)-Scenario_DT!J$13)*(1-Scenario_DT!J$14)+Scenario_DT!J$13-Scenario_DT!J$15)*Scenario_DT!J$16</f>
        <v>1846.8181120483009</v>
      </c>
      <c r="T78" s="28">
        <f>((Scenario_DT!K$11*(IF(Scenario_DT!K$18=1,1,1+$M78/Scenario_DT!$C$19)*(1+$N78)^MAX(0,Scenario_DT!K$18-3))*(Scenario_DT!K$12+$O78)-Scenario_DT!K$13)*(1-Scenario_DT!K$14)+Scenario_DT!K$13-Scenario_DT!K$15)*Scenario_DT!K$16</f>
        <v>2111.2107946556084</v>
      </c>
      <c r="U78" s="28">
        <f>((Scenario_DT!L$11*(IF(Scenario_DT!L$18=1,1,1+$M78/Scenario_DT!$C$19)*(1+$N78)^MAX(0,Scenario_DT!L$18-3))*(Scenario_DT!L$12+$O78)-Scenario_DT!L$13)*(1-Scenario_DT!L$14)+Scenario_DT!L$13-Scenario_DT!L$15)*Scenario_DT!L$16</f>
        <v>2498.6530551334213</v>
      </c>
      <c r="V78" s="28">
        <f>((Scenario_DT!M$11*(IF(Scenario_DT!M$18=1,1,1+$M78/Scenario_DT!$C$19)*(1+$N78)^MAX(0,Scenario_DT!M$18-3))*(Scenario_DT!M$12+$O78)-Scenario_DT!M$13)*(1-Scenario_DT!M$14)+Scenario_DT!M$13-Scenario_DT!M$15)*Scenario_DT!M$16</f>
        <v>2607.7305555866747</v>
      </c>
      <c r="W78" s="28">
        <f>((Scenario_DT!N$11*(IF(Scenario_DT!N$18=1,1,1+$M78/Scenario_DT!$C$19)*(1+$N78)^MAX(0,Scenario_DT!N$18-3))*(Scenario_DT!N$12+$O78)-Scenario_DT!N$13)*(1-Scenario_DT!N$14)+Scenario_DT!N$13-Scenario_DT!N$15)*Scenario_DT!N$16</f>
        <v>2721.553235177229</v>
      </c>
      <c r="X78" s="28">
        <f>((Scenario_DT!O$11*(IF(Scenario_DT!O$18=1,1,1+$M78/Scenario_DT!$C$19)*(1+$N78)^MAX(0,Scenario_DT!O$18-3))*(Scenario_DT!O$12+$O78)-Scenario_DT!O$13)*(1-Scenario_DT!O$14)+Scenario_DT!O$13-Scenario_DT!O$15)*Scenario_DT!O$16</f>
        <v>2840.3292820008755</v>
      </c>
      <c r="Y78" s="28">
        <f>((Scenario_DT!P$11*(IF(Scenario_DT!P$18=1,1,1+$M78/Scenario_DT!$C$19)*(1+$N78)^MAX(0,Scenario_DT!P$18-3))*(Scenario_DT!P$12+$O78)-Scenario_DT!P$13)*(1-Scenario_DT!P$14)+Scenario_DT!P$13-Scenario_DT!P$15)*Scenario_DT!P$16</f>
        <v>2964.2760365596882</v>
      </c>
      <c r="Z78" s="28">
        <f>((Scenario_DT!Q$11*(IF(Scenario_DT!Q$18=1,1,1+$M78/Scenario_DT!$C$19)*(1+$N78)^MAX(0,Scenario_DT!Q$18-3))*(Scenario_DT!Q$12+$O78)-Scenario_DT!Q$13)*(1-Scenario_DT!Q$14)+Scenario_DT!Q$13-Scenario_DT!Q$15)*Scenario_DT!Q$16</f>
        <v>3093.6203943403293</v>
      </c>
      <c r="AA78" s="28">
        <f>((Scenario_DT!R$11*(IF(Scenario_DT!R$18=1,1,1+$M78/Scenario_DT!$C$19)*(1+$N78)^MAX(0,Scenario_DT!R$18-3))*(Scenario_DT!R$12+$O78)-Scenario_DT!R$13)*(1-Scenario_DT!R$14)+Scenario_DT!R$13-Scenario_DT!R$15)*Scenario_DT!R$16</f>
        <v>3228.5992261040387</v>
      </c>
      <c r="AB78" s="17">
        <f>(Scenario_DT!$R$11*(1+$M78/Scenario_DT!$C$19)*(1+$N78)^7*(Scenario_DT!$R$12+$O78)*(1+MIN(DCF_FCFF!$C$26+$Q78,(DCF_FCFF!$C$25+$P78)-0.02))*(1-DCF_FCFF!$C$27)*(1-DCF_FCFF!$C$28)/((DCF_FCFF!$C$25+$P78)-MIN(DCF_FCFF!$C$26+$Q78,(DCF_FCFF!$C$25+$P78)-0.02)))*(1+(DCF_FCFF!$C$25+$P78))^(-(Inputs!$C$9+9))</f>
        <v>29729.516731824398</v>
      </c>
      <c r="AC78" s="17">
        <f>SUMPRODUCT(R78:AA78*(1+(DCF_FCFF!$C$25+$P78))^(-Scenario_DT!$I$17:$R$17))+AB78</f>
        <v>45935.671740633756</v>
      </c>
      <c r="AD78" s="68">
        <f>((AC78-DCF_FCFF!$C$48)*(1-DCF_FCFF!$C$50)+DCF_FCFF!$C$57+DCF_FCFF!$C$58)/DCF_FCFF!$C$60</f>
        <v>344.48144987901281</v>
      </c>
      <c r="AE78" s="6"/>
      <c r="AF78" s="6"/>
      <c r="AG78" s="6"/>
    </row>
    <row r="79" spans="1:33" x14ac:dyDescent="0.3">
      <c r="A79" s="6"/>
      <c r="B79" s="72">
        <v>48</v>
      </c>
      <c r="C79" s="73">
        <v>0.80436091561297096</v>
      </c>
      <c r="D79" s="73">
        <v>0.46738160155529201</v>
      </c>
      <c r="E79" s="73">
        <v>0.784763449252187</v>
      </c>
      <c r="F79" s="73">
        <v>1.7836783976987701E-2</v>
      </c>
      <c r="G79" s="73">
        <v>0.109143996765735</v>
      </c>
      <c r="H79" s="15">
        <f t="shared" si="0"/>
        <v>0.85730170086070279</v>
      </c>
      <c r="I79" s="15">
        <f t="shared" si="1"/>
        <v>-8.1853511078084806E-2</v>
      </c>
      <c r="J79" s="15">
        <f t="shared" si="2"/>
        <v>0.78838233316153794</v>
      </c>
      <c r="K79" s="15">
        <f t="shared" si="3"/>
        <v>-2.1006287534358501</v>
      </c>
      <c r="L79" s="15">
        <f t="shared" si="4"/>
        <v>-1.2310932400772989</v>
      </c>
      <c r="M79" s="18">
        <f t="shared" si="5"/>
        <v>1.7146034017214058E-2</v>
      </c>
      <c r="N79" s="18">
        <f t="shared" si="6"/>
        <v>2.8621090435822318E-3</v>
      </c>
      <c r="O79" s="18">
        <f t="shared" si="7"/>
        <v>9.4605879979384553E-3</v>
      </c>
      <c r="P79" s="18">
        <f t="shared" si="8"/>
        <v>-1.2603772520615101E-2</v>
      </c>
      <c r="Q79" s="18">
        <f t="shared" si="9"/>
        <v>-4.9243729603091957E-3</v>
      </c>
      <c r="R79" s="28">
        <f>((Scenario_DT!I$11*(IF(Scenario_DT!I$18=1,1,1+$M79/Scenario_DT!$C$19)*(1+$N79)^MAX(0,Scenario_DT!I$18-3))*(Scenario_DT!I$12+$O79)-Scenario_DT!I$13)*(1-Scenario_DT!I$14)+Scenario_DT!I$13-Scenario_DT!I$15)*Scenario_DT!I$16</f>
        <v>924.32294849656569</v>
      </c>
      <c r="S79" s="28">
        <f>((Scenario_DT!J$11*(IF(Scenario_DT!J$18=1,1,1+$M79/Scenario_DT!$C$19)*(1+$N79)^MAX(0,Scenario_DT!J$18-3))*(Scenario_DT!J$12+$O79)-Scenario_DT!J$13)*(1-Scenario_DT!J$14)+Scenario_DT!J$13-Scenario_DT!J$15)*Scenario_DT!J$16</f>
        <v>1902.9318806222914</v>
      </c>
      <c r="T79" s="28">
        <f>((Scenario_DT!K$11*(IF(Scenario_DT!K$18=1,1,1+$M79/Scenario_DT!$C$19)*(1+$N79)^MAX(0,Scenario_DT!K$18-3))*(Scenario_DT!K$12+$O79)-Scenario_DT!K$13)*(1-Scenario_DT!K$14)+Scenario_DT!K$13-Scenario_DT!K$15)*Scenario_DT!K$16</f>
        <v>2170.6796621000835</v>
      </c>
      <c r="U79" s="28">
        <f>((Scenario_DT!L$11*(IF(Scenario_DT!L$18=1,1,1+$M79/Scenario_DT!$C$19)*(1+$N79)^MAX(0,Scenario_DT!L$18-3))*(Scenario_DT!L$12+$O79)-Scenario_DT!L$13)*(1-Scenario_DT!L$14)+Scenario_DT!L$13-Scenario_DT!L$15)*Scenario_DT!L$16</f>
        <v>2583.7137850281765</v>
      </c>
      <c r="V79" s="28">
        <f>((Scenario_DT!M$11*(IF(Scenario_DT!M$18=1,1,1+$M79/Scenario_DT!$C$19)*(1+$N79)^MAX(0,Scenario_DT!M$18-3))*(Scenario_DT!M$12+$O79)-Scenario_DT!M$13)*(1-Scenario_DT!M$14)+Scenario_DT!M$13-Scenario_DT!M$15)*Scenario_DT!M$16</f>
        <v>2719.9933712416105</v>
      </c>
      <c r="W79" s="28">
        <f>((Scenario_DT!N$11*(IF(Scenario_DT!N$18=1,1,1+$M79/Scenario_DT!$C$19)*(1+$N79)^MAX(0,Scenario_DT!N$18-3))*(Scenario_DT!N$12+$O79)-Scenario_DT!N$13)*(1-Scenario_DT!N$14)+Scenario_DT!N$13-Scenario_DT!N$15)*Scenario_DT!N$16</f>
        <v>2863.4581337585323</v>
      </c>
      <c r="X79" s="28">
        <f>((Scenario_DT!O$11*(IF(Scenario_DT!O$18=1,1,1+$M79/Scenario_DT!$C$19)*(1+$N79)^MAX(0,Scenario_DT!O$18-3))*(Scenario_DT!O$12+$O79)-Scenario_DT!O$13)*(1-Scenario_DT!O$14)+Scenario_DT!O$13-Scenario_DT!O$15)*Scenario_DT!O$16</f>
        <v>3014.4894955261088</v>
      </c>
      <c r="Y79" s="28">
        <f>((Scenario_DT!P$11*(IF(Scenario_DT!P$18=1,1,1+$M79/Scenario_DT!$C$19)*(1+$N79)^MAX(0,Scenario_DT!P$18-3))*(Scenario_DT!P$12+$O79)-Scenario_DT!P$13)*(1-Scenario_DT!P$14)+Scenario_DT!P$13-Scenario_DT!P$15)*Scenario_DT!P$16</f>
        <v>3173.4891452407051</v>
      </c>
      <c r="Z79" s="28">
        <f>((Scenario_DT!Q$11*(IF(Scenario_DT!Q$18=1,1,1+$M79/Scenario_DT!$C$19)*(1+$N79)^MAX(0,Scenario_DT!Q$18-3))*(Scenario_DT!Q$12+$O79)-Scenario_DT!Q$13)*(1-Scenario_DT!Q$14)+Scenario_DT!Q$13-Scenario_DT!Q$15)*Scenario_DT!Q$16</f>
        <v>3340.8801139238453</v>
      </c>
      <c r="AA79" s="28">
        <f>((Scenario_DT!R$11*(IF(Scenario_DT!R$18=1,1,1+$M79/Scenario_DT!$C$19)*(1+$N79)^MAX(0,Scenario_DT!R$18-3))*(Scenario_DT!R$12+$O79)-Scenario_DT!R$13)*(1-Scenario_DT!R$14)+Scenario_DT!R$13-Scenario_DT!R$15)*Scenario_DT!R$16</f>
        <v>3517.1079086709206</v>
      </c>
      <c r="AB79" s="17">
        <f>(Scenario_DT!$R$11*(1+$M79/Scenario_DT!$C$19)*(1+$N79)^7*(Scenario_DT!$R$12+$O79)*(1+MIN(DCF_FCFF!$C$26+$Q79,(DCF_FCFF!$C$25+$P79)-0.02))*(1-DCF_FCFF!$C$27)*(1-DCF_FCFF!$C$28)/((DCF_FCFF!$C$25+$P79)-MIN(DCF_FCFF!$C$26+$Q79,(DCF_FCFF!$C$25+$P79)-0.02)))*(1+(DCF_FCFF!$C$25+$P79))^(-(Inputs!$C$9+9))</f>
        <v>38873.182070337862</v>
      </c>
      <c r="AC79" s="17">
        <f>SUMPRODUCT(R79:AA79*(1+(DCF_FCFF!$C$25+$P79))^(-Scenario_DT!$I$17:$R$17))+AB79</f>
        <v>56929.011271180891</v>
      </c>
      <c r="AD79" s="68">
        <f>((AC79-DCF_FCFF!$C$48)*(1-DCF_FCFF!$C$50)+DCF_FCFF!$C$57+DCF_FCFF!$C$58)/DCF_FCFF!$C$60</f>
        <v>450.00397077688518</v>
      </c>
      <c r="AE79" s="6"/>
      <c r="AF79" s="6"/>
      <c r="AG79" s="6"/>
    </row>
    <row r="80" spans="1:33" x14ac:dyDescent="0.3">
      <c r="A80" s="6"/>
      <c r="B80" s="72">
        <v>49</v>
      </c>
      <c r="C80" s="73">
        <v>0.829428614882736</v>
      </c>
      <c r="D80" s="73">
        <v>0.79681708832516196</v>
      </c>
      <c r="E80" s="73">
        <v>0.232640741966434</v>
      </c>
      <c r="F80" s="73">
        <v>0.53076959059905404</v>
      </c>
      <c r="G80" s="73">
        <v>0.60601582070001103</v>
      </c>
      <c r="H80" s="15">
        <f t="shared" si="0"/>
        <v>0.95190971871806596</v>
      </c>
      <c r="I80" s="15">
        <f t="shared" si="1"/>
        <v>0.83030595268373253</v>
      </c>
      <c r="J80" s="15">
        <f t="shared" si="2"/>
        <v>-0.73017784354766657</v>
      </c>
      <c r="K80" s="15">
        <f t="shared" si="3"/>
        <v>7.7204554116179172E-2</v>
      </c>
      <c r="L80" s="15">
        <f t="shared" si="4"/>
        <v>0.2689497413523374</v>
      </c>
      <c r="M80" s="18">
        <f t="shared" si="5"/>
        <v>1.9038194374361321E-2</v>
      </c>
      <c r="N80" s="18">
        <f t="shared" si="6"/>
        <v>9.560167258372684E-3</v>
      </c>
      <c r="O80" s="18">
        <f t="shared" si="7"/>
        <v>-8.762134122571999E-3</v>
      </c>
      <c r="P80" s="18">
        <f t="shared" si="8"/>
        <v>4.6322732469707503E-4</v>
      </c>
      <c r="Q80" s="18">
        <f t="shared" si="9"/>
        <v>1.0757989654093497E-3</v>
      </c>
      <c r="R80" s="28">
        <f>((Scenario_DT!I$11*(IF(Scenario_DT!I$18=1,1,1+$M80/Scenario_DT!$C$19)*(1+$N80)^MAX(0,Scenario_DT!I$18-3))*(Scenario_DT!I$12+$O80)-Scenario_DT!I$13)*(1-Scenario_DT!I$14)+Scenario_DT!I$13-Scenario_DT!I$15)*Scenario_DT!I$16</f>
        <v>898.63087137119203</v>
      </c>
      <c r="S80" s="28">
        <f>((Scenario_DT!J$11*(IF(Scenario_DT!J$18=1,1,1+$M80/Scenario_DT!$C$19)*(1+$N80)^MAX(0,Scenario_DT!J$18-3))*(Scenario_DT!J$12+$O80)-Scenario_DT!J$13)*(1-Scenario_DT!J$14)+Scenario_DT!J$13-Scenario_DT!J$15)*Scenario_DT!J$16</f>
        <v>1849.7478357857503</v>
      </c>
      <c r="T80" s="28">
        <f>((Scenario_DT!K$11*(IF(Scenario_DT!K$18=1,1,1+$M80/Scenario_DT!$C$19)*(1+$N80)^MAX(0,Scenario_DT!K$18-3))*(Scenario_DT!K$12+$O80)-Scenario_DT!K$13)*(1-Scenario_DT!K$14)+Scenario_DT!K$13-Scenario_DT!K$15)*Scenario_DT!K$16</f>
        <v>2115.627905007088</v>
      </c>
      <c r="U80" s="28">
        <f>((Scenario_DT!L$11*(IF(Scenario_DT!L$18=1,1,1+$M80/Scenario_DT!$C$19)*(1+$N80)^MAX(0,Scenario_DT!L$18-3))*(Scenario_DT!L$12+$O80)-Scenario_DT!L$13)*(1-Scenario_DT!L$14)+Scenario_DT!L$13-Scenario_DT!L$15)*Scenario_DT!L$16</f>
        <v>2542.0714583217027</v>
      </c>
      <c r="V80" s="28">
        <f>((Scenario_DT!M$11*(IF(Scenario_DT!M$18=1,1,1+$M80/Scenario_DT!$C$19)*(1+$N80)^MAX(0,Scenario_DT!M$18-3))*(Scenario_DT!M$12+$O80)-Scenario_DT!M$13)*(1-Scenario_DT!M$14)+Scenario_DT!M$13-Scenario_DT!M$15)*Scenario_DT!M$16</f>
        <v>2694.1407541914441</v>
      </c>
      <c r="W80" s="28">
        <f>((Scenario_DT!N$11*(IF(Scenario_DT!N$18=1,1,1+$M80/Scenario_DT!$C$19)*(1+$N80)^MAX(0,Scenario_DT!N$18-3))*(Scenario_DT!N$12+$O80)-Scenario_DT!N$13)*(1-Scenario_DT!N$14)+Scenario_DT!N$13-Scenario_DT!N$15)*Scenario_DT!N$16</f>
        <v>2855.3126685642769</v>
      </c>
      <c r="X80" s="28">
        <f>((Scenario_DT!O$11*(IF(Scenario_DT!O$18=1,1,1+$M80/Scenario_DT!$C$19)*(1+$N80)^MAX(0,Scenario_DT!O$18-3))*(Scenario_DT!O$12+$O80)-Scenario_DT!O$13)*(1-Scenario_DT!O$14)+Scenario_DT!O$13-Scenario_DT!O$15)*Scenario_DT!O$16</f>
        <v>3026.1351303865467</v>
      </c>
      <c r="Y80" s="28">
        <f>((Scenario_DT!P$11*(IF(Scenario_DT!P$18=1,1,1+$M80/Scenario_DT!$C$19)*(1+$N80)^MAX(0,Scenario_DT!P$18-3))*(Scenario_DT!P$12+$O80)-Scenario_DT!P$13)*(1-Scenario_DT!P$14)+Scenario_DT!P$13-Scenario_DT!P$15)*Scenario_DT!P$16</f>
        <v>3207.1890548103579</v>
      </c>
      <c r="Z80" s="28">
        <f>((Scenario_DT!Q$11*(IF(Scenario_DT!Q$18=1,1,1+$M80/Scenario_DT!$C$19)*(1+$N80)^MAX(0,Scenario_DT!Q$18-3))*(Scenario_DT!Q$12+$O80)-Scenario_DT!Q$13)*(1-Scenario_DT!Q$14)+Scenario_DT!Q$13-Scenario_DT!Q$15)*Scenario_DT!Q$16</f>
        <v>3399.0903278549677</v>
      </c>
      <c r="AA80" s="28">
        <f>((Scenario_DT!R$11*(IF(Scenario_DT!R$18=1,1,1+$M80/Scenario_DT!$C$19)*(1+$N80)^MAX(0,Scenario_DT!R$18-3))*(Scenario_DT!R$12+$O80)-Scenario_DT!R$13)*(1-Scenario_DT!R$14)+Scenario_DT!R$13-Scenario_DT!R$15)*Scenario_DT!R$16</f>
        <v>3602.4919104132182</v>
      </c>
      <c r="AB80" s="17">
        <f>(Scenario_DT!$R$11*(1+$M80/Scenario_DT!$C$19)*(1+$N80)^7*(Scenario_DT!$R$12+$O80)*(1+MIN(DCF_FCFF!$C$26+$Q80,(DCF_FCFF!$C$25+$P80)-0.02))*(1-DCF_FCFF!$C$27)*(1-DCF_FCFF!$C$28)/((DCF_FCFF!$C$25+$P80)-MIN(DCF_FCFF!$C$26+$Q80,(DCF_FCFF!$C$25+$P80)-0.02)))*(1+(DCF_FCFF!$C$25+$P80))^(-(Inputs!$C$9+9))</f>
        <v>30650.718144135917</v>
      </c>
      <c r="AC80" s="17">
        <f>SUMPRODUCT(R80:AA80*(1+(DCF_FCFF!$C$25+$P80))^(-Scenario_DT!$I$17:$R$17))+AB80</f>
        <v>47636.97806246471</v>
      </c>
      <c r="AD80" s="68">
        <f>((AC80-DCF_FCFF!$C$48)*(1-DCF_FCFF!$C$50)+DCF_FCFF!$C$57+DCF_FCFF!$C$58)/DCF_FCFF!$C$60</f>
        <v>360.81189536377576</v>
      </c>
      <c r="AE80" s="6"/>
      <c r="AF80" s="6"/>
      <c r="AG80" s="6"/>
    </row>
    <row r="81" spans="1:33" x14ac:dyDescent="0.3">
      <c r="A81" s="6"/>
      <c r="B81" s="72">
        <v>50</v>
      </c>
      <c r="C81" s="73">
        <v>0.86773895377601096</v>
      </c>
      <c r="D81" s="73">
        <v>0.603107157338726</v>
      </c>
      <c r="E81" s="73">
        <v>0.41257156927367999</v>
      </c>
      <c r="F81" s="73">
        <v>0.37418404340718298</v>
      </c>
      <c r="G81" s="73">
        <v>0.42588208637350999</v>
      </c>
      <c r="H81" s="15">
        <f t="shared" si="0"/>
        <v>1.115766510388422</v>
      </c>
      <c r="I81" s="15">
        <f t="shared" si="1"/>
        <v>0.26139788831874522</v>
      </c>
      <c r="J81" s="15">
        <f t="shared" si="2"/>
        <v>-0.22093487943441706</v>
      </c>
      <c r="K81" s="15">
        <f t="shared" si="3"/>
        <v>-0.32079191492273451</v>
      </c>
      <c r="L81" s="15">
        <f t="shared" si="4"/>
        <v>-0.18686794485439151</v>
      </c>
      <c r="M81" s="18">
        <f t="shared" si="5"/>
        <v>2.2315330207768439E-2</v>
      </c>
      <c r="N81" s="18">
        <f t="shared" si="6"/>
        <v>6.2740837357908152E-3</v>
      </c>
      <c r="O81" s="18">
        <f t="shared" si="7"/>
        <v>-2.6512185532130048E-3</v>
      </c>
      <c r="P81" s="18">
        <f t="shared" si="8"/>
        <v>-1.924751489536407E-3</v>
      </c>
      <c r="Q81" s="18">
        <f t="shared" si="9"/>
        <v>-7.4747177941756606E-4</v>
      </c>
      <c r="R81" s="28">
        <f>((Scenario_DT!I$11*(IF(Scenario_DT!I$18=1,1,1+$M81/Scenario_DT!$C$19)*(1+$N81)^MAX(0,Scenario_DT!I$18-3))*(Scenario_DT!I$12+$O81)-Scenario_DT!I$13)*(1-Scenario_DT!I$14)+Scenario_DT!I$13-Scenario_DT!I$15)*Scenario_DT!I$16</f>
        <v>907.24660468898787</v>
      </c>
      <c r="S81" s="28">
        <f>((Scenario_DT!J$11*(IF(Scenario_DT!J$18=1,1,1+$M81/Scenario_DT!$C$19)*(1+$N81)^MAX(0,Scenario_DT!J$18-3))*(Scenario_DT!J$12+$O81)-Scenario_DT!J$13)*(1-Scenario_DT!J$14)+Scenario_DT!J$13-Scenario_DT!J$15)*Scenario_DT!J$16</f>
        <v>1876.9473760757473</v>
      </c>
      <c r="T81" s="28">
        <f>((Scenario_DT!K$11*(IF(Scenario_DT!K$18=1,1,1+$M81/Scenario_DT!$C$19)*(1+$N81)^MAX(0,Scenario_DT!K$18-3))*(Scenario_DT!K$12+$O81)-Scenario_DT!K$13)*(1-Scenario_DT!K$14)+Scenario_DT!K$13-Scenario_DT!K$15)*Scenario_DT!K$16</f>
        <v>2143.9269685169329</v>
      </c>
      <c r="U81" s="28">
        <f>((Scenario_DT!L$11*(IF(Scenario_DT!L$18=1,1,1+$M81/Scenario_DT!$C$19)*(1+$N81)^MAX(0,Scenario_DT!L$18-3))*(Scenario_DT!L$12+$O81)-Scenario_DT!L$13)*(1-Scenario_DT!L$14)+Scenario_DT!L$13-Scenario_DT!L$15)*Scenario_DT!L$16</f>
        <v>2563.977991025115</v>
      </c>
      <c r="V81" s="28">
        <f>((Scenario_DT!M$11*(IF(Scenario_DT!M$18=1,1,1+$M81/Scenario_DT!$C$19)*(1+$N81)^MAX(0,Scenario_DT!M$18-3))*(Scenario_DT!M$12+$O81)-Scenario_DT!M$13)*(1-Scenario_DT!M$14)+Scenario_DT!M$13-Scenario_DT!M$15)*Scenario_DT!M$16</f>
        <v>2708.4575721562733</v>
      </c>
      <c r="W81" s="28">
        <f>((Scenario_DT!N$11*(IF(Scenario_DT!N$18=1,1,1+$M81/Scenario_DT!$C$19)*(1+$N81)^MAX(0,Scenario_DT!N$18-3))*(Scenario_DT!N$12+$O81)-Scenario_DT!N$13)*(1-Scenario_DT!N$14)+Scenario_DT!N$13-Scenario_DT!N$15)*Scenario_DT!N$16</f>
        <v>2861.0801881383959</v>
      </c>
      <c r="X81" s="28">
        <f>((Scenario_DT!O$11*(IF(Scenario_DT!O$18=1,1,1+$M81/Scenario_DT!$C$19)*(1+$N81)^MAX(0,Scenario_DT!O$18-3))*(Scenario_DT!O$12+$O81)-Scenario_DT!O$13)*(1-Scenario_DT!O$14)+Scenario_DT!O$13-Scenario_DT!O$15)*Scenario_DT!O$16</f>
        <v>3022.3076410557419</v>
      </c>
      <c r="Y81" s="28">
        <f>((Scenario_DT!P$11*(IF(Scenario_DT!P$18=1,1,1+$M81/Scenario_DT!$C$19)*(1+$N81)^MAX(0,Scenario_DT!P$18-3))*(Scenario_DT!P$12+$O81)-Scenario_DT!P$13)*(1-Scenario_DT!P$14)+Scenario_DT!P$13-Scenario_DT!P$15)*Scenario_DT!P$16</f>
        <v>3192.6279346859887</v>
      </c>
      <c r="Z81" s="28">
        <f>((Scenario_DT!Q$11*(IF(Scenario_DT!Q$18=1,1,1+$M81/Scenario_DT!$C$19)*(1+$N81)^MAX(0,Scenario_DT!Q$18-3))*(Scenario_DT!Q$12+$O81)-Scenario_DT!Q$13)*(1-Scenario_DT!Q$14)+Scenario_DT!Q$13-Scenario_DT!Q$15)*Scenario_DT!Q$16</f>
        <v>3372.5567605211081</v>
      </c>
      <c r="AA81" s="28">
        <f>((Scenario_DT!R$11*(IF(Scenario_DT!R$18=1,1,1+$M81/Scenario_DT!$C$19)*(1+$N81)^MAX(0,Scenario_DT!R$18-3))*(Scenario_DT!R$12+$O81)-Scenario_DT!R$13)*(1-Scenario_DT!R$14)+Scenario_DT!R$13-Scenario_DT!R$15)*Scenario_DT!R$16</f>
        <v>3562.6390680287423</v>
      </c>
      <c r="AB81" s="17">
        <f>(Scenario_DT!$R$11*(1+$M81/Scenario_DT!$C$19)*(1+$N81)^7*(Scenario_DT!$R$12+$O81)*(1+MIN(DCF_FCFF!$C$26+$Q81,(DCF_FCFF!$C$25+$P81)-0.02))*(1-DCF_FCFF!$C$27)*(1-DCF_FCFF!$C$28)/((DCF_FCFF!$C$25+$P81)-MIN(DCF_FCFF!$C$26+$Q81,(DCF_FCFF!$C$25+$P81)-0.02)))*(1+(DCF_FCFF!$C$25+$P81))^(-(Inputs!$C$9+9))</f>
        <v>31250.321694712213</v>
      </c>
      <c r="AC81" s="17">
        <f>SUMPRODUCT(R81:AA81*(1+(DCF_FCFF!$C$25+$P81))^(-Scenario_DT!$I$17:$R$17))+AB81</f>
        <v>48457.518131304067</v>
      </c>
      <c r="AD81" s="68">
        <f>((AC81-DCF_FCFF!$C$48)*(1-DCF_FCFF!$C$50)+DCF_FCFF!$C$57+DCF_FCFF!$C$58)/DCF_FCFF!$C$60</f>
        <v>368.68806950731494</v>
      </c>
      <c r="AE81" s="6"/>
      <c r="AF81" s="6"/>
      <c r="AG81" s="6"/>
    </row>
    <row r="82" spans="1:33" x14ac:dyDescent="0.3">
      <c r="A82" s="6"/>
      <c r="B82" s="72">
        <v>51</v>
      </c>
      <c r="C82" s="73">
        <v>0.65193102557997396</v>
      </c>
      <c r="D82" s="73">
        <v>0.86749063175232499</v>
      </c>
      <c r="E82" s="73">
        <v>0.45389688207630002</v>
      </c>
      <c r="F82" s="73">
        <v>0.24783956295135801</v>
      </c>
      <c r="G82" s="73">
        <v>0.23666236299758101</v>
      </c>
      <c r="H82" s="15">
        <f t="shared" si="0"/>
        <v>0.39053909948899662</v>
      </c>
      <c r="I82" s="15">
        <f t="shared" si="1"/>
        <v>1.1146073098815097</v>
      </c>
      <c r="J82" s="15">
        <f t="shared" si="2"/>
        <v>-0.1158218110209229</v>
      </c>
      <c r="K82" s="15">
        <f t="shared" si="3"/>
        <v>-0.6813040425177318</v>
      </c>
      <c r="L82" s="15">
        <f t="shared" si="4"/>
        <v>-0.71708001554642797</v>
      </c>
      <c r="M82" s="18">
        <f t="shared" si="5"/>
        <v>7.8107819897799326E-3</v>
      </c>
      <c r="N82" s="18">
        <f t="shared" si="6"/>
        <v>9.2843823627657574E-3</v>
      </c>
      <c r="O82" s="18">
        <f t="shared" si="7"/>
        <v>-1.3898617322510747E-3</v>
      </c>
      <c r="P82" s="18">
        <f t="shared" si="8"/>
        <v>-4.0878242551063912E-3</v>
      </c>
      <c r="Q82" s="18">
        <f t="shared" si="9"/>
        <v>-2.868320062185712E-3</v>
      </c>
      <c r="R82" s="28">
        <f>((Scenario_DT!I$11*(IF(Scenario_DT!I$18=1,1,1+$M82/Scenario_DT!$C$19)*(1+$N82)^MAX(0,Scenario_DT!I$18-3))*(Scenario_DT!I$12+$O82)-Scenario_DT!I$13)*(1-Scenario_DT!I$14)+Scenario_DT!I$13-Scenario_DT!I$15)*Scenario_DT!I$16</f>
        <v>909.02498206380926</v>
      </c>
      <c r="S82" s="28">
        <f>((Scenario_DT!J$11*(IF(Scenario_DT!J$18=1,1,1+$M82/Scenario_DT!$C$19)*(1+$N82)^MAX(0,Scenario_DT!J$18-3))*(Scenario_DT!J$12+$O82)-Scenario_DT!J$13)*(1-Scenario_DT!J$14)+Scenario_DT!J$13-Scenario_DT!J$15)*Scenario_DT!J$16</f>
        <v>1846.2702597344423</v>
      </c>
      <c r="T82" s="28">
        <f>((Scenario_DT!K$11*(IF(Scenario_DT!K$18=1,1,1+$M82/Scenario_DT!$C$19)*(1+$N82)^MAX(0,Scenario_DT!K$18-3))*(Scenario_DT!K$12+$O82)-Scenario_DT!K$13)*(1-Scenario_DT!K$14)+Scenario_DT!K$13-Scenario_DT!K$15)*Scenario_DT!K$16</f>
        <v>2111.6422434380097</v>
      </c>
      <c r="U82" s="28">
        <f>((Scenario_DT!L$11*(IF(Scenario_DT!L$18=1,1,1+$M82/Scenario_DT!$C$19)*(1+$N82)^MAX(0,Scenario_DT!L$18-3))*(Scenario_DT!L$12+$O82)-Scenario_DT!L$13)*(1-Scenario_DT!L$14)+Scenario_DT!L$13-Scenario_DT!L$15)*Scenario_DT!L$16</f>
        <v>2537.101248153012</v>
      </c>
      <c r="V82" s="28">
        <f>((Scenario_DT!M$11*(IF(Scenario_DT!M$18=1,1,1+$M82/Scenario_DT!$C$19)*(1+$N82)^MAX(0,Scenario_DT!M$18-3))*(Scenario_DT!M$12+$O82)-Scenario_DT!M$13)*(1-Scenario_DT!M$14)+Scenario_DT!M$13-Scenario_DT!M$15)*Scenario_DT!M$16</f>
        <v>2688.1325762300658</v>
      </c>
      <c r="W82" s="28">
        <f>((Scenario_DT!N$11*(IF(Scenario_DT!N$18=1,1,1+$M82/Scenario_DT!$C$19)*(1+$N82)^MAX(0,Scenario_DT!N$18-3))*(Scenario_DT!N$12+$O82)-Scenario_DT!N$13)*(1-Scenario_DT!N$14)+Scenario_DT!N$13-Scenario_DT!N$15)*Scenario_DT!N$16</f>
        <v>2848.1600171167393</v>
      </c>
      <c r="X82" s="28">
        <f>((Scenario_DT!O$11*(IF(Scenario_DT!O$18=1,1,1+$M82/Scenario_DT!$C$19)*(1+$N82)^MAX(0,Scenario_DT!O$18-3))*(Scenario_DT!O$12+$O82)-Scenario_DT!O$13)*(1-Scenario_DT!O$14)+Scenario_DT!O$13-Scenario_DT!O$15)*Scenario_DT!O$16</f>
        <v>3017.722465180595</v>
      </c>
      <c r="Y82" s="28">
        <f>((Scenario_DT!P$11*(IF(Scenario_DT!P$18=1,1,1+$M82/Scenario_DT!$C$19)*(1+$N82)^MAX(0,Scenario_DT!P$18-3))*(Scenario_DT!P$12+$O82)-Scenario_DT!P$13)*(1-Scenario_DT!P$14)+Scenario_DT!P$13-Scenario_DT!P$15)*Scenario_DT!P$16</f>
        <v>3197.3911008287873</v>
      </c>
      <c r="Z82" s="28">
        <f>((Scenario_DT!Q$11*(IF(Scenario_DT!Q$18=1,1,1+$M82/Scenario_DT!$C$19)*(1+$N82)^MAX(0,Scenario_DT!Q$18-3))*(Scenario_DT!Q$12+$O82)-Scenario_DT!Q$13)*(1-Scenario_DT!Q$14)+Scenario_DT!Q$13-Scenario_DT!Q$15)*Scenario_DT!Q$16</f>
        <v>3387.7713237076255</v>
      </c>
      <c r="AA82" s="28">
        <f>((Scenario_DT!R$11*(IF(Scenario_DT!R$18=1,1,1+$M82/Scenario_DT!$C$19)*(1+$N82)^MAX(0,Scenario_DT!R$18-3))*(Scenario_DT!R$12+$O82)-Scenario_DT!R$13)*(1-Scenario_DT!R$14)+Scenario_DT!R$13-Scenario_DT!R$15)*Scenario_DT!R$16</f>
        <v>3589.5048015943457</v>
      </c>
      <c r="AB82" s="17">
        <f>(Scenario_DT!$R$11*(1+$M82/Scenario_DT!$C$19)*(1+$N82)^7*(Scenario_DT!$R$12+$O82)*(1+MIN(DCF_FCFF!$C$26+$Q82,(DCF_FCFF!$C$25+$P82)-0.02))*(1-DCF_FCFF!$C$27)*(1-DCF_FCFF!$C$28)/((DCF_FCFF!$C$25+$P82)-MIN(DCF_FCFF!$C$26+$Q82,(DCF_FCFF!$C$25+$P82)-0.02)))*(1+(DCF_FCFF!$C$25+$P82))^(-(Inputs!$C$9+9))</f>
        <v>32044.944643971321</v>
      </c>
      <c r="AC82" s="17">
        <f>SUMPRODUCT(R82:AA82*(1+(DCF_FCFF!$C$25+$P82))^(-Scenario_DT!$I$17:$R$17))+AB82</f>
        <v>49335.035240284851</v>
      </c>
      <c r="AD82" s="68">
        <f>((AC82-DCF_FCFF!$C$48)*(1-DCF_FCFF!$C$50)+DCF_FCFF!$C$57+DCF_FCFF!$C$58)/DCF_FCFF!$C$60</f>
        <v>377.11115306744369</v>
      </c>
      <c r="AE82" s="6"/>
      <c r="AF82" s="6"/>
      <c r="AG82" s="6"/>
    </row>
    <row r="83" spans="1:33" x14ac:dyDescent="0.3">
      <c r="A83" s="6"/>
      <c r="B83" s="72">
        <v>52</v>
      </c>
      <c r="C83" s="73">
        <v>0.74601428024344596</v>
      </c>
      <c r="D83" s="73">
        <v>0.81656876342391005</v>
      </c>
      <c r="E83" s="73">
        <v>0.105278079854125</v>
      </c>
      <c r="F83" s="73">
        <v>6.65588569551782E-2</v>
      </c>
      <c r="G83" s="73">
        <v>0.59443366375645201</v>
      </c>
      <c r="H83" s="15">
        <f t="shared" si="0"/>
        <v>0.66199966011901867</v>
      </c>
      <c r="I83" s="15">
        <f t="shared" si="1"/>
        <v>0.90236600553788004</v>
      </c>
      <c r="J83" s="15">
        <f t="shared" si="2"/>
        <v>-1.2520376101236241</v>
      </c>
      <c r="K83" s="15">
        <f t="shared" si="3"/>
        <v>-1.5019202201340844</v>
      </c>
      <c r="L83" s="15">
        <f t="shared" si="4"/>
        <v>0.23896506451877877</v>
      </c>
      <c r="M83" s="18">
        <f t="shared" si="5"/>
        <v>1.3239993202380373E-2</v>
      </c>
      <c r="N83" s="18">
        <f t="shared" si="6"/>
        <v>8.8997737149344221E-3</v>
      </c>
      <c r="O83" s="18">
        <f t="shared" si="7"/>
        <v>-1.502445132148349E-2</v>
      </c>
      <c r="P83" s="18">
        <f t="shared" si="8"/>
        <v>-9.011521320804506E-3</v>
      </c>
      <c r="Q83" s="18">
        <f t="shared" si="9"/>
        <v>9.558602580751151E-4</v>
      </c>
      <c r="R83" s="28">
        <f>((Scenario_DT!I$11*(IF(Scenario_DT!I$18=1,1,1+$M83/Scenario_DT!$C$19)*(1+$N83)^MAX(0,Scenario_DT!I$18-3))*(Scenario_DT!I$12+$O83)-Scenario_DT!I$13)*(1-Scenario_DT!I$14)+Scenario_DT!I$13-Scenario_DT!I$15)*Scenario_DT!I$16</f>
        <v>889.80167804903226</v>
      </c>
      <c r="S83" s="28">
        <f>((Scenario_DT!J$11*(IF(Scenario_DT!J$18=1,1,1+$M83/Scenario_DT!$C$19)*(1+$N83)^MAX(0,Scenario_DT!J$18-3))*(Scenario_DT!J$12+$O83)-Scenario_DT!J$13)*(1-Scenario_DT!J$14)+Scenario_DT!J$13-Scenario_DT!J$15)*Scenario_DT!J$16</f>
        <v>1816.2862183620559</v>
      </c>
      <c r="T83" s="28">
        <f>((Scenario_DT!K$11*(IF(Scenario_DT!K$18=1,1,1+$M83/Scenario_DT!$C$19)*(1+$N83)^MAX(0,Scenario_DT!K$18-3))*(Scenario_DT!K$12+$O83)-Scenario_DT!K$13)*(1-Scenario_DT!K$14)+Scenario_DT!K$13-Scenario_DT!K$15)*Scenario_DT!K$16</f>
        <v>2080.7535570161403</v>
      </c>
      <c r="U83" s="28">
        <f>((Scenario_DT!L$11*(IF(Scenario_DT!L$18=1,1,1+$M83/Scenario_DT!$C$19)*(1+$N83)^MAX(0,Scenario_DT!L$18-3))*(Scenario_DT!L$12+$O83)-Scenario_DT!L$13)*(1-Scenario_DT!L$14)+Scenario_DT!L$13-Scenario_DT!L$15)*Scenario_DT!L$16</f>
        <v>2503.0392202244047</v>
      </c>
      <c r="V83" s="28">
        <f>((Scenario_DT!M$11*(IF(Scenario_DT!M$18=1,1,1+$M83/Scenario_DT!$C$19)*(1+$N83)^MAX(0,Scenario_DT!M$18-3))*(Scenario_DT!M$12+$O83)-Scenario_DT!M$13)*(1-Scenario_DT!M$14)+Scenario_DT!M$13-Scenario_DT!M$15)*Scenario_DT!M$16</f>
        <v>2651.0177499768897</v>
      </c>
      <c r="W83" s="28">
        <f>((Scenario_DT!N$11*(IF(Scenario_DT!N$18=1,1,1+$M83/Scenario_DT!$C$19)*(1+$N83)^MAX(0,Scenario_DT!N$18-3))*(Scenario_DT!N$12+$O83)-Scenario_DT!N$13)*(1-Scenario_DT!N$14)+Scenario_DT!N$13-Scenario_DT!N$15)*Scenario_DT!N$16</f>
        <v>2807.7496005168177</v>
      </c>
      <c r="X83" s="28">
        <f>((Scenario_DT!O$11*(IF(Scenario_DT!O$18=1,1,1+$M83/Scenario_DT!$C$19)*(1+$N83)^MAX(0,Scenario_DT!O$18-3))*(Scenario_DT!O$12+$O83)-Scenario_DT!O$13)*(1-Scenario_DT!O$14)+Scenario_DT!O$13-Scenario_DT!O$15)*Scenario_DT!O$16</f>
        <v>2973.7555758033172</v>
      </c>
      <c r="Y83" s="28">
        <f>((Scenario_DT!P$11*(IF(Scenario_DT!P$18=1,1,1+$M83/Scenario_DT!$C$19)*(1+$N83)^MAX(0,Scenario_DT!P$18-3))*(Scenario_DT!P$12+$O83)-Scenario_DT!P$13)*(1-Scenario_DT!P$14)+Scenario_DT!P$13-Scenario_DT!P$15)*Scenario_DT!P$16</f>
        <v>3149.5874722713475</v>
      </c>
      <c r="Z83" s="28">
        <f>((Scenario_DT!Q$11*(IF(Scenario_DT!Q$18=1,1,1+$M83/Scenario_DT!$C$19)*(1+$N83)^MAX(0,Scenario_DT!Q$18-3))*(Scenario_DT!Q$12+$O83)-Scenario_DT!Q$13)*(1-Scenario_DT!Q$14)+Scenario_DT!Q$13-Scenario_DT!Q$15)*Scenario_DT!Q$16</f>
        <v>3335.8299221207612</v>
      </c>
      <c r="AA83" s="28">
        <f>((Scenario_DT!R$11*(IF(Scenario_DT!R$18=1,1,1+$M83/Scenario_DT!$C$19)*(1+$N83)^MAX(0,Scenario_DT!R$18-3))*(Scenario_DT!R$12+$O83)-Scenario_DT!R$13)*(1-Scenario_DT!R$14)+Scenario_DT!R$13-Scenario_DT!R$15)*Scenario_DT!R$16</f>
        <v>3533.1023461765276</v>
      </c>
      <c r="AB83" s="17">
        <f>(Scenario_DT!$R$11*(1+$M83/Scenario_DT!$C$19)*(1+$N83)^7*(Scenario_DT!$R$12+$O83)*(1+MIN(DCF_FCFF!$C$26+$Q83,(DCF_FCFF!$C$25+$P83)-0.02))*(1-DCF_FCFF!$C$27)*(1-DCF_FCFF!$C$28)/((DCF_FCFF!$C$25+$P83)-MIN(DCF_FCFF!$C$26+$Q83,(DCF_FCFF!$C$25+$P83)-0.02)))*(1+(DCF_FCFF!$C$25+$P83))^(-(Inputs!$C$9+9))</f>
        <v>40205.495273124121</v>
      </c>
      <c r="AC83" s="17">
        <f>SUMPRODUCT(R83:AA83*(1+(DCF_FCFF!$C$25+$P83))^(-Scenario_DT!$I$17:$R$17))+AB83</f>
        <v>57603.722351290184</v>
      </c>
      <c r="AD83" s="68">
        <f>((AC83-DCF_FCFF!$C$48)*(1-DCF_FCFF!$C$50)+DCF_FCFF!$C$57+DCF_FCFF!$C$58)/DCF_FCFF!$C$60</f>
        <v>456.4803662209651</v>
      </c>
      <c r="AE83" s="6"/>
      <c r="AF83" s="6"/>
      <c r="AG83" s="6"/>
    </row>
    <row r="84" spans="1:33" x14ac:dyDescent="0.3">
      <c r="A84" s="6"/>
      <c r="B84" s="72">
        <v>53</v>
      </c>
      <c r="C84" s="73">
        <v>0.146173244192698</v>
      </c>
      <c r="D84" s="73">
        <v>0.82466419045634098</v>
      </c>
      <c r="E84" s="73">
        <v>0.31033467392407399</v>
      </c>
      <c r="F84" s="73">
        <v>0.14387193297114301</v>
      </c>
      <c r="G84" s="73">
        <v>0.92097047248745001</v>
      </c>
      <c r="H84" s="15">
        <f t="shared" si="0"/>
        <v>-1.0529880076867195</v>
      </c>
      <c r="I84" s="15">
        <f t="shared" si="1"/>
        <v>0.93328736101140997</v>
      </c>
      <c r="J84" s="15">
        <f t="shared" si="2"/>
        <v>-0.49490193059509541</v>
      </c>
      <c r="K84" s="15">
        <f t="shared" si="3"/>
        <v>-1.0630839861048955</v>
      </c>
      <c r="L84" s="15">
        <f t="shared" si="4"/>
        <v>1.4116295900709375</v>
      </c>
      <c r="M84" s="18">
        <f t="shared" si="5"/>
        <v>-2.105976015373439E-2</v>
      </c>
      <c r="N84" s="18">
        <f t="shared" si="6"/>
        <v>2.2540524785876776E-3</v>
      </c>
      <c r="O84" s="18">
        <f t="shared" si="7"/>
        <v>-5.9388231671411449E-3</v>
      </c>
      <c r="P84" s="18">
        <f t="shared" si="8"/>
        <v>-6.3785039166293729E-3</v>
      </c>
      <c r="Q84" s="18">
        <f t="shared" si="9"/>
        <v>5.6465183602837496E-3</v>
      </c>
      <c r="R84" s="28">
        <f>((Scenario_DT!I$11*(IF(Scenario_DT!I$18=1,1,1+$M84/Scenario_DT!$C$19)*(1+$N84)^MAX(0,Scenario_DT!I$18-3))*(Scenario_DT!I$12+$O84)-Scenario_DT!I$13)*(1-Scenario_DT!I$14)+Scenario_DT!I$13-Scenario_DT!I$15)*Scenario_DT!I$16</f>
        <v>902.61143598366561</v>
      </c>
      <c r="S84" s="28">
        <f>((Scenario_DT!J$11*(IF(Scenario_DT!J$18=1,1,1+$M84/Scenario_DT!$C$19)*(1+$N84)^MAX(0,Scenario_DT!J$18-3))*(Scenario_DT!J$12+$O84)-Scenario_DT!J$13)*(1-Scenario_DT!J$14)+Scenario_DT!J$13-Scenario_DT!J$15)*Scenario_DT!J$16</f>
        <v>1763.4010907427587</v>
      </c>
      <c r="T84" s="28">
        <f>((Scenario_DT!K$11*(IF(Scenario_DT!K$18=1,1,1+$M84/Scenario_DT!$C$19)*(1+$N84)^MAX(0,Scenario_DT!K$18-3))*(Scenario_DT!K$12+$O84)-Scenario_DT!K$13)*(1-Scenario_DT!K$14)+Scenario_DT!K$13-Scenario_DT!K$15)*Scenario_DT!K$16</f>
        <v>2024.7809818313272</v>
      </c>
      <c r="U84" s="28">
        <f>((Scenario_DT!L$11*(IF(Scenario_DT!L$18=1,1,1+$M84/Scenario_DT!$C$19)*(1+$N84)^MAX(0,Scenario_DT!L$18-3))*(Scenario_DT!L$12+$O84)-Scenario_DT!L$13)*(1-Scenario_DT!L$14)+Scenario_DT!L$13-Scenario_DT!L$15)*Scenario_DT!L$16</f>
        <v>2426.8759465080734</v>
      </c>
      <c r="V84" s="28">
        <f>((Scenario_DT!M$11*(IF(Scenario_DT!M$18=1,1,1+$M84/Scenario_DT!$C$19)*(1+$N84)^MAX(0,Scenario_DT!M$18-3))*(Scenario_DT!M$12+$O84)-Scenario_DT!M$13)*(1-Scenario_DT!M$14)+Scenario_DT!M$13-Scenario_DT!M$15)*Scenario_DT!M$16</f>
        <v>2553.2820737801508</v>
      </c>
      <c r="W84" s="28">
        <f>((Scenario_DT!N$11*(IF(Scenario_DT!N$18=1,1,1+$M84/Scenario_DT!$C$19)*(1+$N84)^MAX(0,Scenario_DT!N$18-3))*(Scenario_DT!N$12+$O84)-Scenario_DT!N$13)*(1-Scenario_DT!N$14)+Scenario_DT!N$13-Scenario_DT!N$15)*Scenario_DT!N$16</f>
        <v>2686.2683280675051</v>
      </c>
      <c r="X84" s="28">
        <f>((Scenario_DT!O$11*(IF(Scenario_DT!O$18=1,1,1+$M84/Scenario_DT!$C$19)*(1+$N84)^MAX(0,Scenario_DT!O$18-3))*(Scenario_DT!O$12+$O84)-Scenario_DT!O$13)*(1-Scenario_DT!O$14)+Scenario_DT!O$13-Scenario_DT!O$15)*Scenario_DT!O$16</f>
        <v>2826.1797829515463</v>
      </c>
      <c r="Y84" s="28">
        <f>((Scenario_DT!P$11*(IF(Scenario_DT!P$18=1,1,1+$M84/Scenario_DT!$C$19)*(1+$N84)^MAX(0,Scenario_DT!P$18-3))*(Scenario_DT!P$12+$O84)-Scenario_DT!P$13)*(1-Scenario_DT!P$14)+Scenario_DT!P$13-Scenario_DT!P$15)*Scenario_DT!P$16</f>
        <v>2973.3796270006392</v>
      </c>
      <c r="Z84" s="28">
        <f>((Scenario_DT!Q$11*(IF(Scenario_DT!Q$18=1,1,1+$M84/Scenario_DT!$C$19)*(1+$N84)^MAX(0,Scenario_DT!Q$18-3))*(Scenario_DT!Q$12+$O84)-Scenario_DT!Q$13)*(1-Scenario_DT!Q$14)+Scenario_DT!Q$13-Scenario_DT!Q$15)*Scenario_DT!Q$16</f>
        <v>3128.2501146113436</v>
      </c>
      <c r="AA84" s="28">
        <f>((Scenario_DT!R$11*(IF(Scenario_DT!R$18=1,1,1+$M84/Scenario_DT!$C$19)*(1+$N84)^MAX(0,Scenario_DT!R$18-3))*(Scenario_DT!R$12+$O84)-Scenario_DT!R$13)*(1-Scenario_DT!R$14)+Scenario_DT!R$13-Scenario_DT!R$15)*Scenario_DT!R$16</f>
        <v>3291.1935667433863</v>
      </c>
      <c r="AB84" s="17">
        <f>(Scenario_DT!$R$11*(1+$M84/Scenario_DT!$C$19)*(1+$N84)^7*(Scenario_DT!$R$12+$O84)*(1+MIN(DCF_FCFF!$C$26+$Q84,(DCF_FCFF!$C$25+$P84)-0.02))*(1-DCF_FCFF!$C$27)*(1-DCF_FCFF!$C$28)/((DCF_FCFF!$C$25+$P84)-MIN(DCF_FCFF!$C$26+$Q84,(DCF_FCFF!$C$25+$P84)-0.02)))*(1+(DCF_FCFF!$C$25+$P84))^(-(Inputs!$C$9+9))</f>
        <v>38758.772091183782</v>
      </c>
      <c r="AC84" s="17">
        <f>SUMPRODUCT(R84:AA84*(1+(DCF_FCFF!$C$25+$P84))^(-Scenario_DT!$I$17:$R$17))+AB84</f>
        <v>55244.216237701206</v>
      </c>
      <c r="AD84" s="68">
        <f>((AC84-DCF_FCFF!$C$48)*(1-DCF_FCFF!$C$50)+DCF_FCFF!$C$57+DCF_FCFF!$C$58)/DCF_FCFF!$C$60</f>
        <v>433.83201332619569</v>
      </c>
      <c r="AE84" s="6"/>
      <c r="AF84" s="6"/>
      <c r="AG84" s="6"/>
    </row>
    <row r="85" spans="1:33" x14ac:dyDescent="0.3">
      <c r="A85" s="6"/>
      <c r="B85" s="72">
        <v>54</v>
      </c>
      <c r="C85" s="73">
        <v>0.165531722735278</v>
      </c>
      <c r="D85" s="73">
        <v>0.284720082337936</v>
      </c>
      <c r="E85" s="73">
        <v>0.15361339519205899</v>
      </c>
      <c r="F85" s="73">
        <v>0.115490063665355</v>
      </c>
      <c r="G85" s="73">
        <v>2.114801633644E-2</v>
      </c>
      <c r="H85" s="15">
        <f t="shared" si="0"/>
        <v>-0.97197407627378096</v>
      </c>
      <c r="I85" s="15">
        <f t="shared" si="1"/>
        <v>-0.56887619003882151</v>
      </c>
      <c r="J85" s="15">
        <f t="shared" si="2"/>
        <v>-1.0210583586111479</v>
      </c>
      <c r="K85" s="15">
        <f t="shared" si="3"/>
        <v>-1.1978379052576487</v>
      </c>
      <c r="L85" s="15">
        <f t="shared" si="4"/>
        <v>-2.0305956174261506</v>
      </c>
      <c r="M85" s="18">
        <f t="shared" si="5"/>
        <v>-1.9439481525475619E-2</v>
      </c>
      <c r="N85" s="18">
        <f t="shared" si="6"/>
        <v>-7.829186162548912E-3</v>
      </c>
      <c r="O85" s="18">
        <f t="shared" si="7"/>
        <v>-1.2252700303333775E-2</v>
      </c>
      <c r="P85" s="18">
        <f t="shared" si="8"/>
        <v>-7.1870274315458922E-3</v>
      </c>
      <c r="Q85" s="18">
        <f t="shared" si="9"/>
        <v>-8.1223824697046025E-3</v>
      </c>
      <c r="R85" s="28">
        <f>((Scenario_DT!I$11*(IF(Scenario_DT!I$18=1,1,1+$M85/Scenario_DT!$C$19)*(1+$N85)^MAX(0,Scenario_DT!I$18-3))*(Scenario_DT!I$12+$O85)-Scenario_DT!I$13)*(1-Scenario_DT!I$14)+Scenario_DT!I$13-Scenario_DT!I$15)*Scenario_DT!I$16</f>
        <v>893.70954869863635</v>
      </c>
      <c r="S85" s="28">
        <f>((Scenario_DT!J$11*(IF(Scenario_DT!J$18=1,1,1+$M85/Scenario_DT!$C$19)*(1+$N85)^MAX(0,Scenario_DT!J$18-3))*(Scenario_DT!J$12+$O85)-Scenario_DT!J$13)*(1-Scenario_DT!J$14)+Scenario_DT!J$13-Scenario_DT!J$15)*Scenario_DT!J$16</f>
        <v>1748.0355893339274</v>
      </c>
      <c r="T85" s="28">
        <f>((Scenario_DT!K$11*(IF(Scenario_DT!K$18=1,1,1+$M85/Scenario_DT!$C$19)*(1+$N85)^MAX(0,Scenario_DT!K$18-3))*(Scenario_DT!K$12+$O85)-Scenario_DT!K$13)*(1-Scenario_DT!K$14)+Scenario_DT!K$13-Scenario_DT!K$15)*Scenario_DT!K$16</f>
        <v>2008.9123810257306</v>
      </c>
      <c r="U85" s="28">
        <f>((Scenario_DT!L$11*(IF(Scenario_DT!L$18=1,1,1+$M85/Scenario_DT!$C$19)*(1+$N85)^MAX(0,Scenario_DT!L$18-3))*(Scenario_DT!L$12+$O85)-Scenario_DT!L$13)*(1-Scenario_DT!L$14)+Scenario_DT!L$13-Scenario_DT!L$15)*Scenario_DT!L$16</f>
        <v>2385.5734382830346</v>
      </c>
      <c r="V85" s="28">
        <f>((Scenario_DT!M$11*(IF(Scenario_DT!M$18=1,1,1+$M85/Scenario_DT!$C$19)*(1+$N85)^MAX(0,Scenario_DT!M$18-3))*(Scenario_DT!M$12+$O85)-Scenario_DT!M$13)*(1-Scenario_DT!M$14)+Scenario_DT!M$13-Scenario_DT!M$15)*Scenario_DT!M$16</f>
        <v>2484.3810045261075</v>
      </c>
      <c r="W85" s="28">
        <f>((Scenario_DT!N$11*(IF(Scenario_DT!N$18=1,1,1+$M85/Scenario_DT!$C$19)*(1+$N85)^MAX(0,Scenario_DT!N$18-3))*(Scenario_DT!N$12+$O85)-Scenario_DT!N$13)*(1-Scenario_DT!N$14)+Scenario_DT!N$13-Scenario_DT!N$15)*Scenario_DT!N$16</f>
        <v>2587.2607642928328</v>
      </c>
      <c r="X85" s="28">
        <f>((Scenario_DT!O$11*(IF(Scenario_DT!O$18=1,1,1+$M85/Scenario_DT!$C$19)*(1+$N85)^MAX(0,Scenario_DT!O$18-3))*(Scenario_DT!O$12+$O85)-Scenario_DT!O$13)*(1-Scenario_DT!O$14)+Scenario_DT!O$13-Scenario_DT!O$15)*Scenario_DT!O$16</f>
        <v>2694.3820604735802</v>
      </c>
      <c r="Y85" s="28">
        <f>((Scenario_DT!P$11*(IF(Scenario_DT!P$18=1,1,1+$M85/Scenario_DT!$C$19)*(1+$N85)^MAX(0,Scenario_DT!P$18-3))*(Scenario_DT!P$12+$O85)-Scenario_DT!P$13)*(1-Scenario_DT!P$14)+Scenario_DT!P$13-Scenario_DT!P$15)*Scenario_DT!P$16</f>
        <v>2805.9212935651235</v>
      </c>
      <c r="Z85" s="28">
        <f>((Scenario_DT!Q$11*(IF(Scenario_DT!Q$18=1,1,1+$M85/Scenario_DT!$C$19)*(1+$N85)^MAX(0,Scenario_DT!Q$18-3))*(Scenario_DT!Q$12+$O85)-Scenario_DT!Q$13)*(1-Scenario_DT!Q$14)+Scenario_DT!Q$13-Scenario_DT!Q$15)*Scenario_DT!Q$16</f>
        <v>2922.0622159747704</v>
      </c>
      <c r="AA85" s="28">
        <f>((Scenario_DT!R$11*(IF(Scenario_DT!R$18=1,1,1+$M85/Scenario_DT!$C$19)*(1+$N85)^MAX(0,Scenario_DT!R$18-3))*(Scenario_DT!R$12+$O85)-Scenario_DT!R$13)*(1-Scenario_DT!R$14)+Scenario_DT!R$13-Scenario_DT!R$15)*Scenario_DT!R$16</f>
        <v>3042.9962385997019</v>
      </c>
      <c r="AB85" s="17">
        <f>(Scenario_DT!$R$11*(1+$M85/Scenario_DT!$C$19)*(1+$N85)^7*(Scenario_DT!$R$12+$O85)*(1+MIN(DCF_FCFF!$C$26+$Q85,(DCF_FCFF!$C$25+$P85)-0.02))*(1-DCF_FCFF!$C$27)*(1-DCF_FCFF!$C$28)/((DCF_FCFF!$C$25+$P85)-MIN(DCF_FCFF!$C$26+$Q85,(DCF_FCFF!$C$25+$P85)-0.02)))*(1+(DCF_FCFF!$C$25+$P85))^(-(Inputs!$C$9+9))</f>
        <v>26641.317150966031</v>
      </c>
      <c r="AC85" s="17">
        <f>SUMPRODUCT(R85:AA85*(1+(DCF_FCFF!$C$25+$P85))^(-Scenario_DT!$I$17:$R$17))+AB85</f>
        <v>42590.54102003912</v>
      </c>
      <c r="AD85" s="68">
        <f>((AC85-DCF_FCFF!$C$48)*(1-DCF_FCFF!$C$50)+DCF_FCFF!$C$57+DCF_FCFF!$C$58)/DCF_FCFF!$C$60</f>
        <v>312.37231458038764</v>
      </c>
      <c r="AE85" s="6"/>
      <c r="AF85" s="6"/>
      <c r="AG85" s="6"/>
    </row>
    <row r="86" spans="1:33" x14ac:dyDescent="0.3">
      <c r="A86" s="6"/>
      <c r="B86" s="72">
        <v>55</v>
      </c>
      <c r="C86" s="73">
        <v>5.5395409164260098E-2</v>
      </c>
      <c r="D86" s="73">
        <v>0.174641470935853</v>
      </c>
      <c r="E86" s="73">
        <v>5.3381932627175402E-2</v>
      </c>
      <c r="F86" s="73">
        <v>0.591143816110971</v>
      </c>
      <c r="G86" s="73">
        <v>0.68071452679950595</v>
      </c>
      <c r="H86" s="15">
        <f t="shared" si="0"/>
        <v>-1.5946486885082807</v>
      </c>
      <c r="I86" s="15">
        <f t="shared" si="1"/>
        <v>-0.93598105530020703</v>
      </c>
      <c r="J86" s="15">
        <f t="shared" si="2"/>
        <v>-1.6129109068761927</v>
      </c>
      <c r="K86" s="15">
        <f t="shared" si="3"/>
        <v>0.23048828229388937</v>
      </c>
      <c r="L86" s="15">
        <f t="shared" si="4"/>
        <v>0.46969779087707658</v>
      </c>
      <c r="M86" s="18">
        <f t="shared" si="5"/>
        <v>-3.1892973770165617E-2</v>
      </c>
      <c r="N86" s="18">
        <f t="shared" si="6"/>
        <v>-1.2863261724840697E-2</v>
      </c>
      <c r="O86" s="18">
        <f t="shared" si="7"/>
        <v>-1.9354930882514311E-2</v>
      </c>
      <c r="P86" s="18">
        <f t="shared" si="8"/>
        <v>1.3829296937633362E-3</v>
      </c>
      <c r="Q86" s="18">
        <f t="shared" si="9"/>
        <v>1.8787911635083064E-3</v>
      </c>
      <c r="R86" s="28">
        <f>((Scenario_DT!I$11*(IF(Scenario_DT!I$18=1,1,1+$M86/Scenario_DT!$C$19)*(1+$N86)^MAX(0,Scenario_DT!I$18-3))*(Scenario_DT!I$12+$O86)-Scenario_DT!I$13)*(1-Scenario_DT!I$14)+Scenario_DT!I$13-Scenario_DT!I$15)*Scenario_DT!I$16</f>
        <v>883.69616789878796</v>
      </c>
      <c r="S86" s="28">
        <f>((Scenario_DT!J$11*(IF(Scenario_DT!J$18=1,1,1+$M86/Scenario_DT!$C$19)*(1+$N86)^MAX(0,Scenario_DT!J$18-3))*(Scenario_DT!J$12+$O86)-Scenario_DT!J$13)*(1-Scenario_DT!J$14)+Scenario_DT!J$13-Scenario_DT!J$15)*Scenario_DT!J$16</f>
        <v>1697.3743951051224</v>
      </c>
      <c r="T86" s="28">
        <f>((Scenario_DT!K$11*(IF(Scenario_DT!K$18=1,1,1+$M86/Scenario_DT!$C$19)*(1+$N86)^MAX(0,Scenario_DT!K$18-3))*(Scenario_DT!K$12+$O86)-Scenario_DT!K$13)*(1-Scenario_DT!K$14)+Scenario_DT!K$13-Scenario_DT!K$15)*Scenario_DT!K$16</f>
        <v>1955.987344063205</v>
      </c>
      <c r="U86" s="28">
        <f>((Scenario_DT!L$11*(IF(Scenario_DT!L$18=1,1,1+$M86/Scenario_DT!$C$19)*(1+$N86)^MAX(0,Scenario_DT!L$18-3))*(Scenario_DT!L$12+$O86)-Scenario_DT!L$13)*(1-Scenario_DT!L$14)+Scenario_DT!L$13-Scenario_DT!L$15)*Scenario_DT!L$16</f>
        <v>2317.9121550319123</v>
      </c>
      <c r="V86" s="28">
        <f>((Scenario_DT!M$11*(IF(Scenario_DT!M$18=1,1,1+$M86/Scenario_DT!$C$19)*(1+$N86)^MAX(0,Scenario_DT!M$18-3))*(Scenario_DT!M$12+$O86)-Scenario_DT!M$13)*(1-Scenario_DT!M$14)+Scenario_DT!M$13-Scenario_DT!M$15)*Scenario_DT!M$16</f>
        <v>2401.5517074632994</v>
      </c>
      <c r="W86" s="28">
        <f>((Scenario_DT!N$11*(IF(Scenario_DT!N$18=1,1,1+$M86/Scenario_DT!$C$19)*(1+$N86)^MAX(0,Scenario_DT!N$18-3))*(Scenario_DT!N$12+$O86)-Scenario_DT!N$13)*(1-Scenario_DT!N$14)+Scenario_DT!N$13-Scenario_DT!N$15)*Scenario_DT!N$16</f>
        <v>2488.1793702103882</v>
      </c>
      <c r="X86" s="28">
        <f>((Scenario_DT!O$11*(IF(Scenario_DT!O$18=1,1,1+$M86/Scenario_DT!$C$19)*(1+$N86)^MAX(0,Scenario_DT!O$18-3))*(Scenario_DT!O$12+$O86)-Scenario_DT!O$13)*(1-Scenario_DT!O$14)+Scenario_DT!O$13-Scenario_DT!O$15)*Scenario_DT!O$16</f>
        <v>2577.9027581320097</v>
      </c>
      <c r="Y86" s="28">
        <f>((Scenario_DT!P$11*(IF(Scenario_DT!P$18=1,1,1+$M86/Scenario_DT!$C$19)*(1+$N86)^MAX(0,Scenario_DT!P$18-3))*(Scenario_DT!P$12+$O86)-Scenario_DT!P$13)*(1-Scenario_DT!P$14)+Scenario_DT!P$13-Scenario_DT!P$15)*Scenario_DT!P$16</f>
        <v>2670.833364937354</v>
      </c>
      <c r="Z86" s="28">
        <f>((Scenario_DT!Q$11*(IF(Scenario_DT!Q$18=1,1,1+$M86/Scenario_DT!$C$19)*(1+$N86)^MAX(0,Scenario_DT!Q$18-3))*(Scenario_DT!Q$12+$O86)-Scenario_DT!Q$13)*(1-Scenario_DT!Q$14)+Scenario_DT!Q$13-Scenario_DT!Q$15)*Scenario_DT!Q$16</f>
        <v>2767.0867027949316</v>
      </c>
      <c r="AA86" s="28">
        <f>((Scenario_DT!R$11*(IF(Scenario_DT!R$18=1,1,1+$M86/Scenario_DT!$C$19)*(1+$N86)^MAX(0,Scenario_DT!R$18-3))*(Scenario_DT!R$12+$O86)-Scenario_DT!R$13)*(1-Scenario_DT!R$14)+Scenario_DT!R$13-Scenario_DT!R$15)*Scenario_DT!R$16</f>
        <v>2866.7824469548714</v>
      </c>
      <c r="AB86" s="17">
        <f>(Scenario_DT!$R$11*(1+$M86/Scenario_DT!$C$19)*(1+$N86)^7*(Scenario_DT!$R$12+$O86)*(1+MIN(DCF_FCFF!$C$26+$Q86,(DCF_FCFF!$C$25+$P86)-0.02))*(1-DCF_FCFF!$C$27)*(1-DCF_FCFF!$C$28)/((DCF_FCFF!$C$25+$P86)-MIN(DCF_FCFF!$C$26+$Q86,(DCF_FCFF!$C$25+$P86)-0.02)))*(1+(DCF_FCFF!$C$25+$P86))^(-(Inputs!$C$9+9))</f>
        <v>24207.440294762968</v>
      </c>
      <c r="AC86" s="17">
        <f>SUMPRODUCT(R86:AA86*(1+(DCF_FCFF!$C$25+$P86))^(-Scenario_DT!$I$17:$R$17))+AB86</f>
        <v>39017.192564295823</v>
      </c>
      <c r="AD86" s="68">
        <f>((AC86-DCF_FCFF!$C$48)*(1-DCF_FCFF!$C$50)+DCF_FCFF!$C$57+DCF_FCFF!$C$58)/DCF_FCFF!$C$60</f>
        <v>278.07257008065739</v>
      </c>
      <c r="AE86" s="6"/>
      <c r="AF86" s="6"/>
      <c r="AG86" s="6"/>
    </row>
    <row r="87" spans="1:33" x14ac:dyDescent="0.3">
      <c r="A87" s="6"/>
      <c r="B87" s="72">
        <v>56</v>
      </c>
      <c r="C87" s="73">
        <v>0.39363045683202802</v>
      </c>
      <c r="D87" s="73">
        <v>0.31799109695204902</v>
      </c>
      <c r="E87" s="73">
        <v>0.50452623702222998</v>
      </c>
      <c r="F87" s="73">
        <v>0.87500494223460901</v>
      </c>
      <c r="G87" s="73">
        <v>0.851131626822206</v>
      </c>
      <c r="H87" s="15">
        <f t="shared" si="0"/>
        <v>-0.26986916031556296</v>
      </c>
      <c r="I87" s="15">
        <f t="shared" si="1"/>
        <v>-0.47332378716648277</v>
      </c>
      <c r="J87" s="15">
        <f t="shared" si="2"/>
        <v>1.1345837114093923E-2</v>
      </c>
      <c r="K87" s="15">
        <f t="shared" si="3"/>
        <v>1.1503733892081829</v>
      </c>
      <c r="L87" s="15">
        <f t="shared" si="4"/>
        <v>1.0412991171020625</v>
      </c>
      <c r="M87" s="18">
        <f t="shared" si="5"/>
        <v>-5.3973832063112593E-3</v>
      </c>
      <c r="N87" s="18">
        <f t="shared" si="6"/>
        <v>-4.3587600324753156E-3</v>
      </c>
      <c r="O87" s="18">
        <f t="shared" si="7"/>
        <v>1.3615004536912708E-4</v>
      </c>
      <c r="P87" s="18">
        <f t="shared" si="8"/>
        <v>6.9022403352490972E-3</v>
      </c>
      <c r="Q87" s="18">
        <f t="shared" si="9"/>
        <v>4.16519646840825E-3</v>
      </c>
      <c r="R87" s="28">
        <f>((Scenario_DT!I$11*(IF(Scenario_DT!I$18=1,1,1+$M87/Scenario_DT!$C$19)*(1+$N87)^MAX(0,Scenario_DT!I$18-3))*(Scenario_DT!I$12+$O87)-Scenario_DT!I$13)*(1-Scenario_DT!I$14)+Scenario_DT!I$13-Scenario_DT!I$15)*Scenario_DT!I$16</f>
        <v>911.1764944462933</v>
      </c>
      <c r="S87" s="28">
        <f>((Scenario_DT!J$11*(IF(Scenario_DT!J$18=1,1,1+$M87/Scenario_DT!$C$19)*(1+$N87)^MAX(0,Scenario_DT!J$18-3))*(Scenario_DT!J$12+$O87)-Scenario_DT!J$13)*(1-Scenario_DT!J$14)+Scenario_DT!J$13-Scenario_DT!J$15)*Scenario_DT!J$16</f>
        <v>1819.3959388535259</v>
      </c>
      <c r="T87" s="28">
        <f>((Scenario_DT!K$11*(IF(Scenario_DT!K$18=1,1,1+$M87/Scenario_DT!$C$19)*(1+$N87)^MAX(0,Scenario_DT!K$18-3))*(Scenario_DT!K$12+$O87)-Scenario_DT!K$13)*(1-Scenario_DT!K$14)+Scenario_DT!K$13-Scenario_DT!K$15)*Scenario_DT!K$16</f>
        <v>2083.3425397972469</v>
      </c>
      <c r="U87" s="28">
        <f>((Scenario_DT!L$11*(IF(Scenario_DT!L$18=1,1,1+$M87/Scenario_DT!$C$19)*(1+$N87)^MAX(0,Scenario_DT!L$18-3))*(Scenario_DT!L$12+$O87)-Scenario_DT!L$13)*(1-Scenario_DT!L$14)+Scenario_DT!L$13-Scenario_DT!L$15)*Scenario_DT!L$16</f>
        <v>2472.6605163825802</v>
      </c>
      <c r="V87" s="28">
        <f>((Scenario_DT!M$11*(IF(Scenario_DT!M$18=1,1,1+$M87/Scenario_DT!$C$19)*(1+$N87)^MAX(0,Scenario_DT!M$18-3))*(Scenario_DT!M$12+$O87)-Scenario_DT!M$13)*(1-Scenario_DT!M$14)+Scenario_DT!M$13-Scenario_DT!M$15)*Scenario_DT!M$16</f>
        <v>2584.1782606602137</v>
      </c>
      <c r="W87" s="28">
        <f>((Scenario_DT!N$11*(IF(Scenario_DT!N$18=1,1,1+$M87/Scenario_DT!$C$19)*(1+$N87)^MAX(0,Scenario_DT!N$18-3))*(Scenario_DT!N$12+$O87)-Scenario_DT!N$13)*(1-Scenario_DT!N$14)+Scenario_DT!N$13-Scenario_DT!N$15)*Scenario_DT!N$16</f>
        <v>2700.7112897050379</v>
      </c>
      <c r="X87" s="28">
        <f>((Scenario_DT!O$11*(IF(Scenario_DT!O$18=1,1,1+$M87/Scenario_DT!$C$19)*(1+$N87)^MAX(0,Scenario_DT!O$18-3))*(Scenario_DT!O$12+$O87)-Scenario_DT!O$13)*(1-Scenario_DT!O$14)+Scenario_DT!O$13-Scenario_DT!O$15)*Scenario_DT!O$16</f>
        <v>2822.4870656495427</v>
      </c>
      <c r="Y87" s="28">
        <f>((Scenario_DT!P$11*(IF(Scenario_DT!P$18=1,1,1+$M87/Scenario_DT!$C$19)*(1+$N87)^MAX(0,Scenario_DT!P$18-3))*(Scenario_DT!P$12+$O87)-Scenario_DT!P$13)*(1-Scenario_DT!P$14)+Scenario_DT!P$13-Scenario_DT!P$15)*Scenario_DT!P$16</f>
        <v>2949.7433866276374</v>
      </c>
      <c r="Z87" s="28">
        <f>((Scenario_DT!Q$11*(IF(Scenario_DT!Q$18=1,1,1+$M87/Scenario_DT!$C$19)*(1+$N87)^MAX(0,Scenario_DT!Q$18-3))*(Scenario_DT!Q$12+$O87)-Scenario_DT!Q$13)*(1-Scenario_DT!Q$14)+Scenario_DT!Q$13-Scenario_DT!Q$15)*Scenario_DT!Q$16</f>
        <v>3082.7288566673847</v>
      </c>
      <c r="AA87" s="28">
        <f>((Scenario_DT!R$11*(IF(Scenario_DT!R$18=1,1,1+$M87/Scenario_DT!$C$19)*(1+$N87)^MAX(0,Scenario_DT!R$18-3))*(Scenario_DT!R$12+$O87)-Scenario_DT!R$13)*(1-Scenario_DT!R$14)+Scenario_DT!R$13-Scenario_DT!R$15)*Scenario_DT!R$16</f>
        <v>3221.7033769491327</v>
      </c>
      <c r="AB87" s="17">
        <f>(Scenario_DT!$R$11*(1+$M87/Scenario_DT!$C$19)*(1+$N87)^7*(Scenario_DT!$R$12+$O87)*(1+MIN(DCF_FCFF!$C$26+$Q87,(DCF_FCFF!$C$25+$P87)-0.02))*(1-DCF_FCFF!$C$27)*(1-DCF_FCFF!$C$28)/((DCF_FCFF!$C$25+$P87)-MIN(DCF_FCFF!$C$26+$Q87,(DCF_FCFF!$C$25+$P87)-0.02)))*(1+(DCF_FCFF!$C$25+$P87))^(-(Inputs!$C$9+9))</f>
        <v>24384.924088754382</v>
      </c>
      <c r="AC87" s="17">
        <f>SUMPRODUCT(R87:AA87*(1+(DCF_FCFF!$C$25+$P87))^(-Scenario_DT!$I$17:$R$17))+AB87</f>
        <v>40076.199943052037</v>
      </c>
      <c r="AD87" s="68">
        <f>((AC87-DCF_FCFF!$C$48)*(1-DCF_FCFF!$C$50)+DCF_FCFF!$C$57+DCF_FCFF!$C$58)/DCF_FCFF!$C$60</f>
        <v>288.23773672044746</v>
      </c>
      <c r="AE87" s="6"/>
      <c r="AF87" s="6"/>
      <c r="AG87" s="6"/>
    </row>
    <row r="88" spans="1:33" x14ac:dyDescent="0.3">
      <c r="A88" s="6"/>
      <c r="B88" s="72">
        <v>57</v>
      </c>
      <c r="C88" s="73">
        <v>4.3475062012791901E-2</v>
      </c>
      <c r="D88" s="73">
        <v>0.181498409596524</v>
      </c>
      <c r="E88" s="73">
        <v>0.23674487110439599</v>
      </c>
      <c r="F88" s="73">
        <v>0.24938757583221199</v>
      </c>
      <c r="G88" s="73">
        <v>0.57123265174277305</v>
      </c>
      <c r="H88" s="15">
        <f t="shared" si="0"/>
        <v>-1.7117100043655815</v>
      </c>
      <c r="I88" s="15">
        <f t="shared" si="1"/>
        <v>-0.90966952766890119</v>
      </c>
      <c r="J88" s="15">
        <f t="shared" si="2"/>
        <v>-0.71681259002897613</v>
      </c>
      <c r="K88" s="15">
        <f t="shared" si="3"/>
        <v>-0.67641822128867279</v>
      </c>
      <c r="L88" s="15">
        <f t="shared" si="4"/>
        <v>0.17951327268166672</v>
      </c>
      <c r="M88" s="18">
        <f t="shared" si="5"/>
        <v>-3.423420008731163E-2</v>
      </c>
      <c r="N88" s="18">
        <f t="shared" si="6"/>
        <v>-1.3149215377541204E-2</v>
      </c>
      <c r="O88" s="18">
        <f t="shared" si="7"/>
        <v>-8.6017510803477141E-3</v>
      </c>
      <c r="P88" s="18">
        <f t="shared" si="8"/>
        <v>-4.0585093277320369E-3</v>
      </c>
      <c r="Q88" s="18">
        <f t="shared" si="9"/>
        <v>7.1805309072666692E-4</v>
      </c>
      <c r="R88" s="28">
        <f>((Scenario_DT!I$11*(IF(Scenario_DT!I$18=1,1,1+$M88/Scenario_DT!$C$19)*(1+$N88)^MAX(0,Scenario_DT!I$18-3))*(Scenario_DT!I$12+$O88)-Scenario_DT!I$13)*(1-Scenario_DT!I$14)+Scenario_DT!I$13-Scenario_DT!I$15)*Scenario_DT!I$16</f>
        <v>898.85699420087587</v>
      </c>
      <c r="S88" s="28">
        <f>((Scenario_DT!J$11*(IF(Scenario_DT!J$18=1,1,1+$M88/Scenario_DT!$C$19)*(1+$N88)^MAX(0,Scenario_DT!J$18-3))*(Scenario_DT!J$12+$O88)-Scenario_DT!J$13)*(1-Scenario_DT!J$14)+Scenario_DT!J$13-Scenario_DT!J$15)*Scenario_DT!J$16</f>
        <v>1724.1157101256672</v>
      </c>
      <c r="T88" s="28">
        <f>((Scenario_DT!K$11*(IF(Scenario_DT!K$18=1,1,1+$M88/Scenario_DT!$C$19)*(1+$N88)^MAX(0,Scenario_DT!K$18-3))*(Scenario_DT!K$12+$O88)-Scenario_DT!K$13)*(1-Scenario_DT!K$14)+Scenario_DT!K$13-Scenario_DT!K$15)*Scenario_DT!K$16</f>
        <v>1983.6205010197127</v>
      </c>
      <c r="U88" s="28">
        <f>((Scenario_DT!L$11*(IF(Scenario_DT!L$18=1,1,1+$M88/Scenario_DT!$C$19)*(1+$N88)^MAX(0,Scenario_DT!L$18-3))*(Scenario_DT!L$12+$O88)-Scenario_DT!L$13)*(1-Scenario_DT!L$14)+Scenario_DT!L$13-Scenario_DT!L$15)*Scenario_DT!L$16</f>
        <v>2346.1902641598872</v>
      </c>
      <c r="V88" s="28">
        <f>((Scenario_DT!M$11*(IF(Scenario_DT!M$18=1,1,1+$M88/Scenario_DT!$C$19)*(1+$N88)^MAX(0,Scenario_DT!M$18-3))*(Scenario_DT!M$12+$O88)-Scenario_DT!M$13)*(1-Scenario_DT!M$14)+Scenario_DT!M$13-Scenario_DT!M$15)*Scenario_DT!M$16</f>
        <v>2430.152272428099</v>
      </c>
      <c r="W88" s="28">
        <f>((Scenario_DT!N$11*(IF(Scenario_DT!N$18=1,1,1+$M88/Scenario_DT!$C$19)*(1+$N88)^MAX(0,Scenario_DT!N$18-3))*(Scenario_DT!N$12+$O88)-Scenario_DT!N$13)*(1-Scenario_DT!N$14)+Scenario_DT!N$13-Scenario_DT!N$15)*Scenario_DT!N$16</f>
        <v>2517.088478927727</v>
      </c>
      <c r="X88" s="28">
        <f>((Scenario_DT!O$11*(IF(Scenario_DT!O$18=1,1,1+$M88/Scenario_DT!$C$19)*(1+$N88)^MAX(0,Scenario_DT!O$18-3))*(Scenario_DT!O$12+$O88)-Scenario_DT!O$13)*(1-Scenario_DT!O$14)+Scenario_DT!O$13-Scenario_DT!O$15)*Scenario_DT!O$16</f>
        <v>2607.105061383998</v>
      </c>
      <c r="Y88" s="28">
        <f>((Scenario_DT!P$11*(IF(Scenario_DT!P$18=1,1,1+$M88/Scenario_DT!$C$19)*(1+$N88)^MAX(0,Scenario_DT!P$18-3))*(Scenario_DT!P$12+$O88)-Scenario_DT!P$13)*(1-Scenario_DT!P$14)+Scenario_DT!P$13-Scenario_DT!P$15)*Scenario_DT!P$16</f>
        <v>2700.3119902871226</v>
      </c>
      <c r="Z88" s="28">
        <f>((Scenario_DT!Q$11*(IF(Scenario_DT!Q$18=1,1,1+$M88/Scenario_DT!$C$19)*(1+$N88)^MAX(0,Scenario_DT!Q$18-3))*(Scenario_DT!Q$12+$O88)-Scenario_DT!Q$13)*(1-Scenario_DT!Q$14)+Scenario_DT!Q$13-Scenario_DT!Q$15)*Scenario_DT!Q$16</f>
        <v>2796.823164142183</v>
      </c>
      <c r="AA88" s="28">
        <f>((Scenario_DT!R$11*(IF(Scenario_DT!R$18=1,1,1+$M88/Scenario_DT!$C$19)*(1+$N88)^MAX(0,Scenario_DT!R$18-3))*(Scenario_DT!R$12+$O88)-Scenario_DT!R$13)*(1-Scenario_DT!R$14)+Scenario_DT!R$13-Scenario_DT!R$15)*Scenario_DT!R$16</f>
        <v>2896.7565495292006</v>
      </c>
      <c r="AB88" s="17">
        <f>(Scenario_DT!$R$11*(1+$M88/Scenario_DT!$C$19)*(1+$N88)^7*(Scenario_DT!$R$12+$O88)*(1+MIN(DCF_FCFF!$C$26+$Q88,(DCF_FCFF!$C$25+$P88)-0.02))*(1-DCF_FCFF!$C$27)*(1-DCF_FCFF!$C$28)/((DCF_FCFF!$C$25+$P88)-MIN(DCF_FCFF!$C$26+$Q88,(DCF_FCFF!$C$25+$P88)-0.02)))*(1+(DCF_FCFF!$C$25+$P88))^(-(Inputs!$C$9+9))</f>
        <v>28018.238189654072</v>
      </c>
      <c r="AC88" s="17">
        <f>SUMPRODUCT(R88:AA88*(1+(DCF_FCFF!$C$25+$P88))^(-Scenario_DT!$I$17:$R$17))+AB88</f>
        <v>43355.987014896586</v>
      </c>
      <c r="AD88" s="68">
        <f>((AC88-DCF_FCFF!$C$48)*(1-DCF_FCFF!$C$50)+DCF_FCFF!$C$57+DCF_FCFF!$C$58)/DCF_FCFF!$C$60</f>
        <v>319.719653463545</v>
      </c>
      <c r="AE88" s="6"/>
      <c r="AF88" s="6"/>
      <c r="AG88" s="6"/>
    </row>
    <row r="89" spans="1:33" x14ac:dyDescent="0.3">
      <c r="A89" s="6"/>
      <c r="B89" s="72">
        <v>58</v>
      </c>
      <c r="C89" s="73">
        <v>0.416262425703192</v>
      </c>
      <c r="D89" s="73">
        <v>4.9254119927594001E-2</v>
      </c>
      <c r="E89" s="73">
        <v>0.37361413845957198</v>
      </c>
      <c r="F89" s="73">
        <v>0.523752948717637</v>
      </c>
      <c r="G89" s="73">
        <v>0.101671902903716</v>
      </c>
      <c r="H89" s="15">
        <f t="shared" si="0"/>
        <v>-0.21146447350133815</v>
      </c>
      <c r="I89" s="15">
        <f t="shared" si="1"/>
        <v>-1.6521290805713915</v>
      </c>
      <c r="J89" s="15">
        <f t="shared" si="2"/>
        <v>-0.3222962458382278</v>
      </c>
      <c r="K89" s="15">
        <f t="shared" si="3"/>
        <v>5.9575034575487129E-2</v>
      </c>
      <c r="L89" s="15">
        <f t="shared" si="4"/>
        <v>-1.2720825069629367</v>
      </c>
      <c r="M89" s="18">
        <f t="shared" si="5"/>
        <v>-4.229289470026763E-3</v>
      </c>
      <c r="N89" s="18">
        <f t="shared" si="6"/>
        <v>-1.2292143926852173E-2</v>
      </c>
      <c r="O89" s="18">
        <f t="shared" si="7"/>
        <v>-3.8675549500587336E-3</v>
      </c>
      <c r="P89" s="18">
        <f t="shared" si="8"/>
        <v>3.5745020745292278E-4</v>
      </c>
      <c r="Q89" s="18">
        <f t="shared" si="9"/>
        <v>-5.0883300278517472E-3</v>
      </c>
      <c r="R89" s="28">
        <f>((Scenario_DT!I$11*(IF(Scenario_DT!I$18=1,1,1+$M89/Scenario_DT!$C$19)*(1+$N89)^MAX(0,Scenario_DT!I$18-3))*(Scenario_DT!I$12+$O89)-Scenario_DT!I$13)*(1-Scenario_DT!I$14)+Scenario_DT!I$13-Scenario_DT!I$15)*Scenario_DT!I$16</f>
        <v>905.53170126723262</v>
      </c>
      <c r="S89" s="28">
        <f>((Scenario_DT!J$11*(IF(Scenario_DT!J$18=1,1,1+$M89/Scenario_DT!$C$19)*(1+$N89)^MAX(0,Scenario_DT!J$18-3))*(Scenario_DT!J$12+$O89)-Scenario_DT!J$13)*(1-Scenario_DT!J$14)+Scenario_DT!J$13-Scenario_DT!J$15)*Scenario_DT!J$16</f>
        <v>1809.8090451565408</v>
      </c>
      <c r="T89" s="28">
        <f>((Scenario_DT!K$11*(IF(Scenario_DT!K$18=1,1,1+$M89/Scenario_DT!$C$19)*(1+$N89)^MAX(0,Scenario_DT!K$18-3))*(Scenario_DT!K$12+$O89)-Scenario_DT!K$13)*(1-Scenario_DT!K$14)+Scenario_DT!K$13-Scenario_DT!K$15)*Scenario_DT!K$16</f>
        <v>2073.4470945694347</v>
      </c>
      <c r="U89" s="28">
        <f>((Scenario_DT!L$11*(IF(Scenario_DT!L$18=1,1,1+$M89/Scenario_DT!$C$19)*(1+$N89)^MAX(0,Scenario_DT!L$18-3))*(Scenario_DT!L$12+$O89)-Scenario_DT!L$13)*(1-Scenario_DT!L$14)+Scenario_DT!L$13-Scenario_DT!L$15)*Scenario_DT!L$16</f>
        <v>2442.4460062104781</v>
      </c>
      <c r="V89" s="28">
        <f>((Scenario_DT!M$11*(IF(Scenario_DT!M$18=1,1,1+$M89/Scenario_DT!$C$19)*(1+$N89)^MAX(0,Scenario_DT!M$18-3))*(Scenario_DT!M$12+$O89)-Scenario_DT!M$13)*(1-Scenario_DT!M$14)+Scenario_DT!M$13-Scenario_DT!M$15)*Scenario_DT!M$16</f>
        <v>2532.1050341285868</v>
      </c>
      <c r="W89" s="28">
        <f>((Scenario_DT!N$11*(IF(Scenario_DT!N$18=1,1,1+$M89/Scenario_DT!$C$19)*(1+$N89)^MAX(0,Scenario_DT!N$18-3))*(Scenario_DT!N$12+$O89)-Scenario_DT!N$13)*(1-Scenario_DT!N$14)+Scenario_DT!N$13-Scenario_DT!N$15)*Scenario_DT!N$16</f>
        <v>2625.0265492971148</v>
      </c>
      <c r="X89" s="28">
        <f>((Scenario_DT!O$11*(IF(Scenario_DT!O$18=1,1,1+$M89/Scenario_DT!$C$19)*(1+$N89)^MAX(0,Scenario_DT!O$18-3))*(Scenario_DT!O$12+$O89)-Scenario_DT!O$13)*(1-Scenario_DT!O$14)+Scenario_DT!O$13-Scenario_DT!O$15)*Scenario_DT!O$16</f>
        <v>2721.3302087472239</v>
      </c>
      <c r="Y89" s="28">
        <f>((Scenario_DT!P$11*(IF(Scenario_DT!P$18=1,1,1+$M89/Scenario_DT!$C$19)*(1+$N89)^MAX(0,Scenario_DT!P$18-3))*(Scenario_DT!P$12+$O89)-Scenario_DT!P$13)*(1-Scenario_DT!P$14)+Scenario_DT!P$13-Scenario_DT!P$15)*Scenario_DT!P$16</f>
        <v>2821.1400630911253</v>
      </c>
      <c r="Z89" s="28">
        <f>((Scenario_DT!Q$11*(IF(Scenario_DT!Q$18=1,1,1+$M89/Scenario_DT!$C$19)*(1+$N89)^MAX(0,Scenario_DT!Q$18-3))*(Scenario_DT!Q$12+$O89)-Scenario_DT!Q$13)*(1-Scenario_DT!Q$14)+Scenario_DT!Q$13-Scenario_DT!Q$15)*Scenario_DT!Q$16</f>
        <v>2924.5847177073706</v>
      </c>
      <c r="AA89" s="28">
        <f>((Scenario_DT!R$11*(IF(Scenario_DT!R$18=1,1,1+$M89/Scenario_DT!$C$19)*(1+$N89)^MAX(0,Scenario_DT!R$18-3))*(Scenario_DT!R$12+$O89)-Scenario_DT!R$13)*(1-Scenario_DT!R$14)+Scenario_DT!R$13-Scenario_DT!R$15)*Scenario_DT!R$16</f>
        <v>3031.7974998304262</v>
      </c>
      <c r="AB89" s="17">
        <f>(Scenario_DT!$R$11*(1+$M89/Scenario_DT!$C$19)*(1+$N89)^7*(Scenario_DT!$R$12+$O89)*(1+MIN(DCF_FCFF!$C$26+$Q89,(DCF_FCFF!$C$25+$P89)-0.02))*(1-DCF_FCFF!$C$27)*(1-DCF_FCFF!$C$28)/((DCF_FCFF!$C$25+$P89)-MIN(DCF_FCFF!$C$26+$Q89,(DCF_FCFF!$C$25+$P89)-0.02)))*(1+(DCF_FCFF!$C$25+$P89))^(-(Inputs!$C$9+9))</f>
        <v>22914.967675324107</v>
      </c>
      <c r="AC89" s="17">
        <f>SUMPRODUCT(R89:AA89*(1+(DCF_FCFF!$C$25+$P89))^(-Scenario_DT!$I$17:$R$17))+AB89</f>
        <v>38610.851975853308</v>
      </c>
      <c r="AD89" s="68">
        <f>((AC89-DCF_FCFF!$C$48)*(1-DCF_FCFF!$C$50)+DCF_FCFF!$C$57+DCF_FCFF!$C$58)/DCF_FCFF!$C$60</f>
        <v>274.17220085104935</v>
      </c>
      <c r="AE89" s="6"/>
      <c r="AF89" s="6"/>
      <c r="AG89" s="6"/>
    </row>
    <row r="90" spans="1:33" x14ac:dyDescent="0.3">
      <c r="A90" s="6"/>
      <c r="B90" s="72">
        <v>59</v>
      </c>
      <c r="C90" s="73">
        <v>0.83345855378856004</v>
      </c>
      <c r="D90" s="73">
        <v>5.1961866465104298E-2</v>
      </c>
      <c r="E90" s="73">
        <v>0.92484186901806198</v>
      </c>
      <c r="F90" s="73">
        <v>9.9113141579875497E-2</v>
      </c>
      <c r="G90" s="73">
        <v>0.84357495159775298</v>
      </c>
      <c r="H90" s="15">
        <f t="shared" si="0"/>
        <v>0.96792286830507224</v>
      </c>
      <c r="I90" s="15">
        <f t="shared" si="1"/>
        <v>-1.626121867826005</v>
      </c>
      <c r="J90" s="15">
        <f t="shared" si="2"/>
        <v>1.4384152720430436</v>
      </c>
      <c r="K90" s="15">
        <f t="shared" si="3"/>
        <v>-1.2866213938692088</v>
      </c>
      <c r="L90" s="15">
        <f t="shared" si="4"/>
        <v>1.009259710827505</v>
      </c>
      <c r="M90" s="18">
        <f t="shared" si="5"/>
        <v>1.9358457366101447E-2</v>
      </c>
      <c r="N90" s="18">
        <f t="shared" si="6"/>
        <v>-7.3944113042734841E-3</v>
      </c>
      <c r="O90" s="18">
        <f t="shared" si="7"/>
        <v>1.7260983264516524E-2</v>
      </c>
      <c r="P90" s="18">
        <f t="shared" si="8"/>
        <v>-7.7197283632152534E-3</v>
      </c>
      <c r="Q90" s="18">
        <f t="shared" si="9"/>
        <v>4.0370388433100196E-3</v>
      </c>
      <c r="R90" s="28">
        <f>((Scenario_DT!I$11*(IF(Scenario_DT!I$18=1,1,1+$M90/Scenario_DT!$C$19)*(1+$N90)^MAX(0,Scenario_DT!I$18-3))*(Scenario_DT!I$12+$O90)-Scenario_DT!I$13)*(1-Scenario_DT!I$14)+Scenario_DT!I$13-Scenario_DT!I$15)*Scenario_DT!I$16</f>
        <v>935.32066637164405</v>
      </c>
      <c r="S90" s="28">
        <f>((Scenario_DT!J$11*(IF(Scenario_DT!J$18=1,1,1+$M90/Scenario_DT!$C$19)*(1+$N90)^MAX(0,Scenario_DT!J$18-3))*(Scenario_DT!J$12+$O90)-Scenario_DT!J$13)*(1-Scenario_DT!J$14)+Scenario_DT!J$13-Scenario_DT!J$15)*Scenario_DT!J$16</f>
        <v>1933.0428897153406</v>
      </c>
      <c r="T90" s="28">
        <f>((Scenario_DT!K$11*(IF(Scenario_DT!K$18=1,1,1+$M90/Scenario_DT!$C$19)*(1+$N90)^MAX(0,Scenario_DT!K$18-3))*(Scenario_DT!K$12+$O90)-Scenario_DT!K$13)*(1-Scenario_DT!K$14)+Scenario_DT!K$13-Scenario_DT!K$15)*Scenario_DT!K$16</f>
        <v>2201.9597588609645</v>
      </c>
      <c r="U90" s="28">
        <f>((Scenario_DT!L$11*(IF(Scenario_DT!L$18=1,1,1+$M90/Scenario_DT!$C$19)*(1+$N90)^MAX(0,Scenario_DT!L$18-3))*(Scenario_DT!L$12+$O90)-Scenario_DT!L$13)*(1-Scenario_DT!L$14)+Scenario_DT!L$13-Scenario_DT!L$15)*Scenario_DT!L$16</f>
        <v>2590.0838189559859</v>
      </c>
      <c r="V90" s="28">
        <f>((Scenario_DT!M$11*(IF(Scenario_DT!M$18=1,1,1+$M90/Scenario_DT!$C$19)*(1+$N90)^MAX(0,Scenario_DT!M$18-3))*(Scenario_DT!M$12+$O90)-Scenario_DT!M$13)*(1-Scenario_DT!M$14)+Scenario_DT!M$13-Scenario_DT!M$15)*Scenario_DT!M$16</f>
        <v>2698.6258090016581</v>
      </c>
      <c r="W90" s="28">
        <f>((Scenario_DT!N$11*(IF(Scenario_DT!N$18=1,1,1+$M90/Scenario_DT!$C$19)*(1+$N90)^MAX(0,Scenario_DT!N$18-3))*(Scenario_DT!N$12+$O90)-Scenario_DT!N$13)*(1-Scenario_DT!N$14)+Scenario_DT!N$13-Scenario_DT!N$15)*Scenario_DT!N$16</f>
        <v>2811.6969559320346</v>
      </c>
      <c r="X90" s="28">
        <f>((Scenario_DT!O$11*(IF(Scenario_DT!O$18=1,1,1+$M90/Scenario_DT!$C$19)*(1+$N90)^MAX(0,Scenario_DT!O$18-3))*(Scenario_DT!O$12+$O90)-Scenario_DT!O$13)*(1-Scenario_DT!O$14)+Scenario_DT!O$13-Scenario_DT!O$15)*Scenario_DT!O$16</f>
        <v>2929.4878172753156</v>
      </c>
      <c r="Y90" s="28">
        <f>((Scenario_DT!P$11*(IF(Scenario_DT!P$18=1,1,1+$M90/Scenario_DT!$C$19)*(1+$N90)^MAX(0,Scenario_DT!P$18-3))*(Scenario_DT!P$12+$O90)-Scenario_DT!P$13)*(1-Scenario_DT!P$14)+Scenario_DT!P$13-Scenario_DT!P$15)*Scenario_DT!P$16</f>
        <v>3052.1969841668756</v>
      </c>
      <c r="Z90" s="28">
        <f>((Scenario_DT!Q$11*(IF(Scenario_DT!Q$18=1,1,1+$M90/Scenario_DT!$C$19)*(1+$N90)^MAX(0,Scenario_DT!Q$18-3))*(Scenario_DT!Q$12+$O90)-Scenario_DT!Q$13)*(1-Scenario_DT!Q$14)+Scenario_DT!Q$13-Scenario_DT!Q$15)*Scenario_DT!Q$16</f>
        <v>3180.0314202172422</v>
      </c>
      <c r="AA90" s="28">
        <f>((Scenario_DT!R$11*(IF(Scenario_DT!R$18=1,1,1+$M90/Scenario_DT!$C$19)*(1+$N90)^MAX(0,Scenario_DT!R$18-3))*(Scenario_DT!R$12+$O90)-Scenario_DT!R$13)*(1-Scenario_DT!R$14)+Scenario_DT!R$13-Scenario_DT!R$15)*Scenario_DT!R$16</f>
        <v>3313.2068146770712</v>
      </c>
      <c r="AB90" s="17">
        <f>(Scenario_DT!$R$11*(1+$M90/Scenario_DT!$C$19)*(1+$N90)^7*(Scenario_DT!$R$12+$O90)*(1+MIN(DCF_FCFF!$C$26+$Q90,(DCF_FCFF!$C$25+$P90)-0.02))*(1-DCF_FCFF!$C$27)*(1-DCF_FCFF!$C$28)/((DCF_FCFF!$C$25+$P90)-MIN(DCF_FCFF!$C$26+$Q90,(DCF_FCFF!$C$25+$P90)-0.02)))*(1+(DCF_FCFF!$C$25+$P90))^(-(Inputs!$C$9+9))</f>
        <v>39141.595880701032</v>
      </c>
      <c r="AC90" s="17">
        <f>SUMPRODUCT(R90:AA90*(1+(DCF_FCFF!$C$25+$P90))^(-Scenario_DT!$I$17:$R$17))+AB90</f>
        <v>56530.473821755702</v>
      </c>
      <c r="AD90" s="68">
        <f>((AC90-DCF_FCFF!$C$48)*(1-DCF_FCFF!$C$50)+DCF_FCFF!$C$57+DCF_FCFF!$C$58)/DCF_FCFF!$C$60</f>
        <v>446.17850207206646</v>
      </c>
      <c r="AE90" s="6"/>
      <c r="AF90" s="6"/>
      <c r="AG90" s="6"/>
    </row>
    <row r="91" spans="1:33" x14ac:dyDescent="0.3">
      <c r="A91" s="6"/>
      <c r="B91" s="72">
        <v>60</v>
      </c>
      <c r="C91" s="73">
        <v>0.90265314392761697</v>
      </c>
      <c r="D91" s="73">
        <v>0.97957068058659302</v>
      </c>
      <c r="E91" s="73">
        <v>0.80202588027359401</v>
      </c>
      <c r="F91" s="73">
        <v>0.77947754077132902</v>
      </c>
      <c r="G91" s="73">
        <v>0.642483275995548</v>
      </c>
      <c r="H91" s="15">
        <f t="shared" si="0"/>
        <v>1.2968183012596461</v>
      </c>
      <c r="I91" s="15">
        <f t="shared" si="1"/>
        <v>2.0449616528746706</v>
      </c>
      <c r="J91" s="15">
        <f t="shared" si="2"/>
        <v>0.84887969326076895</v>
      </c>
      <c r="K91" s="15">
        <f t="shared" si="3"/>
        <v>0.77042990719781834</v>
      </c>
      <c r="L91" s="15">
        <f t="shared" si="4"/>
        <v>0.36510443826973182</v>
      </c>
      <c r="M91" s="18">
        <f t="shared" si="5"/>
        <v>2.5936366025192923E-2</v>
      </c>
      <c r="N91" s="18">
        <f t="shared" si="6"/>
        <v>1.9355183134274419E-2</v>
      </c>
      <c r="O91" s="18">
        <f t="shared" si="7"/>
        <v>1.0186556319129228E-2</v>
      </c>
      <c r="P91" s="18">
        <f t="shared" si="8"/>
        <v>4.6225794431869098E-3</v>
      </c>
      <c r="Q91" s="18">
        <f t="shared" si="9"/>
        <v>1.4604177530789272E-3</v>
      </c>
      <c r="R91" s="28">
        <f>((Scenario_DT!I$11*(IF(Scenario_DT!I$18=1,1,1+$M91/Scenario_DT!$C$19)*(1+$N91)^MAX(0,Scenario_DT!I$18-3))*(Scenario_DT!I$12+$O91)-Scenario_DT!I$13)*(1-Scenario_DT!I$14)+Scenario_DT!I$13-Scenario_DT!I$15)*Scenario_DT!I$16</f>
        <v>925.34648570331569</v>
      </c>
      <c r="S91" s="28">
        <f>((Scenario_DT!J$11*(IF(Scenario_DT!J$18=1,1,1+$M91/Scenario_DT!$C$19)*(1+$N91)^MAX(0,Scenario_DT!J$18-3))*(Scenario_DT!J$12+$O91)-Scenario_DT!J$13)*(1-Scenario_DT!J$14)+Scenario_DT!J$13-Scenario_DT!J$15)*Scenario_DT!J$16</f>
        <v>1926.5888290418879</v>
      </c>
      <c r="T91" s="28">
        <f>((Scenario_DT!K$11*(IF(Scenario_DT!K$18=1,1,1+$M91/Scenario_DT!$C$19)*(1+$N91)^MAX(0,Scenario_DT!K$18-3))*(Scenario_DT!K$12+$O91)-Scenario_DT!K$13)*(1-Scenario_DT!K$14)+Scenario_DT!K$13-Scenario_DT!K$15)*Scenario_DT!K$16</f>
        <v>2195.4948990478947</v>
      </c>
      <c r="U91" s="28">
        <f>((Scenario_DT!L$11*(IF(Scenario_DT!L$18=1,1,1+$M91/Scenario_DT!$C$19)*(1+$N91)^MAX(0,Scenario_DT!L$18-3))*(Scenario_DT!L$12+$O91)-Scenario_DT!L$13)*(1-Scenario_DT!L$14)+Scenario_DT!L$13-Scenario_DT!L$15)*Scenario_DT!L$16</f>
        <v>2653.3412998615859</v>
      </c>
      <c r="V91" s="28">
        <f>((Scenario_DT!M$11*(IF(Scenario_DT!M$18=1,1,1+$M91/Scenario_DT!$C$19)*(1+$N91)^MAX(0,Scenario_DT!M$18-3))*(Scenario_DT!M$12+$O91)-Scenario_DT!M$13)*(1-Scenario_DT!M$14)+Scenario_DT!M$13-Scenario_DT!M$15)*Scenario_DT!M$16</f>
        <v>2839.5535843803668</v>
      </c>
      <c r="W91" s="28">
        <f>((Scenario_DT!N$11*(IF(Scenario_DT!N$18=1,1,1+$M91/Scenario_DT!$C$19)*(1+$N91)^MAX(0,Scenario_DT!N$18-3))*(Scenario_DT!N$12+$O91)-Scenario_DT!N$13)*(1-Scenario_DT!N$14)+Scenario_DT!N$13-Scenario_DT!N$15)*Scenario_DT!N$16</f>
        <v>3038.8496174952074</v>
      </c>
      <c r="X91" s="28">
        <f>((Scenario_DT!O$11*(IF(Scenario_DT!O$18=1,1,1+$M91/Scenario_DT!$C$19)*(1+$N91)^MAX(0,Scenario_DT!O$18-3))*(Scenario_DT!O$12+$O91)-Scenario_DT!O$13)*(1-Scenario_DT!O$14)+Scenario_DT!O$13-Scenario_DT!O$15)*Scenario_DT!O$16</f>
        <v>3252.1521589356844</v>
      </c>
      <c r="Y91" s="28">
        <f>((Scenario_DT!P$11*(IF(Scenario_DT!P$18=1,1,1+$M91/Scenario_DT!$C$19)*(1+$N91)^MAX(0,Scenario_DT!P$18-3))*(Scenario_DT!P$12+$O91)-Scenario_DT!P$13)*(1-Scenario_DT!P$14)+Scenario_DT!P$13-Scenario_DT!P$15)*Scenario_DT!P$16</f>
        <v>3480.4490094223252</v>
      </c>
      <c r="Z91" s="28">
        <f>((Scenario_DT!Q$11*(IF(Scenario_DT!Q$18=1,1,1+$M91/Scenario_DT!$C$19)*(1+$N91)^MAX(0,Scenario_DT!Q$18-3))*(Scenario_DT!Q$12+$O91)-Scenario_DT!Q$13)*(1-Scenario_DT!Q$14)+Scenario_DT!Q$13-Scenario_DT!Q$15)*Scenario_DT!Q$16</f>
        <v>3724.7975914671474</v>
      </c>
      <c r="AA91" s="28">
        <f>((Scenario_DT!R$11*(IF(Scenario_DT!R$18=1,1,1+$M91/Scenario_DT!$C$19)*(1+$N91)^MAX(0,Scenario_DT!R$18-3))*(Scenario_DT!R$12+$O91)-Scenario_DT!R$13)*(1-Scenario_DT!R$14)+Scenario_DT!R$13-Scenario_DT!R$15)*Scenario_DT!R$16</f>
        <v>3986.3298526175618</v>
      </c>
      <c r="AB91" s="17">
        <f>(Scenario_DT!$R$11*(1+$M91/Scenario_DT!$C$19)*(1+$N91)^7*(Scenario_DT!$R$12+$O91)*(1+MIN(DCF_FCFF!$C$26+$Q91,(DCF_FCFF!$C$25+$P91)-0.02))*(1-DCF_FCFF!$C$27)*(1-DCF_FCFF!$C$28)/((DCF_FCFF!$C$25+$P91)-MIN(DCF_FCFF!$C$26+$Q91,(DCF_FCFF!$C$25+$P91)-0.02)))*(1+(DCF_FCFF!$C$25+$P91))^(-(Inputs!$C$9+9))</f>
        <v>30398.525556134315</v>
      </c>
      <c r="AC91" s="17">
        <f>SUMPRODUCT(R91:AA91*(1+(DCF_FCFF!$C$25+$P91))^(-Scenario_DT!$I$17:$R$17))+AB91</f>
        <v>48157.649767632698</v>
      </c>
      <c r="AD91" s="68">
        <f>((AC91-DCF_FCFF!$C$48)*(1-DCF_FCFF!$C$50)+DCF_FCFF!$C$57+DCF_FCFF!$C$58)/DCF_FCFF!$C$60</f>
        <v>365.8097025120814</v>
      </c>
      <c r="AE91" s="6"/>
      <c r="AF91" s="6"/>
      <c r="AG91" s="6"/>
    </row>
    <row r="92" spans="1:33" x14ac:dyDescent="0.3">
      <c r="A92" s="6"/>
      <c r="B92" s="72">
        <v>61</v>
      </c>
      <c r="C92" s="73">
        <v>0.77899635457812899</v>
      </c>
      <c r="D92" s="73">
        <v>0.134552208413147</v>
      </c>
      <c r="E92" s="73">
        <v>0.53606803594763697</v>
      </c>
      <c r="F92" s="73">
        <v>0.51422287019041502</v>
      </c>
      <c r="G92" s="73">
        <v>0.857572144122558</v>
      </c>
      <c r="H92" s="15">
        <f t="shared" si="0"/>
        <v>0.76880801374896868</v>
      </c>
      <c r="I92" s="15">
        <f t="shared" si="1"/>
        <v>-1.105127336764907</v>
      </c>
      <c r="J92" s="15">
        <f t="shared" si="2"/>
        <v>9.0532676957234201E-2</v>
      </c>
      <c r="K92" s="15">
        <f t="shared" si="3"/>
        <v>3.5659004245662387E-2</v>
      </c>
      <c r="L92" s="15">
        <f t="shared" si="4"/>
        <v>1.0694749472992298</v>
      </c>
      <c r="M92" s="18">
        <f t="shared" si="5"/>
        <v>1.5376160274979374E-2</v>
      </c>
      <c r="N92" s="18">
        <f t="shared" si="6"/>
        <v>-4.5813147294445251E-3</v>
      </c>
      <c r="O92" s="18">
        <f t="shared" si="7"/>
        <v>1.0863921234868104E-3</v>
      </c>
      <c r="P92" s="18">
        <f t="shared" si="8"/>
        <v>2.1395402547397433E-4</v>
      </c>
      <c r="Q92" s="18">
        <f t="shared" si="9"/>
        <v>4.2778997891969196E-3</v>
      </c>
      <c r="R92" s="28">
        <f>((Scenario_DT!I$11*(IF(Scenario_DT!I$18=1,1,1+$M92/Scenario_DT!$C$19)*(1+$N92)^MAX(0,Scenario_DT!I$18-3))*(Scenario_DT!I$12+$O92)-Scenario_DT!I$13)*(1-Scenario_DT!I$14)+Scenario_DT!I$13-Scenario_DT!I$15)*Scenario_DT!I$16</f>
        <v>912.51623351476633</v>
      </c>
      <c r="S92" s="28">
        <f>((Scenario_DT!J$11*(IF(Scenario_DT!J$18=1,1,1+$M92/Scenario_DT!$C$19)*(1+$N92)^MAX(0,Scenario_DT!J$18-3))*(Scenario_DT!J$12+$O92)-Scenario_DT!J$13)*(1-Scenario_DT!J$14)+Scenario_DT!J$13-Scenario_DT!J$15)*Scenario_DT!J$16</f>
        <v>1872.1854245455193</v>
      </c>
      <c r="T92" s="28">
        <f>((Scenario_DT!K$11*(IF(Scenario_DT!K$18=1,1,1+$M92/Scenario_DT!$C$19)*(1+$N92)^MAX(0,Scenario_DT!K$18-3))*(Scenario_DT!K$12+$O92)-Scenario_DT!K$13)*(1-Scenario_DT!K$14)+Scenario_DT!K$13-Scenario_DT!K$15)*Scenario_DT!K$16</f>
        <v>2138.7560816169289</v>
      </c>
      <c r="U92" s="28">
        <f>((Scenario_DT!L$11*(IF(Scenario_DT!L$18=1,1,1+$M92/Scenario_DT!$C$19)*(1+$N92)^MAX(0,Scenario_DT!L$18-3))*(Scenario_DT!L$12+$O92)-Scenario_DT!L$13)*(1-Scenario_DT!L$14)+Scenario_DT!L$13-Scenario_DT!L$15)*Scenario_DT!L$16</f>
        <v>2530.6713086836635</v>
      </c>
      <c r="V92" s="28">
        <f>((Scenario_DT!M$11*(IF(Scenario_DT!M$18=1,1,1+$M92/Scenario_DT!$C$19)*(1+$N92)^MAX(0,Scenario_DT!M$18-3))*(Scenario_DT!M$12+$O92)-Scenario_DT!M$13)*(1-Scenario_DT!M$14)+Scenario_DT!M$13-Scenario_DT!M$15)*Scenario_DT!M$16</f>
        <v>2644.2287779088715</v>
      </c>
      <c r="W92" s="28">
        <f>((Scenario_DT!N$11*(IF(Scenario_DT!N$18=1,1,1+$M92/Scenario_DT!$C$19)*(1+$N92)^MAX(0,Scenario_DT!N$18-3))*(Scenario_DT!N$12+$O92)-Scenario_DT!N$13)*(1-Scenario_DT!N$14)+Scenario_DT!N$13-Scenario_DT!N$15)*Scenario_DT!N$16</f>
        <v>2762.8672808043216</v>
      </c>
      <c r="X92" s="28">
        <f>((Scenario_DT!O$11*(IF(Scenario_DT!O$18=1,1,1+$M92/Scenario_DT!$C$19)*(1+$N92)^MAX(0,Scenario_DT!O$18-3))*(Scenario_DT!O$12+$O92)-Scenario_DT!O$13)*(1-Scenario_DT!O$14)+Scenario_DT!O$13-Scenario_DT!O$15)*Scenario_DT!O$16</f>
        <v>2886.8160503373479</v>
      </c>
      <c r="Y92" s="28">
        <f>((Scenario_DT!P$11*(IF(Scenario_DT!P$18=1,1,1+$M92/Scenario_DT!$C$19)*(1+$N92)^MAX(0,Scenario_DT!P$18-3))*(Scenario_DT!P$12+$O92)-Scenario_DT!P$13)*(1-Scenario_DT!P$14)+Scenario_DT!P$13-Scenario_DT!P$15)*Scenario_DT!P$16</f>
        <v>3016.3146809769619</v>
      </c>
      <c r="Z92" s="28">
        <f>((Scenario_DT!Q$11*(IF(Scenario_DT!Q$18=1,1,1+$M92/Scenario_DT!$C$19)*(1+$N92)^MAX(0,Scenario_DT!Q$18-3))*(Scenario_DT!Q$12+$O92)-Scenario_DT!Q$13)*(1-Scenario_DT!Q$14)+Scenario_DT!Q$13-Scenario_DT!Q$15)*Scenario_DT!Q$16</f>
        <v>3151.6135972623224</v>
      </c>
      <c r="AA92" s="28">
        <f>((Scenario_DT!R$11*(IF(Scenario_DT!R$18=1,1,1+$M92/Scenario_DT!$C$19)*(1+$N92)^MAX(0,Scenario_DT!R$18-3))*(Scenario_DT!R$12+$O92)-Scenario_DT!R$13)*(1-Scenario_DT!R$14)+Scenario_DT!R$13-Scenario_DT!R$15)*Scenario_DT!R$16</f>
        <v>3292.9745435642512</v>
      </c>
      <c r="AB92" s="17">
        <f>(Scenario_DT!$R$11*(1+$M92/Scenario_DT!$C$19)*(1+$N92)^7*(Scenario_DT!$R$12+$O92)*(1+MIN(DCF_FCFF!$C$26+$Q92,(DCF_FCFF!$C$25+$P92)-0.02))*(1-DCF_FCFF!$C$27)*(1-DCF_FCFF!$C$28)/((DCF_FCFF!$C$25+$P92)-MIN(DCF_FCFF!$C$26+$Q92,(DCF_FCFF!$C$25+$P92)-0.02)))*(1+(DCF_FCFF!$C$25+$P92))^(-(Inputs!$C$9+9))</f>
        <v>30284.40767267111</v>
      </c>
      <c r="AC92" s="17">
        <f>SUMPRODUCT(R92:AA92*(1+(DCF_FCFF!$C$25+$P92))^(-Scenario_DT!$I$17:$R$17))+AB92</f>
        <v>46784.916918094241</v>
      </c>
      <c r="AD92" s="68">
        <f>((AC92-DCF_FCFF!$C$48)*(1-DCF_FCFF!$C$50)+DCF_FCFF!$C$57+DCF_FCFF!$C$58)/DCF_FCFF!$C$60</f>
        <v>352.6331577141961</v>
      </c>
      <c r="AE92" s="6"/>
      <c r="AF92" s="6"/>
      <c r="AG92" s="6"/>
    </row>
    <row r="93" spans="1:33" x14ac:dyDescent="0.3">
      <c r="A93" s="6"/>
      <c r="B93" s="72">
        <v>62</v>
      </c>
      <c r="C93" s="73">
        <v>0.46279936559351598</v>
      </c>
      <c r="D93" s="73">
        <v>0.38508949610035398</v>
      </c>
      <c r="E93" s="73">
        <v>0.63956327123710999</v>
      </c>
      <c r="F93" s="73">
        <v>0.26646331750084601</v>
      </c>
      <c r="G93" s="73">
        <v>0.13976841095395701</v>
      </c>
      <c r="H93" s="15">
        <f t="shared" si="0"/>
        <v>-9.3383710393275199E-2</v>
      </c>
      <c r="I93" s="15">
        <f t="shared" si="1"/>
        <v>-0.29214077456339616</v>
      </c>
      <c r="J93" s="15">
        <f t="shared" si="2"/>
        <v>0.35729168049546128</v>
      </c>
      <c r="K93" s="15">
        <f t="shared" si="3"/>
        <v>-0.62354470393854255</v>
      </c>
      <c r="L93" s="15">
        <f t="shared" si="4"/>
        <v>-1.0813604171508446</v>
      </c>
      <c r="M93" s="18">
        <f t="shared" si="5"/>
        <v>-1.867674207865504E-3</v>
      </c>
      <c r="N93" s="18">
        <f t="shared" si="6"/>
        <v>-2.3975454995984113E-3</v>
      </c>
      <c r="O93" s="18">
        <f t="shared" si="7"/>
        <v>4.2875001659455356E-3</v>
      </c>
      <c r="P93" s="18">
        <f t="shared" si="8"/>
        <v>-3.7412682236312553E-3</v>
      </c>
      <c r="Q93" s="18">
        <f t="shared" si="9"/>
        <v>-4.3254416686033786E-3</v>
      </c>
      <c r="R93" s="28">
        <f>((Scenario_DT!I$11*(IF(Scenario_DT!I$18=1,1,1+$M93/Scenario_DT!$C$19)*(1+$N93)^MAX(0,Scenario_DT!I$18-3))*(Scenario_DT!I$12+$O93)-Scenario_DT!I$13)*(1-Scenario_DT!I$14)+Scenario_DT!I$13-Scenario_DT!I$15)*Scenario_DT!I$16</f>
        <v>917.02945136277026</v>
      </c>
      <c r="S93" s="28">
        <f>((Scenario_DT!J$11*(IF(Scenario_DT!J$18=1,1,1+$M93/Scenario_DT!$C$19)*(1+$N93)^MAX(0,Scenario_DT!J$18-3))*(Scenario_DT!J$12+$O93)-Scenario_DT!J$13)*(1-Scenario_DT!J$14)+Scenario_DT!J$13-Scenario_DT!J$15)*Scenario_DT!J$16</f>
        <v>1840.7312610237486</v>
      </c>
      <c r="T93" s="28">
        <f>((Scenario_DT!K$11*(IF(Scenario_DT!K$18=1,1,1+$M93/Scenario_DT!$C$19)*(1+$N93)^MAX(0,Scenario_DT!K$18-3))*(Scenario_DT!K$12+$O93)-Scenario_DT!K$13)*(1-Scenario_DT!K$14)+Scenario_DT!K$13-Scenario_DT!K$15)*Scenario_DT!K$16</f>
        <v>2105.5729401193976</v>
      </c>
      <c r="U93" s="28">
        <f>((Scenario_DT!L$11*(IF(Scenario_DT!L$18=1,1,1+$M93/Scenario_DT!$C$19)*(1+$N93)^MAX(0,Scenario_DT!L$18-3))*(Scenario_DT!L$12+$O93)-Scenario_DT!L$13)*(1-Scenario_DT!L$14)+Scenario_DT!L$13-Scenario_DT!L$15)*Scenario_DT!L$16</f>
        <v>2501.1115416022999</v>
      </c>
      <c r="V93" s="28">
        <f>((Scenario_DT!M$11*(IF(Scenario_DT!M$18=1,1,1+$M93/Scenario_DT!$C$19)*(1+$N93)^MAX(0,Scenario_DT!M$18-3))*(Scenario_DT!M$12+$O93)-Scenario_DT!M$13)*(1-Scenario_DT!M$14)+Scenario_DT!M$13-Scenario_DT!M$15)*Scenario_DT!M$16</f>
        <v>2619.1068525302994</v>
      </c>
      <c r="W93" s="28">
        <f>((Scenario_DT!N$11*(IF(Scenario_DT!N$18=1,1,1+$M93/Scenario_DT!$C$19)*(1+$N93)^MAX(0,Scenario_DT!N$18-3))*(Scenario_DT!N$12+$O93)-Scenario_DT!N$13)*(1-Scenario_DT!N$14)+Scenario_DT!N$13-Scenario_DT!N$15)*Scenario_DT!N$16</f>
        <v>2742.6578886395869</v>
      </c>
      <c r="X93" s="28">
        <f>((Scenario_DT!O$11*(IF(Scenario_DT!O$18=1,1,1+$M93/Scenario_DT!$C$19)*(1+$N93)^MAX(0,Scenario_DT!O$18-3))*(Scenario_DT!O$12+$O93)-Scenario_DT!O$13)*(1-Scenario_DT!O$14)+Scenario_DT!O$13-Scenario_DT!O$15)*Scenario_DT!O$16</f>
        <v>2872.0283512386882</v>
      </c>
      <c r="Y93" s="28">
        <f>((Scenario_DT!P$11*(IF(Scenario_DT!P$18=1,1,1+$M93/Scenario_DT!$C$19)*(1+$N93)^MAX(0,Scenario_DT!P$18-3))*(Scenario_DT!P$12+$O93)-Scenario_DT!P$13)*(1-Scenario_DT!P$14)+Scenario_DT!P$13-Scenario_DT!P$15)*Scenario_DT!P$16</f>
        <v>3007.4944788398257</v>
      </c>
      <c r="Z93" s="28">
        <f>((Scenario_DT!Q$11*(IF(Scenario_DT!Q$18=1,1,1+$M93/Scenario_DT!$C$19)*(1+$N93)^MAX(0,Scenario_DT!Q$18-3))*(Scenario_DT!Q$12+$O93)-Scenario_DT!Q$13)*(1-Scenario_DT!Q$14)+Scenario_DT!Q$13-Scenario_DT!Q$15)*Scenario_DT!Q$16</f>
        <v>3149.3456433950728</v>
      </c>
      <c r="AA93" s="28">
        <f>((Scenario_DT!R$11*(IF(Scenario_DT!R$18=1,1,1+$M93/Scenario_DT!$C$19)*(1+$N93)^MAX(0,Scenario_DT!R$18-3))*(Scenario_DT!R$12+$O93)-Scenario_DT!R$13)*(1-Scenario_DT!R$14)+Scenario_DT!R$13-Scenario_DT!R$15)*Scenario_DT!R$16</f>
        <v>3297.8849748883681</v>
      </c>
      <c r="AB93" s="17">
        <f>(Scenario_DT!$R$11*(1+$M93/Scenario_DT!$C$19)*(1+$N93)^7*(Scenario_DT!$R$12+$O93)*(1+MIN(DCF_FCFF!$C$26+$Q93,(DCF_FCFF!$C$25+$P93)-0.02))*(1-DCF_FCFF!$C$27)*(1-DCF_FCFF!$C$28)/((DCF_FCFF!$C$25+$P93)-MIN(DCF_FCFF!$C$26+$Q93,(DCF_FCFF!$C$25+$P93)-0.02)))*(1+(DCF_FCFF!$C$25+$P93))^(-(Inputs!$C$9+9))</f>
        <v>28293.972946207698</v>
      </c>
      <c r="AC93" s="17">
        <f>SUMPRODUCT(R93:AA93*(1+(DCF_FCFF!$C$25+$P93))^(-Scenario_DT!$I$17:$R$17))+AB93</f>
        <v>44951.870393498568</v>
      </c>
      <c r="AD93" s="68">
        <f>((AC93-DCF_FCFF!$C$48)*(1-DCF_FCFF!$C$50)+DCF_FCFF!$C$57+DCF_FCFF!$C$58)/DCF_FCFF!$C$60</f>
        <v>335.03816852451968</v>
      </c>
      <c r="AE93" s="6"/>
      <c r="AF93" s="6"/>
      <c r="AG93" s="6"/>
    </row>
    <row r="94" spans="1:33" x14ac:dyDescent="0.3">
      <c r="A94" s="6"/>
      <c r="B94" s="72">
        <v>63</v>
      </c>
      <c r="C94" s="73">
        <v>0.47787727402374602</v>
      </c>
      <c r="D94" s="73">
        <v>0.41688936859488501</v>
      </c>
      <c r="E94" s="73">
        <v>0.232569940528874</v>
      </c>
      <c r="F94" s="73">
        <v>0.36751181011512801</v>
      </c>
      <c r="G94" s="73">
        <v>0.36639244982624702</v>
      </c>
      <c r="H94" s="15">
        <f t="shared" si="0"/>
        <v>-5.5481901753767361E-2</v>
      </c>
      <c r="I94" s="15">
        <f t="shared" si="1"/>
        <v>-0.20985770043918744</v>
      </c>
      <c r="J94" s="15">
        <f t="shared" si="2"/>
        <v>-0.73040955254950879</v>
      </c>
      <c r="K94" s="15">
        <f t="shared" si="3"/>
        <v>-0.33845063713221951</v>
      </c>
      <c r="L94" s="15">
        <f t="shared" si="4"/>
        <v>-0.34142334949662745</v>
      </c>
      <c r="M94" s="18">
        <f t="shared" si="5"/>
        <v>-1.1096380350753472E-3</v>
      </c>
      <c r="N94" s="18">
        <f t="shared" si="6"/>
        <v>-1.6758644050960381E-3</v>
      </c>
      <c r="O94" s="18">
        <f t="shared" si="7"/>
        <v>-8.7649146305941051E-3</v>
      </c>
      <c r="P94" s="18">
        <f t="shared" si="8"/>
        <v>-2.030703822793317E-3</v>
      </c>
      <c r="Q94" s="18">
        <f t="shared" si="9"/>
        <v>-1.3656933979865099E-3</v>
      </c>
      <c r="R94" s="28">
        <f>((Scenario_DT!I$11*(IF(Scenario_DT!I$18=1,1,1+$M94/Scenario_DT!$C$19)*(1+$N94)^MAX(0,Scenario_DT!I$18-3))*(Scenario_DT!I$12+$O94)-Scenario_DT!I$13)*(1-Scenario_DT!I$14)+Scenario_DT!I$13-Scenario_DT!I$15)*Scenario_DT!I$16</f>
        <v>898.62695115410941</v>
      </c>
      <c r="S94" s="28">
        <f>((Scenario_DT!J$11*(IF(Scenario_DT!J$18=1,1,1+$M94/Scenario_DT!$C$19)*(1+$N94)^MAX(0,Scenario_DT!J$18-3))*(Scenario_DT!J$12+$O94)-Scenario_DT!J$13)*(1-Scenario_DT!J$14)+Scenario_DT!J$13-Scenario_DT!J$15)*Scenario_DT!J$16</f>
        <v>1802.0429862691635</v>
      </c>
      <c r="T94" s="28">
        <f>((Scenario_DT!K$11*(IF(Scenario_DT!K$18=1,1,1+$M94/Scenario_DT!$C$19)*(1+$N94)^MAX(0,Scenario_DT!K$18-3))*(Scenario_DT!K$12+$O94)-Scenario_DT!K$13)*(1-Scenario_DT!K$14)+Scenario_DT!K$13-Scenario_DT!K$15)*Scenario_DT!K$16</f>
        <v>2065.5049874237716</v>
      </c>
      <c r="U94" s="28">
        <f>((Scenario_DT!L$11*(IF(Scenario_DT!L$18=1,1,1+$M94/Scenario_DT!$C$19)*(1+$N94)^MAX(0,Scenario_DT!L$18-3))*(Scenario_DT!L$12+$O94)-Scenario_DT!L$13)*(1-Scenario_DT!L$14)+Scenario_DT!L$13-Scenario_DT!L$15)*Scenario_DT!L$16</f>
        <v>2460.4611570440729</v>
      </c>
      <c r="V94" s="28">
        <f>((Scenario_DT!M$11*(IF(Scenario_DT!M$18=1,1,1+$M94/Scenario_DT!$C$19)*(1+$N94)^MAX(0,Scenario_DT!M$18-3))*(Scenario_DT!M$12+$O94)-Scenario_DT!M$13)*(1-Scenario_DT!M$14)+Scenario_DT!M$13-Scenario_DT!M$15)*Scenario_DT!M$16</f>
        <v>2578.4035218593826</v>
      </c>
      <c r="W94" s="28">
        <f>((Scenario_DT!N$11*(IF(Scenario_DT!N$18=1,1,1+$M94/Scenario_DT!$C$19)*(1+$N94)^MAX(0,Scenario_DT!N$18-3))*(Scenario_DT!N$12+$O94)-Scenario_DT!N$13)*(1-Scenario_DT!N$14)+Scenario_DT!N$13-Scenario_DT!N$15)*Scenario_DT!N$16</f>
        <v>2701.9896564858982</v>
      </c>
      <c r="X94" s="28">
        <f>((Scenario_DT!O$11*(IF(Scenario_DT!O$18=1,1,1+$M94/Scenario_DT!$C$19)*(1+$N94)^MAX(0,Scenario_DT!O$18-3))*(Scenario_DT!O$12+$O94)-Scenario_DT!O$13)*(1-Scenario_DT!O$14)+Scenario_DT!O$13-Scenario_DT!O$15)*Scenario_DT!O$16</f>
        <v>2831.491811398259</v>
      </c>
      <c r="Y94" s="28">
        <f>((Scenario_DT!P$11*(IF(Scenario_DT!P$18=1,1,1+$M94/Scenario_DT!$C$19)*(1+$N94)^MAX(0,Scenario_DT!P$18-3))*(Scenario_DT!P$12+$O94)-Scenario_DT!P$13)*(1-Scenario_DT!P$14)+Scenario_DT!P$13-Scenario_DT!P$15)*Scenario_DT!P$16</f>
        <v>2967.1953909530462</v>
      </c>
      <c r="Z94" s="28">
        <f>((Scenario_DT!Q$11*(IF(Scenario_DT!Q$18=1,1,1+$M94/Scenario_DT!$C$19)*(1+$N94)^MAX(0,Scenario_DT!Q$18-3))*(Scenario_DT!Q$12+$O94)-Scenario_DT!Q$13)*(1-Scenario_DT!Q$14)+Scenario_DT!Q$13-Scenario_DT!Q$15)*Scenario_DT!Q$16</f>
        <v>3109.3995890726624</v>
      </c>
      <c r="AA94" s="28">
        <f>((Scenario_DT!R$11*(IF(Scenario_DT!R$18=1,1,1+$M94/Scenario_DT!$C$19)*(1+$N94)^MAX(0,Scenario_DT!R$18-3))*(Scenario_DT!R$12+$O94)-Scenario_DT!R$13)*(1-Scenario_DT!R$14)+Scenario_DT!R$13-Scenario_DT!R$15)*Scenario_DT!R$16</f>
        <v>3258.418055648583</v>
      </c>
      <c r="AB94" s="17">
        <f>(Scenario_DT!$R$11*(1+$M94/Scenario_DT!$C$19)*(1+$N94)^7*(Scenario_DT!$R$12+$O94)*(1+MIN(DCF_FCFF!$C$26+$Q94,(DCF_FCFF!$C$25+$P94)-0.02))*(1-DCF_FCFF!$C$27)*(1-DCF_FCFF!$C$28)/((DCF_FCFF!$C$25+$P94)-MIN(DCF_FCFF!$C$26+$Q94,(DCF_FCFF!$C$25+$P94)-0.02)))*(1+(DCF_FCFF!$C$25+$P94))^(-(Inputs!$C$9+9))</f>
        <v>28317.38857321153</v>
      </c>
      <c r="AC94" s="17">
        <f>SUMPRODUCT(R94:AA94*(1+(DCF_FCFF!$C$25+$P94))^(-Scenario_DT!$I$17:$R$17))+AB94</f>
        <v>44594.43544044927</v>
      </c>
      <c r="AD94" s="68">
        <f>((AC94-DCF_FCFF!$C$48)*(1-DCF_FCFF!$C$50)+DCF_FCFF!$C$57+DCF_FCFF!$C$58)/DCF_FCFF!$C$60</f>
        <v>331.60723316607204</v>
      </c>
      <c r="AE94" s="6"/>
      <c r="AF94" s="6"/>
      <c r="AG94" s="6"/>
    </row>
    <row r="95" spans="1:33" x14ac:dyDescent="0.3">
      <c r="A95" s="6"/>
      <c r="B95" s="72">
        <v>64</v>
      </c>
      <c r="C95" s="73">
        <v>0.32749556441254601</v>
      </c>
      <c r="D95" s="73">
        <v>0.37946407972692903</v>
      </c>
      <c r="E95" s="73">
        <v>0.68574334545594495</v>
      </c>
      <c r="F95" s="73">
        <v>0.29687647457128502</v>
      </c>
      <c r="G95" s="73">
        <v>0.94885792671533997</v>
      </c>
      <c r="H95" s="15">
        <f t="shared" ref="H95:H158" si="11">NORMSINV(C95)</f>
        <v>-0.44683925099442395</v>
      </c>
      <c r="I95" s="15">
        <f t="shared" ref="I95:I158" si="12">NORMSINV(D95)</f>
        <v>-0.30688860931153827</v>
      </c>
      <c r="J95" s="15">
        <f t="shared" ref="J95:J158" si="13">NORMSINV(E95)</f>
        <v>0.48382043786414036</v>
      </c>
      <c r="K95" s="15">
        <f t="shared" ref="K95:K158" si="14">NORMSINV(F95)</f>
        <v>-0.53340544496953579</v>
      </c>
      <c r="L95" s="15">
        <f t="shared" ref="L95:L158" si="15">NORMSINV(G95)</f>
        <v>1.6338795401928055</v>
      </c>
      <c r="M95" s="18">
        <f t="shared" ref="M95:M158" si="16">H95*$C$5</f>
        <v>-8.9367850198884789E-3</v>
      </c>
      <c r="N95" s="18">
        <f t="shared" ref="N95:N158" si="17">($C$10*H95+SQRT(1-$C$10^2)*I95)*$C$6</f>
        <v>-3.9135436583446542E-3</v>
      </c>
      <c r="O95" s="18">
        <f t="shared" ref="O95:O158" si="18">J95*$C$7</f>
        <v>5.8058452543696846E-3</v>
      </c>
      <c r="P95" s="18">
        <f t="shared" ref="P95:P158" si="19">K95*$C$8</f>
        <v>-3.2004326698172147E-3</v>
      </c>
      <c r="Q95" s="18">
        <f t="shared" ref="Q95:Q158" si="20">L95*$C$9</f>
        <v>6.5355181607712216E-3</v>
      </c>
      <c r="R95" s="28">
        <f>((Scenario_DT!I$11*(IF(Scenario_DT!I$18=1,1,1+$M95/Scenario_DT!$C$19)*(1+$N95)^MAX(0,Scenario_DT!I$18-3))*(Scenario_DT!I$12+$O95)-Scenario_DT!I$13)*(1-Scenario_DT!I$14)+Scenario_DT!I$13-Scenario_DT!I$15)*Scenario_DT!I$16</f>
        <v>919.17015453854981</v>
      </c>
      <c r="S95" s="28">
        <f>((Scenario_DT!J$11*(IF(Scenario_DT!J$18=1,1,1+$M95/Scenario_DT!$C$19)*(1+$N95)^MAX(0,Scenario_DT!J$18-3))*(Scenario_DT!J$12+$O95)-Scenario_DT!J$13)*(1-Scenario_DT!J$14)+Scenario_DT!J$13-Scenario_DT!J$15)*Scenario_DT!J$16</f>
        <v>1828.3654889416694</v>
      </c>
      <c r="T95" s="28">
        <f>((Scenario_DT!K$11*(IF(Scenario_DT!K$18=1,1,1+$M95/Scenario_DT!$C$19)*(1+$N95)^MAX(0,Scenario_DT!K$18-3))*(Scenario_DT!K$12+$O95)-Scenario_DT!K$13)*(1-Scenario_DT!K$14)+Scenario_DT!K$13-Scenario_DT!K$15)*Scenario_DT!K$16</f>
        <v>2092.5175857892764</v>
      </c>
      <c r="U95" s="28">
        <f>((Scenario_DT!L$11*(IF(Scenario_DT!L$18=1,1,1+$M95/Scenario_DT!$C$19)*(1+$N95)^MAX(0,Scenario_DT!L$18-3))*(Scenario_DT!L$12+$O95)-Scenario_DT!L$13)*(1-Scenario_DT!L$14)+Scenario_DT!L$13-Scenario_DT!L$15)*Scenario_DT!L$16</f>
        <v>2483.4774785146888</v>
      </c>
      <c r="V95" s="28">
        <f>((Scenario_DT!M$11*(IF(Scenario_DT!M$18=1,1,1+$M95/Scenario_DT!$C$19)*(1+$N95)^MAX(0,Scenario_DT!M$18-3))*(Scenario_DT!M$12+$O95)-Scenario_DT!M$13)*(1-Scenario_DT!M$14)+Scenario_DT!M$13-Scenario_DT!M$15)*Scenario_DT!M$16</f>
        <v>2596.6554226309822</v>
      </c>
      <c r="W95" s="28">
        <f>((Scenario_DT!N$11*(IF(Scenario_DT!N$18=1,1,1+$M95/Scenario_DT!$C$19)*(1+$N95)^MAX(0,Scenario_DT!N$18-3))*(Scenario_DT!N$12+$O95)-Scenario_DT!N$13)*(1-Scenario_DT!N$14)+Scenario_DT!N$13-Scenario_DT!N$15)*Scenario_DT!N$16</f>
        <v>2714.9777030637038</v>
      </c>
      <c r="X95" s="28">
        <f>((Scenario_DT!O$11*(IF(Scenario_DT!O$18=1,1,1+$M95/Scenario_DT!$C$19)*(1+$N95)^MAX(0,Scenario_DT!O$18-3))*(Scenario_DT!O$12+$O95)-Scenario_DT!O$13)*(1-Scenario_DT!O$14)+Scenario_DT!O$13-Scenario_DT!O$15)*Scenario_DT!O$16</f>
        <v>2838.6801054646212</v>
      </c>
      <c r="Y95" s="28">
        <f>((Scenario_DT!P$11*(IF(Scenario_DT!P$18=1,1,1+$M95/Scenario_DT!$C$19)*(1+$N95)^MAX(0,Scenario_DT!P$18-3))*(Scenario_DT!P$12+$O95)-Scenario_DT!P$13)*(1-Scenario_DT!P$14)+Scenario_DT!P$13-Scenario_DT!P$15)*Scenario_DT!P$16</f>
        <v>2968.009242532095</v>
      </c>
      <c r="Z95" s="28">
        <f>((Scenario_DT!Q$11*(IF(Scenario_DT!Q$18=1,1,1+$M95/Scenario_DT!$C$19)*(1+$N95)^MAX(0,Scenario_DT!Q$18-3))*(Scenario_DT!Q$12+$O95)-Scenario_DT!Q$13)*(1-Scenario_DT!Q$14)+Scenario_DT!Q$13-Scenario_DT!Q$15)*Scenario_DT!Q$16</f>
        <v>3103.2230513926911</v>
      </c>
      <c r="AA95" s="28">
        <f>((Scenario_DT!R$11*(IF(Scenario_DT!R$18=1,1,1+$M95/Scenario_DT!$C$19)*(1+$N95)^MAX(0,Scenario_DT!R$18-3))*(Scenario_DT!R$12+$O95)-Scenario_DT!R$13)*(1-Scenario_DT!R$14)+Scenario_DT!R$13-Scenario_DT!R$15)*Scenario_DT!R$16</f>
        <v>3244.5913138347223</v>
      </c>
      <c r="AB95" s="17">
        <f>(Scenario_DT!$R$11*(1+$M95/Scenario_DT!$C$19)*(1+$N95)^7*(Scenario_DT!$R$12+$O95)*(1+MIN(DCF_FCFF!$C$26+$Q95,(DCF_FCFF!$C$25+$P95)-0.02))*(1-DCF_FCFF!$C$27)*(1-DCF_FCFF!$C$28)/((DCF_FCFF!$C$25+$P95)-MIN(DCF_FCFF!$C$26+$Q95,(DCF_FCFF!$C$25+$P95)-0.02)))*(1+(DCF_FCFF!$C$25+$P95))^(-(Inputs!$C$9+9))</f>
        <v>35106.946144560301</v>
      </c>
      <c r="AC95" s="17">
        <f>SUMPRODUCT(R95:AA95*(1+(DCF_FCFF!$C$25+$P95))^(-Scenario_DT!$I$17:$R$17))+AB95</f>
        <v>51567.006952594282</v>
      </c>
      <c r="AD95" s="68">
        <f>((AC95-DCF_FCFF!$C$48)*(1-DCF_FCFF!$C$50)+DCF_FCFF!$C$57+DCF_FCFF!$C$58)/DCF_FCFF!$C$60</f>
        <v>398.53533277199887</v>
      </c>
      <c r="AE95" s="6"/>
      <c r="AF95" s="6"/>
      <c r="AG95" s="6"/>
    </row>
    <row r="96" spans="1:33" x14ac:dyDescent="0.3">
      <c r="A96" s="6"/>
      <c r="B96" s="72">
        <v>65</v>
      </c>
      <c r="C96" s="73">
        <v>0.91634801953817802</v>
      </c>
      <c r="D96" s="73">
        <v>0.48091042830007902</v>
      </c>
      <c r="E96" s="73">
        <v>0.32836120500468902</v>
      </c>
      <c r="F96" s="73">
        <v>0.53543478983000303</v>
      </c>
      <c r="G96" s="73">
        <v>0.848560488773625</v>
      </c>
      <c r="H96" s="15">
        <f t="shared" si="11"/>
        <v>1.3809186954374726</v>
      </c>
      <c r="I96" s="15">
        <f t="shared" si="12"/>
        <v>-4.7868735087833875E-2</v>
      </c>
      <c r="J96" s="15">
        <f t="shared" si="13"/>
        <v>-0.44444289025082656</v>
      </c>
      <c r="K96" s="15">
        <f t="shared" si="14"/>
        <v>8.8938960352551777E-2</v>
      </c>
      <c r="L96" s="15">
        <f t="shared" si="15"/>
        <v>1.0302790674675906</v>
      </c>
      <c r="M96" s="18">
        <f t="shared" si="16"/>
        <v>2.7618373908749452E-2</v>
      </c>
      <c r="N96" s="18">
        <f t="shared" si="17"/>
        <v>5.192030456685157E-3</v>
      </c>
      <c r="O96" s="18">
        <f t="shared" si="18"/>
        <v>-5.333314683009919E-3</v>
      </c>
      <c r="P96" s="18">
        <f t="shared" si="19"/>
        <v>5.3363376211531068E-4</v>
      </c>
      <c r="Q96" s="18">
        <f t="shared" si="20"/>
        <v>4.1211162698703624E-3</v>
      </c>
      <c r="R96" s="28">
        <f>((Scenario_DT!I$11*(IF(Scenario_DT!I$18=1,1,1+$M96/Scenario_DT!$C$19)*(1+$N96)^MAX(0,Scenario_DT!I$18-3))*(Scenario_DT!I$12+$O96)-Scenario_DT!I$13)*(1-Scenario_DT!I$14)+Scenario_DT!I$13-Scenario_DT!I$15)*Scenario_DT!I$16</f>
        <v>903.46513778362112</v>
      </c>
      <c r="S96" s="28">
        <f>((Scenario_DT!J$11*(IF(Scenario_DT!J$18=1,1,1+$M96/Scenario_DT!$C$19)*(1+$N96)^MAX(0,Scenario_DT!J$18-3))*(Scenario_DT!J$12+$O96)-Scenario_DT!J$13)*(1-Scenario_DT!J$14)+Scenario_DT!J$13-Scenario_DT!J$15)*Scenario_DT!J$16</f>
        <v>1881.0284688793813</v>
      </c>
      <c r="T96" s="28">
        <f>((Scenario_DT!K$11*(IF(Scenario_DT!K$18=1,1,1+$M96/Scenario_DT!$C$19)*(1+$N96)^MAX(0,Scenario_DT!K$18-3))*(Scenario_DT!K$12+$O96)-Scenario_DT!K$13)*(1-Scenario_DT!K$14)+Scenario_DT!K$13-Scenario_DT!K$15)*Scenario_DT!K$16</f>
        <v>2148.3366312991316</v>
      </c>
      <c r="U96" s="28">
        <f>((Scenario_DT!L$11*(IF(Scenario_DT!L$18=1,1,1+$M96/Scenario_DT!$C$19)*(1+$N96)^MAX(0,Scenario_DT!L$18-3))*(Scenario_DT!L$12+$O96)-Scenario_DT!L$13)*(1-Scenario_DT!L$14)+Scenario_DT!L$13-Scenario_DT!L$15)*Scenario_DT!L$16</f>
        <v>2565.9091707377752</v>
      </c>
      <c r="V96" s="28">
        <f>((Scenario_DT!M$11*(IF(Scenario_DT!M$18=1,1,1+$M96/Scenario_DT!$C$19)*(1+$N96)^MAX(0,Scenario_DT!M$18-3))*(Scenario_DT!M$12+$O96)-Scenario_DT!M$13)*(1-Scenario_DT!M$14)+Scenario_DT!M$13-Scenario_DT!M$15)*Scenario_DT!M$16</f>
        <v>2707.5635876087517</v>
      </c>
      <c r="W96" s="28">
        <f>((Scenario_DT!N$11*(IF(Scenario_DT!N$18=1,1,1+$M96/Scenario_DT!$C$19)*(1+$N96)^MAX(0,Scenario_DT!N$18-3))*(Scenario_DT!N$12+$O96)-Scenario_DT!N$13)*(1-Scenario_DT!N$14)+Scenario_DT!N$13-Scenario_DT!N$15)*Scenario_DT!N$16</f>
        <v>2857.0384497456321</v>
      </c>
      <c r="X96" s="28">
        <f>((Scenario_DT!O$11*(IF(Scenario_DT!O$18=1,1,1+$M96/Scenario_DT!$C$19)*(1+$N96)^MAX(0,Scenario_DT!O$18-3))*(Scenario_DT!O$12+$O96)-Scenario_DT!O$13)*(1-Scenario_DT!O$14)+Scenario_DT!O$13-Scenario_DT!O$15)*Scenario_DT!O$16</f>
        <v>3014.768281523794</v>
      </c>
      <c r="Y96" s="28">
        <f>((Scenario_DT!P$11*(IF(Scenario_DT!P$18=1,1,1+$M96/Scenario_DT!$C$19)*(1+$N96)^MAX(0,Scenario_DT!P$18-3))*(Scenario_DT!P$12+$O96)-Scenario_DT!P$13)*(1-Scenario_DT!P$14)+Scenario_DT!P$13-Scenario_DT!P$15)*Scenario_DT!P$16</f>
        <v>3181.2117650824307</v>
      </c>
      <c r="Z96" s="28">
        <f>((Scenario_DT!Q$11*(IF(Scenario_DT!Q$18=1,1,1+$M96/Scenario_DT!$C$19)*(1+$N96)^MAX(0,Scenario_DT!Q$18-3))*(Scenario_DT!Q$12+$O96)-Scenario_DT!Q$13)*(1-Scenario_DT!Q$14)+Scenario_DT!Q$13-Scenario_DT!Q$15)*Scenario_DT!Q$16</f>
        <v>3356.8530829390652</v>
      </c>
      <c r="AA96" s="28">
        <f>((Scenario_DT!R$11*(IF(Scenario_DT!R$18=1,1,1+$M96/Scenario_DT!$C$19)*(1+$N96)^MAX(0,Scenario_DT!R$18-3))*(Scenario_DT!R$12+$O96)-Scenario_DT!R$13)*(1-Scenario_DT!R$14)+Scenario_DT!R$13-Scenario_DT!R$15)*Scenario_DT!R$16</f>
        <v>3542.2033351910127</v>
      </c>
      <c r="AB96" s="17">
        <f>(Scenario_DT!$R$11*(1+$M96/Scenario_DT!$C$19)*(1+$N96)^7*(Scenario_DT!$R$12+$O96)*(1+MIN(DCF_FCFF!$C$26+$Q96,(DCF_FCFF!$C$25+$P96)-0.02))*(1-DCF_FCFF!$C$27)*(1-DCF_FCFF!$C$28)/((DCF_FCFF!$C$25+$P96)-MIN(DCF_FCFF!$C$26+$Q96,(DCF_FCFF!$C$25+$P96)-0.02)))*(1+(DCF_FCFF!$C$25+$P96))^(-(Inputs!$C$9+9))</f>
        <v>32131.477107575898</v>
      </c>
      <c r="AC96" s="17">
        <f>SUMPRODUCT(R96:AA96*(1+(DCF_FCFF!$C$25+$P96))^(-Scenario_DT!$I$17:$R$17))+AB96</f>
        <v>49133.037913413973</v>
      </c>
      <c r="AD96" s="68">
        <f>((AC96-DCF_FCFF!$C$48)*(1-DCF_FCFF!$C$50)+DCF_FCFF!$C$57+DCF_FCFF!$C$58)/DCF_FCFF!$C$60</f>
        <v>375.17222749466231</v>
      </c>
      <c r="AE96" s="6"/>
      <c r="AF96" s="6"/>
      <c r="AG96" s="6"/>
    </row>
    <row r="97" spans="1:33" x14ac:dyDescent="0.3">
      <c r="A97" s="6"/>
      <c r="B97" s="72">
        <v>66</v>
      </c>
      <c r="C97" s="73">
        <v>0.65258734056010204</v>
      </c>
      <c r="D97" s="73">
        <v>0.80439182794707698</v>
      </c>
      <c r="E97" s="73">
        <v>0.53272227606573996</v>
      </c>
      <c r="F97" s="73">
        <v>0.63291762926762096</v>
      </c>
      <c r="G97" s="73">
        <v>0.28815561418246199</v>
      </c>
      <c r="H97" s="15">
        <f t="shared" si="11"/>
        <v>0.39231522054190127</v>
      </c>
      <c r="I97" s="15">
        <f t="shared" si="12"/>
        <v>0.85741360301546499</v>
      </c>
      <c r="J97" s="15">
        <f t="shared" si="13"/>
        <v>8.2114770200525641E-2</v>
      </c>
      <c r="K97" s="15">
        <f t="shared" si="14"/>
        <v>0.33959075473257982</v>
      </c>
      <c r="L97" s="15">
        <f t="shared" si="15"/>
        <v>-0.55878094523765676</v>
      </c>
      <c r="M97" s="18">
        <f t="shared" si="16"/>
        <v>7.8463044108380252E-3</v>
      </c>
      <c r="N97" s="18">
        <f t="shared" si="17"/>
        <v>7.5095965762615119E-3</v>
      </c>
      <c r="O97" s="18">
        <f t="shared" si="18"/>
        <v>9.8537724240630765E-4</v>
      </c>
      <c r="P97" s="18">
        <f t="shared" si="19"/>
        <v>2.0375445283954789E-3</v>
      </c>
      <c r="Q97" s="18">
        <f t="shared" si="20"/>
        <v>-2.235123780950627E-3</v>
      </c>
      <c r="R97" s="28">
        <f>((Scenario_DT!I$11*(IF(Scenario_DT!I$18=1,1,1+$M97/Scenario_DT!$C$19)*(1+$N97)^MAX(0,Scenario_DT!I$18-3))*(Scenario_DT!I$12+$O97)-Scenario_DT!I$13)*(1-Scenario_DT!I$14)+Scenario_DT!I$13-Scenario_DT!I$15)*Scenario_DT!I$16</f>
        <v>912.37381340330501</v>
      </c>
      <c r="S97" s="28">
        <f>((Scenario_DT!J$11*(IF(Scenario_DT!J$18=1,1,1+$M97/Scenario_DT!$C$19)*(1+$N97)^MAX(0,Scenario_DT!J$18-3))*(Scenario_DT!J$12+$O97)-Scenario_DT!J$13)*(1-Scenario_DT!J$14)+Scenario_DT!J$13-Scenario_DT!J$15)*Scenario_DT!J$16</f>
        <v>1853.7983732808329</v>
      </c>
      <c r="T97" s="28">
        <f>((Scenario_DT!K$11*(IF(Scenario_DT!K$18=1,1,1+$M97/Scenario_DT!$C$19)*(1+$N97)^MAX(0,Scenario_DT!K$18-3))*(Scenario_DT!K$12+$O97)-Scenario_DT!K$13)*(1-Scenario_DT!K$14)+Scenario_DT!K$13-Scenario_DT!K$15)*Scenario_DT!K$16</f>
        <v>2119.4450431998871</v>
      </c>
      <c r="U97" s="28">
        <f>((Scenario_DT!L$11*(IF(Scenario_DT!L$18=1,1,1+$M97/Scenario_DT!$C$19)*(1+$N97)^MAX(0,Scenario_DT!L$18-3))*(Scenario_DT!L$12+$O97)-Scenario_DT!L$13)*(1-Scenario_DT!L$14)+Scenario_DT!L$13-Scenario_DT!L$15)*Scenario_DT!L$16</f>
        <v>2540.9572336672795</v>
      </c>
      <c r="V97" s="28">
        <f>((Scenario_DT!M$11*(IF(Scenario_DT!M$18=1,1,1+$M97/Scenario_DT!$C$19)*(1+$N97)^MAX(0,Scenario_DT!M$18-3))*(Scenario_DT!M$12+$O97)-Scenario_DT!M$13)*(1-Scenario_DT!M$14)+Scenario_DT!M$13-Scenario_DT!M$15)*Scenario_DT!M$16</f>
        <v>2687.4523672036862</v>
      </c>
      <c r="W97" s="28">
        <f>((Scenario_DT!N$11*(IF(Scenario_DT!N$18=1,1,1+$M97/Scenario_DT!$C$19)*(1+$N97)^MAX(0,Scenario_DT!N$18-3))*(Scenario_DT!N$12+$O97)-Scenario_DT!N$13)*(1-Scenario_DT!N$14)+Scenario_DT!N$13-Scenario_DT!N$15)*Scenario_DT!N$16</f>
        <v>2842.3966681744814</v>
      </c>
      <c r="X97" s="28">
        <f>((Scenario_DT!O$11*(IF(Scenario_DT!O$18=1,1,1+$M97/Scenario_DT!$C$19)*(1+$N97)^MAX(0,Scenario_DT!O$18-3))*(Scenario_DT!O$12+$O97)-Scenario_DT!O$13)*(1-Scenario_DT!O$14)+Scenario_DT!O$13-Scenario_DT!O$15)*Scenario_DT!O$16</f>
        <v>3006.280380417481</v>
      </c>
      <c r="Y97" s="28">
        <f>((Scenario_DT!P$11*(IF(Scenario_DT!P$18=1,1,1+$M97/Scenario_DT!$C$19)*(1+$N97)^MAX(0,Scenario_DT!P$18-3))*(Scenario_DT!P$12+$O97)-Scenario_DT!P$13)*(1-Scenario_DT!P$14)+Scenario_DT!P$13-Scenario_DT!P$15)*Scenario_DT!P$16</f>
        <v>3179.6222025085631</v>
      </c>
      <c r="Z97" s="28">
        <f>((Scenario_DT!Q$11*(IF(Scenario_DT!Q$18=1,1,1+$M97/Scenario_DT!$C$19)*(1+$N97)^MAX(0,Scenario_DT!Q$18-3))*(Scenario_DT!Q$12+$O97)-Scenario_DT!Q$13)*(1-Scenario_DT!Q$14)+Scenario_DT!Q$13-Scenario_DT!Q$15)*Scenario_DT!Q$16</f>
        <v>3362.9709385315487</v>
      </c>
      <c r="AA97" s="28">
        <f>((Scenario_DT!R$11*(IF(Scenario_DT!R$18=1,1,1+$M97/Scenario_DT!$C$19)*(1+$N97)^MAX(0,Scenario_DT!R$18-3))*(Scenario_DT!R$12+$O97)-Scenario_DT!R$13)*(1-Scenario_DT!R$14)+Scenario_DT!R$13-Scenario_DT!R$15)*Scenario_DT!R$16</f>
        <v>3556.9072445678094</v>
      </c>
      <c r="AB97" s="17">
        <f>(Scenario_DT!$R$11*(1+$M97/Scenario_DT!$C$19)*(1+$N97)^7*(Scenario_DT!$R$12+$O97)*(1+MIN(DCF_FCFF!$C$26+$Q97,(DCF_FCFF!$C$25+$P97)-0.02))*(1-DCF_FCFF!$C$27)*(1-DCF_FCFF!$C$28)/((DCF_FCFF!$C$25+$P97)-MIN(DCF_FCFF!$C$26+$Q97,(DCF_FCFF!$C$25+$P97)-0.02)))*(1+(DCF_FCFF!$C$25+$P97))^(-(Inputs!$C$9+9))</f>
        <v>27101.012475831521</v>
      </c>
      <c r="AC97" s="17">
        <f>SUMPRODUCT(R97:AA97*(1+(DCF_FCFF!$C$25+$P97))^(-Scenario_DT!$I$17:$R$17))+AB97</f>
        <v>43914.854130683692</v>
      </c>
      <c r="AD97" s="68">
        <f>((AC97-DCF_FCFF!$C$48)*(1-DCF_FCFF!$C$50)+DCF_FCFF!$C$57+DCF_FCFF!$C$58)/DCF_FCFF!$C$60</f>
        <v>325.08408951511154</v>
      </c>
      <c r="AE97" s="6"/>
      <c r="AF97" s="6"/>
      <c r="AG97" s="6"/>
    </row>
    <row r="98" spans="1:33" x14ac:dyDescent="0.3">
      <c r="A98" s="6"/>
      <c r="B98" s="72">
        <v>67</v>
      </c>
      <c r="C98" s="73">
        <v>0.734893162310291</v>
      </c>
      <c r="D98" s="73">
        <v>0.20240459312571801</v>
      </c>
      <c r="E98" s="73">
        <v>0.69479812881849801</v>
      </c>
      <c r="F98" s="73">
        <v>0.86071906832589395</v>
      </c>
      <c r="G98" s="73">
        <v>0.13210283730154401</v>
      </c>
      <c r="H98" s="15">
        <f t="shared" si="11"/>
        <v>0.62767986923793273</v>
      </c>
      <c r="I98" s="15">
        <f t="shared" si="12"/>
        <v>-0.8330630234022447</v>
      </c>
      <c r="J98" s="15">
        <f t="shared" si="13"/>
        <v>0.50949722582611201</v>
      </c>
      <c r="K98" s="15">
        <f t="shared" si="14"/>
        <v>1.0835556512771967</v>
      </c>
      <c r="L98" s="15">
        <f t="shared" si="15"/>
        <v>-1.1165058334295745</v>
      </c>
      <c r="M98" s="18">
        <f t="shared" si="16"/>
        <v>1.2553597384758655E-2</v>
      </c>
      <c r="N98" s="18">
        <f t="shared" si="17"/>
        <v>-3.2609104528067826E-3</v>
      </c>
      <c r="O98" s="18">
        <f t="shared" si="18"/>
        <v>6.1139667099133444E-3</v>
      </c>
      <c r="P98" s="18">
        <f t="shared" si="19"/>
        <v>6.5013339076631805E-3</v>
      </c>
      <c r="Q98" s="18">
        <f t="shared" si="20"/>
        <v>-4.4660233337182982E-3</v>
      </c>
      <c r="R98" s="28">
        <f>((Scenario_DT!I$11*(IF(Scenario_DT!I$18=1,1,1+$M98/Scenario_DT!$C$19)*(1+$N98)^MAX(0,Scenario_DT!I$18-3))*(Scenario_DT!I$12+$O98)-Scenario_DT!I$13)*(1-Scenario_DT!I$14)+Scenario_DT!I$13-Scenario_DT!I$15)*Scenario_DT!I$16</f>
        <v>919.60457263193132</v>
      </c>
      <c r="S98" s="28">
        <f>((Scenario_DT!J$11*(IF(Scenario_DT!J$18=1,1,1+$M98/Scenario_DT!$C$19)*(1+$N98)^MAX(0,Scenario_DT!J$18-3))*(Scenario_DT!J$12+$O98)-Scenario_DT!J$13)*(1-Scenario_DT!J$14)+Scenario_DT!J$13-Scenario_DT!J$15)*Scenario_DT!J$16</f>
        <v>1881.2445200569769</v>
      </c>
      <c r="T98" s="28">
        <f>((Scenario_DT!K$11*(IF(Scenario_DT!K$18=1,1,1+$M98/Scenario_DT!$C$19)*(1+$N98)^MAX(0,Scenario_DT!K$18-3))*(Scenario_DT!K$12+$O98)-Scenario_DT!K$13)*(1-Scenario_DT!K$14)+Scenario_DT!K$13-Scenario_DT!K$15)*Scenario_DT!K$16</f>
        <v>2148.048299897474</v>
      </c>
      <c r="U98" s="28">
        <f>((Scenario_DT!L$11*(IF(Scenario_DT!L$18=1,1,1+$M98/Scenario_DT!$C$19)*(1+$N98)^MAX(0,Scenario_DT!L$18-3))*(Scenario_DT!L$12+$O98)-Scenario_DT!L$13)*(1-Scenario_DT!L$14)+Scenario_DT!L$13-Scenario_DT!L$15)*Scenario_DT!L$16</f>
        <v>2543.8846719730423</v>
      </c>
      <c r="V98" s="28">
        <f>((Scenario_DT!M$11*(IF(Scenario_DT!M$18=1,1,1+$M98/Scenario_DT!$C$19)*(1+$N98)^MAX(0,Scenario_DT!M$18-3))*(Scenario_DT!M$12+$O98)-Scenario_DT!M$13)*(1-Scenario_DT!M$14)+Scenario_DT!M$13-Scenario_DT!M$15)*Scenario_DT!M$16</f>
        <v>2661.5895478142847</v>
      </c>
      <c r="W98" s="28">
        <f>((Scenario_DT!N$11*(IF(Scenario_DT!N$18=1,1,1+$M98/Scenario_DT!$C$19)*(1+$N98)^MAX(0,Scenario_DT!N$18-3))*(Scenario_DT!N$12+$O98)-Scenario_DT!N$13)*(1-Scenario_DT!N$14)+Scenario_DT!N$13-Scenario_DT!N$15)*Scenario_DT!N$16</f>
        <v>2784.7282359705487</v>
      </c>
      <c r="X98" s="28">
        <f>((Scenario_DT!O$11*(IF(Scenario_DT!O$18=1,1,1+$M98/Scenario_DT!$C$19)*(1+$N98)^MAX(0,Scenario_DT!O$18-3))*(Scenario_DT!O$12+$O98)-Scenario_DT!O$13)*(1-Scenario_DT!O$14)+Scenario_DT!O$13-Scenario_DT!O$15)*Scenario_DT!O$16</f>
        <v>2913.5536131061353</v>
      </c>
      <c r="Y98" s="28">
        <f>((Scenario_DT!P$11*(IF(Scenario_DT!P$18=1,1,1+$M98/Scenario_DT!$C$19)*(1+$N98)^MAX(0,Scenario_DT!P$18-3))*(Scenario_DT!P$12+$O98)-Scenario_DT!P$13)*(1-Scenario_DT!P$14)+Scenario_DT!P$13-Scenario_DT!P$15)*Scenario_DT!P$16</f>
        <v>3048.3303445544093</v>
      </c>
      <c r="Z98" s="28">
        <f>((Scenario_DT!Q$11*(IF(Scenario_DT!Q$18=1,1,1+$M98/Scenario_DT!$C$19)*(1+$N98)^MAX(0,Scenario_DT!Q$18-3))*(Scenario_DT!Q$12+$O98)-Scenario_DT!Q$13)*(1-Scenario_DT!Q$14)+Scenario_DT!Q$13-Scenario_DT!Q$15)*Scenario_DT!Q$16</f>
        <v>3189.3354340870624</v>
      </c>
      <c r="AA98" s="28">
        <f>((Scenario_DT!R$11*(IF(Scenario_DT!R$18=1,1,1+$M98/Scenario_DT!$C$19)*(1+$N98)^MAX(0,Scenario_DT!R$18-3))*(Scenario_DT!R$12+$O98)-Scenario_DT!R$13)*(1-Scenario_DT!R$14)+Scenario_DT!R$13-Scenario_DT!R$15)*Scenario_DT!R$16</f>
        <v>3336.858799324044</v>
      </c>
      <c r="AB98" s="17">
        <f>(Scenario_DT!$R$11*(1+$M98/Scenario_DT!$C$19)*(1+$N98)^7*(Scenario_DT!$R$12+$O98)*(1+MIN(DCF_FCFF!$C$26+$Q98,(DCF_FCFF!$C$25+$P98)-0.02))*(1-DCF_FCFF!$C$27)*(1-DCF_FCFF!$C$28)/((DCF_FCFF!$C$25+$P98)-MIN(DCF_FCFF!$C$26+$Q98,(DCF_FCFF!$C$25+$P98)-0.02)))*(1+(DCF_FCFF!$C$25+$P98))^(-(Inputs!$C$9+9))</f>
        <v>21757.001858640437</v>
      </c>
      <c r="AC98" s="17">
        <f>SUMPRODUCT(R98:AA98*(1+(DCF_FCFF!$C$25+$P98))^(-Scenario_DT!$I$17:$R$17))+AB98</f>
        <v>37959.165134071336</v>
      </c>
      <c r="AD98" s="68">
        <f>((AC98-DCF_FCFF!$C$48)*(1-DCF_FCFF!$C$50)+DCF_FCFF!$C$57+DCF_FCFF!$C$58)/DCF_FCFF!$C$60</f>
        <v>267.91680973993863</v>
      </c>
      <c r="AE98" s="6"/>
      <c r="AF98" s="6"/>
      <c r="AG98" s="6"/>
    </row>
    <row r="99" spans="1:33" x14ac:dyDescent="0.3">
      <c r="A99" s="6"/>
      <c r="B99" s="72">
        <v>68</v>
      </c>
      <c r="C99" s="73">
        <v>0.61437974054192002</v>
      </c>
      <c r="D99" s="73">
        <v>9.5095748229934607E-2</v>
      </c>
      <c r="E99" s="73">
        <v>0.72571562827142699</v>
      </c>
      <c r="F99" s="73">
        <v>8.4493218823520205E-2</v>
      </c>
      <c r="G99" s="73">
        <v>0.93593982270062603</v>
      </c>
      <c r="H99" s="15">
        <f t="shared" si="11"/>
        <v>0.29075262697893267</v>
      </c>
      <c r="I99" s="15">
        <f t="shared" si="12"/>
        <v>-1.3100128266336306</v>
      </c>
      <c r="J99" s="15">
        <f t="shared" si="13"/>
        <v>0.59990621010906742</v>
      </c>
      <c r="K99" s="15">
        <f t="shared" si="14"/>
        <v>-1.3754678781687686</v>
      </c>
      <c r="L99" s="15">
        <f t="shared" si="15"/>
        <v>1.5215560596022004</v>
      </c>
      <c r="M99" s="18">
        <f t="shared" si="16"/>
        <v>5.8150525395786537E-3</v>
      </c>
      <c r="N99" s="18">
        <f t="shared" si="17"/>
        <v>-7.9130245892697383E-3</v>
      </c>
      <c r="O99" s="18">
        <f t="shared" si="18"/>
        <v>7.1988745213088096E-3</v>
      </c>
      <c r="P99" s="18">
        <f t="shared" si="19"/>
        <v>-8.2528072690126117E-3</v>
      </c>
      <c r="Q99" s="18">
        <f t="shared" si="20"/>
        <v>6.0862242384088017E-3</v>
      </c>
      <c r="R99" s="28">
        <f>((Scenario_DT!I$11*(IF(Scenario_DT!I$18=1,1,1+$M99/Scenario_DT!$C$19)*(1+$N99)^MAX(0,Scenario_DT!I$18-3))*(Scenario_DT!I$12+$O99)-Scenario_DT!I$13)*(1-Scenario_DT!I$14)+Scenario_DT!I$13-Scenario_DT!I$15)*Scenario_DT!I$16</f>
        <v>921.13417589207859</v>
      </c>
      <c r="S99" s="28">
        <f>((Scenario_DT!J$11*(IF(Scenario_DT!J$18=1,1,1+$M99/Scenario_DT!$C$19)*(1+$N99)^MAX(0,Scenario_DT!J$18-3))*(Scenario_DT!J$12+$O99)-Scenario_DT!J$13)*(1-Scenario_DT!J$14)+Scenario_DT!J$13-Scenario_DT!J$15)*Scenario_DT!J$16</f>
        <v>1868.3535563965629</v>
      </c>
      <c r="T99" s="28">
        <f>((Scenario_DT!K$11*(IF(Scenario_DT!K$18=1,1,1+$M99/Scenario_DT!$C$19)*(1+$N99)^MAX(0,Scenario_DT!K$18-3))*(Scenario_DT!K$12+$O99)-Scenario_DT!K$13)*(1-Scenario_DT!K$14)+Scenario_DT!K$13-Scenario_DT!K$15)*Scenario_DT!K$16</f>
        <v>2134.4599149081728</v>
      </c>
      <c r="U99" s="28">
        <f>((Scenario_DT!L$11*(IF(Scenario_DT!L$18=1,1,1+$M99/Scenario_DT!$C$19)*(1+$N99)^MAX(0,Scenario_DT!L$18-3))*(Scenario_DT!L$12+$O99)-Scenario_DT!L$13)*(1-Scenario_DT!L$14)+Scenario_DT!L$13-Scenario_DT!L$15)*Scenario_DT!L$16</f>
        <v>2517.6190849208797</v>
      </c>
      <c r="V99" s="28">
        <f>((Scenario_DT!M$11*(IF(Scenario_DT!M$18=1,1,1+$M99/Scenario_DT!$C$19)*(1+$N99)^MAX(0,Scenario_DT!M$18-3))*(Scenario_DT!M$12+$O99)-Scenario_DT!M$13)*(1-Scenario_DT!M$14)+Scenario_DT!M$13-Scenario_DT!M$15)*Scenario_DT!M$16</f>
        <v>2621.7203206630616</v>
      </c>
      <c r="W99" s="28">
        <f>((Scenario_DT!N$11*(IF(Scenario_DT!N$18=1,1,1+$M99/Scenario_DT!$C$19)*(1+$N99)^MAX(0,Scenario_DT!N$18-3))*(Scenario_DT!N$12+$O99)-Scenario_DT!N$13)*(1-Scenario_DT!N$14)+Scenario_DT!N$13-Scenario_DT!N$15)*Scenario_DT!N$16</f>
        <v>2730.1056141728536</v>
      </c>
      <c r="X99" s="28">
        <f>((Scenario_DT!O$11*(IF(Scenario_DT!O$18=1,1,1+$M99/Scenario_DT!$C$19)*(1+$N99)^MAX(0,Scenario_DT!O$18-3))*(Scenario_DT!O$12+$O99)-Scenario_DT!O$13)*(1-Scenario_DT!O$14)+Scenario_DT!O$13-Scenario_DT!O$15)*Scenario_DT!O$16</f>
        <v>2842.9527720855099</v>
      </c>
      <c r="Y99" s="28">
        <f>((Scenario_DT!P$11*(IF(Scenario_DT!P$18=1,1,1+$M99/Scenario_DT!$C$19)*(1+$N99)^MAX(0,Scenario_DT!P$18-3))*(Scenario_DT!P$12+$O99)-Scenario_DT!P$13)*(1-Scenario_DT!P$14)+Scenario_DT!P$13-Scenario_DT!P$15)*Scenario_DT!P$16</f>
        <v>2960.4469960843167</v>
      </c>
      <c r="Z99" s="28">
        <f>((Scenario_DT!Q$11*(IF(Scenario_DT!Q$18=1,1,1+$M99/Scenario_DT!$C$19)*(1+$N99)^MAX(0,Scenario_DT!Q$18-3))*(Scenario_DT!Q$12+$O99)-Scenario_DT!Q$13)*(1-Scenario_DT!Q$14)+Scenario_DT!Q$13-Scenario_DT!Q$15)*Scenario_DT!Q$16</f>
        <v>3082.7811906287548</v>
      </c>
      <c r="AA99" s="28">
        <f>((Scenario_DT!R$11*(IF(Scenario_DT!R$18=1,1,1+$M99/Scenario_DT!$C$19)*(1+$N99)^MAX(0,Scenario_DT!R$18-3))*(Scenario_DT!R$12+$O99)-Scenario_DT!R$13)*(1-Scenario_DT!R$14)+Scenario_DT!R$13-Scenario_DT!R$15)*Scenario_DT!R$16</f>
        <v>3210.1562834905922</v>
      </c>
      <c r="AB99" s="17">
        <f>(Scenario_DT!$R$11*(1+$M99/Scenario_DT!$C$19)*(1+$N99)^7*(Scenario_DT!$R$12+$O99)*(1+MIN(DCF_FCFF!$C$26+$Q99,(DCF_FCFF!$C$25+$P99)-0.02))*(1-DCF_FCFF!$C$27)*(1-DCF_FCFF!$C$28)/((DCF_FCFF!$C$25+$P99)-MIN(DCF_FCFF!$C$26+$Q99,(DCF_FCFF!$C$25+$P99)-0.02)))*(1+(DCF_FCFF!$C$25+$P99))^(-(Inputs!$C$9+9))</f>
        <v>40921.284479527472</v>
      </c>
      <c r="AC99" s="17">
        <f>SUMPRODUCT(R99:AA99*(1+(DCF_FCFF!$C$25+$P99))^(-Scenario_DT!$I$17:$R$17))+AB99</f>
        <v>57839.931650388578</v>
      </c>
      <c r="AD99" s="68">
        <f>((AC99-DCF_FCFF!$C$48)*(1-DCF_FCFF!$C$50)+DCF_FCFF!$C$57+DCF_FCFF!$C$58)/DCF_FCFF!$C$60</f>
        <v>458.74768459416021</v>
      </c>
      <c r="AE99" s="6"/>
      <c r="AF99" s="6"/>
      <c r="AG99" s="6"/>
    </row>
    <row r="100" spans="1:33" x14ac:dyDescent="0.3">
      <c r="A100" s="6"/>
      <c r="B100" s="72">
        <v>69</v>
      </c>
      <c r="C100" s="73">
        <v>0.137407930037802</v>
      </c>
      <c r="D100" s="73">
        <v>0.95888024590908005</v>
      </c>
      <c r="E100" s="73">
        <v>0.80088417608509699</v>
      </c>
      <c r="F100" s="73">
        <v>0.593682004466354</v>
      </c>
      <c r="G100" s="73">
        <v>0.78262410462954701</v>
      </c>
      <c r="H100" s="15">
        <f t="shared" si="11"/>
        <v>-1.0920392260501897</v>
      </c>
      <c r="I100" s="15">
        <f t="shared" si="12"/>
        <v>1.7378371753158699</v>
      </c>
      <c r="J100" s="15">
        <f t="shared" si="13"/>
        <v>0.84478364480726265</v>
      </c>
      <c r="K100" s="15">
        <f t="shared" si="14"/>
        <v>0.2370268104862237</v>
      </c>
      <c r="L100" s="15">
        <f t="shared" si="15"/>
        <v>0.78108621202568751</v>
      </c>
      <c r="M100" s="18">
        <f t="shared" si="16"/>
        <v>-2.1840784521003794E-2</v>
      </c>
      <c r="N100" s="18">
        <f t="shared" si="17"/>
        <v>7.6719322275155171E-3</v>
      </c>
      <c r="O100" s="18">
        <f t="shared" si="18"/>
        <v>1.0137403737687152E-2</v>
      </c>
      <c r="P100" s="18">
        <f t="shared" si="19"/>
        <v>1.4221608629173422E-3</v>
      </c>
      <c r="Q100" s="18">
        <f t="shared" si="20"/>
        <v>3.1243448481027502E-3</v>
      </c>
      <c r="R100" s="28">
        <f>((Scenario_DT!I$11*(IF(Scenario_DT!I$18=1,1,1+$M100/Scenario_DT!$C$19)*(1+$N100)^MAX(0,Scenario_DT!I$18-3))*(Scenario_DT!I$12+$O100)-Scenario_DT!I$13)*(1-Scenario_DT!I$14)+Scenario_DT!I$13-Scenario_DT!I$15)*Scenario_DT!I$16</f>
        <v>925.27718585310834</v>
      </c>
      <c r="S100" s="28">
        <f>((Scenario_DT!J$11*(IF(Scenario_DT!J$18=1,1,1+$M100/Scenario_DT!$C$19)*(1+$N100)^MAX(0,Scenario_DT!J$18-3))*(Scenario_DT!J$12+$O100)-Scenario_DT!J$13)*(1-Scenario_DT!J$14)+Scenario_DT!J$13-Scenario_DT!J$15)*Scenario_DT!J$16</f>
        <v>1810.3454328324892</v>
      </c>
      <c r="T100" s="28">
        <f>((Scenario_DT!K$11*(IF(Scenario_DT!K$18=1,1,1+$M100/Scenario_DT!$C$19)*(1+$N100)^MAX(0,Scenario_DT!K$18-3))*(Scenario_DT!K$12+$O100)-Scenario_DT!K$13)*(1-Scenario_DT!K$14)+Scenario_DT!K$13-Scenario_DT!K$15)*Scenario_DT!K$16</f>
        <v>2073.4041434273236</v>
      </c>
      <c r="U100" s="28">
        <f>((Scenario_DT!L$11*(IF(Scenario_DT!L$18=1,1,1+$M100/Scenario_DT!$C$19)*(1+$N100)^MAX(0,Scenario_DT!L$18-3))*(Scenario_DT!L$12+$O100)-Scenario_DT!L$13)*(1-Scenario_DT!L$14)+Scenario_DT!L$13-Scenario_DT!L$15)*Scenario_DT!L$16</f>
        <v>2492.1091526702439</v>
      </c>
      <c r="V100" s="28">
        <f>((Scenario_DT!M$11*(IF(Scenario_DT!M$18=1,1,1+$M100/Scenario_DT!$C$19)*(1+$N100)^MAX(0,Scenario_DT!M$18-3))*(Scenario_DT!M$12+$O100)-Scenario_DT!M$13)*(1-Scenario_DT!M$14)+Scenario_DT!M$13-Scenario_DT!M$15)*Scenario_DT!M$16</f>
        <v>2636.2043737405693</v>
      </c>
      <c r="W100" s="28">
        <f>((Scenario_DT!N$11*(IF(Scenario_DT!N$18=1,1,1+$M100/Scenario_DT!$C$19)*(1+$N100)^MAX(0,Scenario_DT!N$18-3))*(Scenario_DT!N$12+$O100)-Scenario_DT!N$13)*(1-Scenario_DT!N$14)+Scenario_DT!N$13-Scenario_DT!N$15)*Scenario_DT!N$16</f>
        <v>2788.6346712976283</v>
      </c>
      <c r="X100" s="28">
        <f>((Scenario_DT!O$11*(IF(Scenario_DT!O$18=1,1,1+$M100/Scenario_DT!$C$19)*(1+$N100)^MAX(0,Scenario_DT!O$18-3))*(Scenario_DT!O$12+$O100)-Scenario_DT!O$13)*(1-Scenario_DT!O$14)+Scenario_DT!O$13-Scenario_DT!O$15)*Scenario_DT!O$16</f>
        <v>2949.8851264284849</v>
      </c>
      <c r="Y100" s="28">
        <f>((Scenario_DT!P$11*(IF(Scenario_DT!P$18=1,1,1+$M100/Scenario_DT!$C$19)*(1+$N100)^MAX(0,Scenario_DT!P$18-3))*(Scenario_DT!P$12+$O100)-Scenario_DT!P$13)*(1-Scenario_DT!P$14)+Scenario_DT!P$13-Scenario_DT!P$15)*Scenario_DT!P$16</f>
        <v>3120.4690597940066</v>
      </c>
      <c r="Z100" s="28">
        <f>((Scenario_DT!Q$11*(IF(Scenario_DT!Q$18=1,1,1+$M100/Scenario_DT!$C$19)*(1+$N100)^MAX(0,Scenario_DT!Q$18-3))*(Scenario_DT!Q$12+$O100)-Scenario_DT!Q$13)*(1-Scenario_DT!Q$14)+Scenario_DT!Q$13-Scenario_DT!Q$15)*Scenario_DT!Q$16</f>
        <v>3300.9296748021475</v>
      </c>
      <c r="AA100" s="28">
        <f>((Scenario_DT!R$11*(IF(Scenario_DT!R$18=1,1,1+$M100/Scenario_DT!$C$19)*(1+$N100)^MAX(0,Scenario_DT!R$18-3))*(Scenario_DT!R$12+$O100)-Scenario_DT!R$13)*(1-Scenario_DT!R$14)+Scenario_DT!R$13-Scenario_DT!R$15)*Scenario_DT!R$16</f>
        <v>3491.8417963432685</v>
      </c>
      <c r="AB100" s="17">
        <f>(Scenario_DT!$R$11*(1+$M100/Scenario_DT!$C$19)*(1+$N100)^7*(Scenario_DT!$R$12+$O100)*(1+MIN(DCF_FCFF!$C$26+$Q100,(DCF_FCFF!$C$25+$P100)-0.02))*(1-DCF_FCFF!$C$27)*(1-DCF_FCFF!$C$28)/((DCF_FCFF!$C$25+$P100)-MIN(DCF_FCFF!$C$26+$Q100,(DCF_FCFF!$C$25+$P100)-0.02)))*(1+(DCF_FCFF!$C$25+$P100))^(-(Inputs!$C$9+9))</f>
        <v>30189.037948949775</v>
      </c>
      <c r="AC100" s="17">
        <f>SUMPRODUCT(R100:AA100*(1+(DCF_FCFF!$C$25+$P100))^(-Scenario_DT!$I$17:$R$17))+AB100</f>
        <v>46746.599397048914</v>
      </c>
      <c r="AD100" s="68">
        <f>((AC100-DCF_FCFF!$C$48)*(1-DCF_FCFF!$C$50)+DCF_FCFF!$C$57+DCF_FCFF!$C$58)/DCF_FCFF!$C$60</f>
        <v>352.26535670122593</v>
      </c>
      <c r="AE100" s="6"/>
      <c r="AF100" s="6"/>
      <c r="AG100" s="6"/>
    </row>
    <row r="101" spans="1:33" x14ac:dyDescent="0.3">
      <c r="A101" s="6"/>
      <c r="B101" s="72">
        <v>70</v>
      </c>
      <c r="C101" s="73">
        <v>0.79511483898308599</v>
      </c>
      <c r="D101" s="73">
        <v>0.94602706281732996</v>
      </c>
      <c r="E101" s="73">
        <v>0.25338335383918698</v>
      </c>
      <c r="F101" s="73">
        <v>0.59007589535830895</v>
      </c>
      <c r="G101" s="73">
        <v>9.5049197564401194E-2</v>
      </c>
      <c r="H101" s="15">
        <f t="shared" si="11"/>
        <v>0.82429788152890071</v>
      </c>
      <c r="I101" s="15">
        <f t="shared" si="12"/>
        <v>1.6074947763873011</v>
      </c>
      <c r="J101" s="15">
        <f t="shared" si="13"/>
        <v>-0.66388064075398601</v>
      </c>
      <c r="K101" s="15">
        <f t="shared" si="14"/>
        <v>0.22774021177313936</v>
      </c>
      <c r="L101" s="15">
        <f t="shared" si="15"/>
        <v>-1.3102880896168185</v>
      </c>
      <c r="M101" s="18">
        <f t="shared" si="16"/>
        <v>1.6485957630578016E-2</v>
      </c>
      <c r="N101" s="18">
        <f t="shared" si="17"/>
        <v>1.4434242028533108E-2</v>
      </c>
      <c r="O101" s="18">
        <f t="shared" si="18"/>
        <v>-7.9665676890478317E-3</v>
      </c>
      <c r="P101" s="18">
        <f t="shared" si="19"/>
        <v>1.3664412706388361E-3</v>
      </c>
      <c r="Q101" s="18">
        <f t="shared" si="20"/>
        <v>-5.2411523584672739E-3</v>
      </c>
      <c r="R101" s="28">
        <f>((Scenario_DT!I$11*(IF(Scenario_DT!I$18=1,1,1+$M101/Scenario_DT!$C$19)*(1+$N101)^MAX(0,Scenario_DT!I$18-3))*(Scenario_DT!I$12+$O101)-Scenario_DT!I$13)*(1-Scenario_DT!I$14)+Scenario_DT!I$13-Scenario_DT!I$15)*Scenario_DT!I$16</f>
        <v>899.75253442643111</v>
      </c>
      <c r="S101" s="28">
        <f>((Scenario_DT!J$11*(IF(Scenario_DT!J$18=1,1,1+$M101/Scenario_DT!$C$19)*(1+$N101)^MAX(0,Scenario_DT!J$18-3))*(Scenario_DT!J$12+$O101)-Scenario_DT!J$13)*(1-Scenario_DT!J$14)+Scenario_DT!J$13-Scenario_DT!J$15)*Scenario_DT!J$16</f>
        <v>1846.2216227861963</v>
      </c>
      <c r="T101" s="28">
        <f>((Scenario_DT!K$11*(IF(Scenario_DT!K$18=1,1,1+$M101/Scenario_DT!$C$19)*(1+$N101)^MAX(0,Scenario_DT!K$18-3))*(Scenario_DT!K$12+$O101)-Scenario_DT!K$13)*(1-Scenario_DT!K$14)+Scenario_DT!K$13-Scenario_DT!K$15)*Scenario_DT!K$16</f>
        <v>2111.8868121825103</v>
      </c>
      <c r="U101" s="28">
        <f>((Scenario_DT!L$11*(IF(Scenario_DT!L$18=1,1,1+$M101/Scenario_DT!$C$19)*(1+$N101)^MAX(0,Scenario_DT!L$18-3))*(Scenario_DT!L$12+$O101)-Scenario_DT!L$13)*(1-Scenario_DT!L$14)+Scenario_DT!L$13-Scenario_DT!L$15)*Scenario_DT!L$16</f>
        <v>2550.396301904133</v>
      </c>
      <c r="V101" s="28">
        <f>((Scenario_DT!M$11*(IF(Scenario_DT!M$18=1,1,1+$M101/Scenario_DT!$C$19)*(1+$N101)^MAX(0,Scenario_DT!M$18-3))*(Scenario_DT!M$12+$O101)-Scenario_DT!M$13)*(1-Scenario_DT!M$14)+Scenario_DT!M$13-Scenario_DT!M$15)*Scenario_DT!M$16</f>
        <v>2716.104131472478</v>
      </c>
      <c r="W101" s="28">
        <f>((Scenario_DT!N$11*(IF(Scenario_DT!N$18=1,1,1+$M101/Scenario_DT!$C$19)*(1+$N101)^MAX(0,Scenario_DT!N$18-3))*(Scenario_DT!N$12+$O101)-Scenario_DT!N$13)*(1-Scenario_DT!N$14)+Scenario_DT!N$13-Scenario_DT!N$15)*Scenario_DT!N$16</f>
        <v>2892.58947840684</v>
      </c>
      <c r="X101" s="28">
        <f>((Scenario_DT!O$11*(IF(Scenario_DT!O$18=1,1,1+$M101/Scenario_DT!$C$19)*(1+$N101)^MAX(0,Scenario_DT!O$18-3))*(Scenario_DT!O$12+$O101)-Scenario_DT!O$13)*(1-Scenario_DT!O$14)+Scenario_DT!O$13-Scenario_DT!O$15)*Scenario_DT!O$16</f>
        <v>3080.5566073344994</v>
      </c>
      <c r="Y101" s="28">
        <f>((Scenario_DT!P$11*(IF(Scenario_DT!P$18=1,1,1+$M101/Scenario_DT!$C$19)*(1+$N101)^MAX(0,Scenario_DT!P$18-3))*(Scenario_DT!P$12+$O101)-Scenario_DT!P$13)*(1-Scenario_DT!P$14)+Scenario_DT!P$13-Scenario_DT!P$15)*Scenario_DT!P$16</f>
        <v>3280.75578945392</v>
      </c>
      <c r="Z101" s="28">
        <f>((Scenario_DT!Q$11*(IF(Scenario_DT!Q$18=1,1,1+$M101/Scenario_DT!$C$19)*(1+$N101)^MAX(0,Scenario_DT!Q$18-3))*(Scenario_DT!Q$12+$O101)-Scenario_DT!Q$13)*(1-Scenario_DT!Q$14)+Scenario_DT!Q$13-Scenario_DT!Q$15)*Scenario_DT!Q$16</f>
        <v>3493.9863057085668</v>
      </c>
      <c r="AA101" s="28">
        <f>((Scenario_DT!R$11*(IF(Scenario_DT!R$18=1,1,1+$M101/Scenario_DT!$C$19)*(1+$N101)^MAX(0,Scenario_DT!R$18-3))*(Scenario_DT!R$12+$O101)-Scenario_DT!R$13)*(1-Scenario_DT!R$14)+Scenario_DT!R$13-Scenario_DT!R$15)*Scenario_DT!R$16</f>
        <v>3721.0996458838936</v>
      </c>
      <c r="AB101" s="17">
        <f>(Scenario_DT!$R$11*(1+$M101/Scenario_DT!$C$19)*(1+$N101)^7*(Scenario_DT!$R$12+$O101)*(1+MIN(DCF_FCFF!$C$26+$Q101,(DCF_FCFF!$C$25+$P101)-0.02))*(1-DCF_FCFF!$C$27)*(1-DCF_FCFF!$C$28)/((DCF_FCFF!$C$25+$P101)-MIN(DCF_FCFF!$C$26+$Q101,(DCF_FCFF!$C$25+$P101)-0.02)))*(1+(DCF_FCFF!$C$25+$P101))^(-(Inputs!$C$9+9))</f>
        <v>27260.766468882233</v>
      </c>
      <c r="AC101" s="17">
        <f>SUMPRODUCT(R101:AA101*(1+(DCF_FCFF!$C$25+$P101))^(-Scenario_DT!$I$17:$R$17))+AB101</f>
        <v>44395.484502028659</v>
      </c>
      <c r="AD101" s="68">
        <f>((AC101-DCF_FCFF!$C$48)*(1-DCF_FCFF!$C$50)+DCF_FCFF!$C$57+DCF_FCFF!$C$58)/DCF_FCFF!$C$60</f>
        <v>329.69754917070333</v>
      </c>
      <c r="AE101" s="6"/>
      <c r="AF101" s="6"/>
      <c r="AG101" s="6"/>
    </row>
    <row r="102" spans="1:33" x14ac:dyDescent="0.3">
      <c r="A102" s="6"/>
      <c r="B102" s="72">
        <v>71</v>
      </c>
      <c r="C102" s="73">
        <v>0.61616570002412097</v>
      </c>
      <c r="D102" s="73">
        <v>0.171291304092789</v>
      </c>
      <c r="E102" s="73">
        <v>0.56495061147244197</v>
      </c>
      <c r="F102" s="73">
        <v>0.57243051403385004</v>
      </c>
      <c r="G102" s="73">
        <v>0.465985152981227</v>
      </c>
      <c r="H102" s="15">
        <f t="shared" si="11"/>
        <v>0.29542583514616166</v>
      </c>
      <c r="I102" s="15">
        <f t="shared" si="12"/>
        <v>-0.94907472508826229</v>
      </c>
      <c r="J102" s="15">
        <f t="shared" si="13"/>
        <v>0.1635330197720446</v>
      </c>
      <c r="K102" s="15">
        <f t="shared" si="14"/>
        <v>0.1825654801246058</v>
      </c>
      <c r="L102" s="15">
        <f t="shared" si="15"/>
        <v>-8.5366146633879092E-2</v>
      </c>
      <c r="M102" s="18">
        <f t="shared" si="16"/>
        <v>5.9085167029232335E-3</v>
      </c>
      <c r="N102" s="18">
        <f t="shared" si="17"/>
        <v>-5.3936792355446924E-3</v>
      </c>
      <c r="O102" s="18">
        <f t="shared" si="18"/>
        <v>1.9623962372645352E-3</v>
      </c>
      <c r="P102" s="18">
        <f t="shared" si="19"/>
        <v>1.0953928807476349E-3</v>
      </c>
      <c r="Q102" s="18">
        <f t="shared" si="20"/>
        <v>-3.4146458653551637E-4</v>
      </c>
      <c r="R102" s="28">
        <f>((Scenario_DT!I$11*(IF(Scenario_DT!I$18=1,1,1+$M102/Scenario_DT!$C$19)*(1+$N102)^MAX(0,Scenario_DT!I$18-3))*(Scenario_DT!I$12+$O102)-Scenario_DT!I$13)*(1-Scenario_DT!I$14)+Scenario_DT!I$13-Scenario_DT!I$15)*Scenario_DT!I$16</f>
        <v>913.75130504274568</v>
      </c>
      <c r="S102" s="28">
        <f>((Scenario_DT!J$11*(IF(Scenario_DT!J$18=1,1,1+$M102/Scenario_DT!$C$19)*(1+$N102)^MAX(0,Scenario_DT!J$18-3))*(Scenario_DT!J$12+$O102)-Scenario_DT!J$13)*(1-Scenario_DT!J$14)+Scenario_DT!J$13-Scenario_DT!J$15)*Scenario_DT!J$16</f>
        <v>1852.2040010165674</v>
      </c>
      <c r="T102" s="28">
        <f>((Scenario_DT!K$11*(IF(Scenario_DT!K$18=1,1,1+$M102/Scenario_DT!$C$19)*(1+$N102)^MAX(0,Scenario_DT!K$18-3))*(Scenario_DT!K$12+$O102)-Scenario_DT!K$13)*(1-Scenario_DT!K$14)+Scenario_DT!K$13-Scenario_DT!K$15)*Scenario_DT!K$16</f>
        <v>2117.726862712489</v>
      </c>
      <c r="U102" s="28">
        <f>((Scenario_DT!L$11*(IF(Scenario_DT!L$18=1,1,1+$M102/Scenario_DT!$C$19)*(1+$N102)^MAX(0,Scenario_DT!L$18-3))*(Scenario_DT!L$12+$O102)-Scenario_DT!L$13)*(1-Scenario_DT!L$14)+Scenario_DT!L$13-Scenario_DT!L$15)*Scenario_DT!L$16</f>
        <v>2506.3843381333522</v>
      </c>
      <c r="V102" s="28">
        <f>((Scenario_DT!M$11*(IF(Scenario_DT!M$18=1,1,1+$M102/Scenario_DT!$C$19)*(1+$N102)^MAX(0,Scenario_DT!M$18-3))*(Scenario_DT!M$12+$O102)-Scenario_DT!M$13)*(1-Scenario_DT!M$14)+Scenario_DT!M$13-Scenario_DT!M$15)*Scenario_DT!M$16</f>
        <v>2616.6919918603444</v>
      </c>
      <c r="W102" s="28">
        <f>((Scenario_DT!N$11*(IF(Scenario_DT!N$18=1,1,1+$M102/Scenario_DT!$C$19)*(1+$N102)^MAX(0,Scenario_DT!N$18-3))*(Scenario_DT!N$12+$O102)-Scenario_DT!N$13)*(1-Scenario_DT!N$14)+Scenario_DT!N$13-Scenario_DT!N$15)*Scenario_DT!N$16</f>
        <v>2731.8383957416991</v>
      </c>
      <c r="X102" s="28">
        <f>((Scenario_DT!O$11*(IF(Scenario_DT!O$18=1,1,1+$M102/Scenario_DT!$C$19)*(1+$N102)^MAX(0,Scenario_DT!O$18-3))*(Scenario_DT!O$12+$O102)-Scenario_DT!O$13)*(1-Scenario_DT!O$14)+Scenario_DT!O$13-Scenario_DT!O$15)*Scenario_DT!O$16</f>
        <v>2852.0376031951246</v>
      </c>
      <c r="Y102" s="28">
        <f>((Scenario_DT!P$11*(IF(Scenario_DT!P$18=1,1,1+$M102/Scenario_DT!$C$19)*(1+$N102)^MAX(0,Scenario_DT!P$18-3))*(Scenario_DT!P$12+$O102)-Scenario_DT!P$13)*(1-Scenario_DT!P$14)+Scenario_DT!P$13-Scenario_DT!P$15)*Scenario_DT!P$16</f>
        <v>2977.5131556002866</v>
      </c>
      <c r="Z102" s="28">
        <f>((Scenario_DT!Q$11*(IF(Scenario_DT!Q$18=1,1,1+$M102/Scenario_DT!$C$19)*(1+$N102)^MAX(0,Scenario_DT!Q$18-3))*(Scenario_DT!Q$12+$O102)-Scenario_DT!Q$13)*(1-Scenario_DT!Q$14)+Scenario_DT!Q$13-Scenario_DT!Q$15)*Scenario_DT!Q$16</f>
        <v>3108.498503075612</v>
      </c>
      <c r="AA102" s="28">
        <f>((Scenario_DT!R$11*(IF(Scenario_DT!R$18=1,1,1+$M102/Scenario_DT!$C$19)*(1+$N102)^MAX(0,Scenario_DT!R$18-3))*(Scenario_DT!R$12+$O102)-Scenario_DT!R$13)*(1-Scenario_DT!R$14)+Scenario_DT!R$13-Scenario_DT!R$15)*Scenario_DT!R$16</f>
        <v>3245.2374439197115</v>
      </c>
      <c r="AB102" s="17">
        <f>(Scenario_DT!$R$11*(1+$M102/Scenario_DT!$C$19)*(1+$N102)^7*(Scenario_DT!$R$12+$O102)*(1+MIN(DCF_FCFF!$C$26+$Q102,(DCF_FCFF!$C$25+$P102)-0.02))*(1-DCF_FCFF!$C$27)*(1-DCF_FCFF!$C$28)/((DCF_FCFF!$C$25+$P102)-MIN(DCF_FCFF!$C$26+$Q102,(DCF_FCFF!$C$25+$P102)-0.02)))*(1+(DCF_FCFF!$C$25+$P102))^(-(Inputs!$C$9+9))</f>
        <v>26360.941447335365</v>
      </c>
      <c r="AC102" s="17">
        <f>SUMPRODUCT(R102:AA102*(1+(DCF_FCFF!$C$25+$P102))^(-Scenario_DT!$I$17:$R$17))+AB102</f>
        <v>42622.582497390395</v>
      </c>
      <c r="AD102" s="68">
        <f>((AC102-DCF_FCFF!$C$48)*(1-DCF_FCFF!$C$50)+DCF_FCFF!$C$57+DCF_FCFF!$C$58)/DCF_FCFF!$C$60</f>
        <v>312.67987330301276</v>
      </c>
      <c r="AE102" s="6"/>
      <c r="AF102" s="6"/>
      <c r="AG102" s="6"/>
    </row>
    <row r="103" spans="1:33" x14ac:dyDescent="0.3">
      <c r="A103" s="6"/>
      <c r="B103" s="72">
        <v>72</v>
      </c>
      <c r="C103" s="73">
        <v>0.52263177551312301</v>
      </c>
      <c r="D103" s="73">
        <v>0.76392339000658804</v>
      </c>
      <c r="E103" s="73">
        <v>0.79924471651206697</v>
      </c>
      <c r="F103" s="73">
        <v>0.49215321557542901</v>
      </c>
      <c r="G103" s="73">
        <v>0.59959344152261196</v>
      </c>
      <c r="H103" s="15">
        <f t="shared" si="11"/>
        <v>5.6759910799388941E-2</v>
      </c>
      <c r="I103" s="15">
        <f t="shared" si="12"/>
        <v>0.71898003683853007</v>
      </c>
      <c r="J103" s="15">
        <f t="shared" si="13"/>
        <v>0.83892648048913399</v>
      </c>
      <c r="K103" s="15">
        <f t="shared" si="14"/>
        <v>-1.9670240092739846E-2</v>
      </c>
      <c r="L103" s="15">
        <f t="shared" si="15"/>
        <v>0.25229491671638055</v>
      </c>
      <c r="M103" s="18">
        <f t="shared" si="16"/>
        <v>1.1351982159877789E-3</v>
      </c>
      <c r="N103" s="18">
        <f t="shared" si="17"/>
        <v>5.2082794569258649E-3</v>
      </c>
      <c r="O103" s="18">
        <f t="shared" si="18"/>
        <v>1.0067117765869608E-2</v>
      </c>
      <c r="P103" s="18">
        <f t="shared" si="19"/>
        <v>-1.1802144055643908E-4</v>
      </c>
      <c r="Q103" s="18">
        <f t="shared" si="20"/>
        <v>1.0091796668655222E-3</v>
      </c>
      <c r="R103" s="28">
        <f>((Scenario_DT!I$11*(IF(Scenario_DT!I$18=1,1,1+$M103/Scenario_DT!$C$19)*(1+$N103)^MAX(0,Scenario_DT!I$18-3))*(Scenario_DT!I$12+$O103)-Scenario_DT!I$13)*(1-Scenario_DT!I$14)+Scenario_DT!I$13-Scenario_DT!I$15)*Scenario_DT!I$16</f>
        <v>925.17809019677213</v>
      </c>
      <c r="S103" s="28">
        <f>((Scenario_DT!J$11*(IF(Scenario_DT!J$18=1,1,1+$M103/Scenario_DT!$C$19)*(1+$N103)^MAX(0,Scenario_DT!J$18-3))*(Scenario_DT!J$12+$O103)-Scenario_DT!J$13)*(1-Scenario_DT!J$14)+Scenario_DT!J$13-Scenario_DT!J$15)*Scenario_DT!J$16</f>
        <v>1865.9525860269791</v>
      </c>
      <c r="T103" s="28">
        <f>((Scenario_DT!K$11*(IF(Scenario_DT!K$18=1,1,1+$M103/Scenario_DT!$C$19)*(1+$N103)^MAX(0,Scenario_DT!K$18-3))*(Scenario_DT!K$12+$O103)-Scenario_DT!K$13)*(1-Scenario_DT!K$14)+Scenario_DT!K$13-Scenario_DT!K$15)*Scenario_DT!K$16</f>
        <v>2131.8125990255476</v>
      </c>
      <c r="U103" s="28">
        <f>((Scenario_DT!L$11*(IF(Scenario_DT!L$18=1,1,1+$M103/Scenario_DT!$C$19)*(1+$N103)^MAX(0,Scenario_DT!L$18-3))*(Scenario_DT!L$12+$O103)-Scenario_DT!L$13)*(1-Scenario_DT!L$14)+Scenario_DT!L$13-Scenario_DT!L$15)*Scenario_DT!L$16</f>
        <v>2548.3147053439952</v>
      </c>
      <c r="V103" s="28">
        <f>((Scenario_DT!M$11*(IF(Scenario_DT!M$18=1,1,1+$M103/Scenario_DT!$C$19)*(1+$N103)^MAX(0,Scenario_DT!M$18-3))*(Scenario_DT!M$12+$O103)-Scenario_DT!M$13)*(1-Scenario_DT!M$14)+Scenario_DT!M$13-Scenario_DT!M$15)*Scenario_DT!M$16</f>
        <v>2689.0372462495679</v>
      </c>
      <c r="W103" s="28">
        <f>((Scenario_DT!N$11*(IF(Scenario_DT!N$18=1,1,1+$M103/Scenario_DT!$C$19)*(1+$N103)^MAX(0,Scenario_DT!N$18-3))*(Scenario_DT!N$12+$O103)-Scenario_DT!N$13)*(1-Scenario_DT!N$14)+Scenario_DT!N$13-Scenario_DT!N$15)*Scenario_DT!N$16</f>
        <v>2837.5309860127268</v>
      </c>
      <c r="X103" s="28">
        <f>((Scenario_DT!O$11*(IF(Scenario_DT!O$18=1,1,1+$M103/Scenario_DT!$C$19)*(1+$N103)^MAX(0,Scenario_DT!O$18-3))*(Scenario_DT!O$12+$O103)-Scenario_DT!O$13)*(1-Scenario_DT!O$14)+Scenario_DT!O$13-Scenario_DT!O$15)*Scenario_DT!O$16</f>
        <v>2994.2278528728652</v>
      </c>
      <c r="Y103" s="28">
        <f>((Scenario_DT!P$11*(IF(Scenario_DT!P$18=1,1,1+$M103/Scenario_DT!$C$19)*(1+$N103)^MAX(0,Scenario_DT!P$18-3))*(Scenario_DT!P$12+$O103)-Scenario_DT!P$13)*(1-Scenario_DT!P$14)+Scenario_DT!P$13-Scenario_DT!P$15)*Scenario_DT!P$16</f>
        <v>3159.583796342507</v>
      </c>
      <c r="Z103" s="28">
        <f>((Scenario_DT!Q$11*(IF(Scenario_DT!Q$18=1,1,1+$M103/Scenario_DT!$C$19)*(1+$N103)^MAX(0,Scenario_DT!Q$18-3))*(Scenario_DT!Q$12+$O103)-Scenario_DT!Q$13)*(1-Scenario_DT!Q$14)+Scenario_DT!Q$13-Scenario_DT!Q$15)*Scenario_DT!Q$16</f>
        <v>3334.0801226674976</v>
      </c>
      <c r="AA103" s="28">
        <f>((Scenario_DT!R$11*(IF(Scenario_DT!R$18=1,1,1+$M103/Scenario_DT!$C$19)*(1+$N103)^MAX(0,Scenario_DT!R$18-3))*(Scenario_DT!R$12+$O103)-Scenario_DT!R$13)*(1-Scenario_DT!R$14)+Scenario_DT!R$13-Scenario_DT!R$15)*Scenario_DT!R$16</f>
        <v>3518.2249045004046</v>
      </c>
      <c r="AB103" s="17">
        <f>(Scenario_DT!$R$11*(1+$M103/Scenario_DT!$C$19)*(1+$N103)^7*(Scenario_DT!$R$12+$O103)*(1+MIN(DCF_FCFF!$C$26+$Q103,(DCF_FCFF!$C$25+$P103)-0.02))*(1-DCF_FCFF!$C$27)*(1-DCF_FCFF!$C$28)/((DCF_FCFF!$C$25+$P103)-MIN(DCF_FCFF!$C$26+$Q103,(DCF_FCFF!$C$25+$P103)-0.02)))*(1+(DCF_FCFF!$C$25+$P103))^(-(Inputs!$C$9+9))</f>
        <v>30403.19599292456</v>
      </c>
      <c r="AC103" s="17">
        <f>SUMPRODUCT(R103:AA103*(1+(DCF_FCFF!$C$25+$P103))^(-Scenario_DT!$I$17:$R$17))+AB103</f>
        <v>47359.437165024079</v>
      </c>
      <c r="AD103" s="68">
        <f>((AC103-DCF_FCFF!$C$48)*(1-DCF_FCFF!$C$50)+DCF_FCFF!$C$57+DCF_FCFF!$C$58)/DCF_FCFF!$C$60</f>
        <v>358.14784454747792</v>
      </c>
      <c r="AE103" s="6"/>
      <c r="AF103" s="6"/>
      <c r="AG103" s="6"/>
    </row>
    <row r="104" spans="1:33" x14ac:dyDescent="0.3">
      <c r="A104" s="6"/>
      <c r="B104" s="72">
        <v>73</v>
      </c>
      <c r="C104" s="73">
        <v>0.93123623569010205</v>
      </c>
      <c r="D104" s="73">
        <v>0.11973358850112301</v>
      </c>
      <c r="E104" s="73">
        <v>0.11710356590011101</v>
      </c>
      <c r="F104" s="73">
        <v>8.7709011910768395E-2</v>
      </c>
      <c r="G104" s="73">
        <v>0.65786328504052805</v>
      </c>
      <c r="H104" s="15">
        <f t="shared" si="11"/>
        <v>1.4850615184865505</v>
      </c>
      <c r="I104" s="15">
        <f t="shared" si="12"/>
        <v>-1.1763196234774436</v>
      </c>
      <c r="J104" s="15">
        <f t="shared" si="13"/>
        <v>-1.1895911351266542</v>
      </c>
      <c r="K104" s="15">
        <f t="shared" si="14"/>
        <v>-1.3549985348867362</v>
      </c>
      <c r="L104" s="15">
        <f t="shared" si="15"/>
        <v>0.40663861724684303</v>
      </c>
      <c r="M104" s="18">
        <f t="shared" si="16"/>
        <v>2.9701230369731012E-2</v>
      </c>
      <c r="N104" s="18">
        <f t="shared" si="17"/>
        <v>-2.2095353412666919E-3</v>
      </c>
      <c r="O104" s="18">
        <f t="shared" si="18"/>
        <v>-1.427509362151985E-2</v>
      </c>
      <c r="P104" s="18">
        <f t="shared" si="19"/>
        <v>-8.1299912093204165E-3</v>
      </c>
      <c r="Q104" s="18">
        <f t="shared" si="20"/>
        <v>1.626554468987372E-3</v>
      </c>
      <c r="R104" s="28">
        <f>((Scenario_DT!I$11*(IF(Scenario_DT!I$18=1,1,1+$M104/Scenario_DT!$C$19)*(1+$N104)^MAX(0,Scenario_DT!I$18-3))*(Scenario_DT!I$12+$O104)-Scenario_DT!I$13)*(1-Scenario_DT!I$14)+Scenario_DT!I$13-Scenario_DT!I$15)*Scenario_DT!I$16</f>
        <v>890.85819176277028</v>
      </c>
      <c r="S104" s="28">
        <f>((Scenario_DT!J$11*(IF(Scenario_DT!J$18=1,1,1+$M104/Scenario_DT!$C$19)*(1+$N104)^MAX(0,Scenario_DT!J$18-3))*(Scenario_DT!J$12+$O104)-Scenario_DT!J$13)*(1-Scenario_DT!J$14)+Scenario_DT!J$13-Scenario_DT!J$15)*Scenario_DT!J$16</f>
        <v>1857.3168905518332</v>
      </c>
      <c r="T104" s="28">
        <f>((Scenario_DT!K$11*(IF(Scenario_DT!K$18=1,1,1+$M104/Scenario_DT!$C$19)*(1+$N104)^MAX(0,Scenario_DT!K$18-3))*(Scenario_DT!K$12+$O104)-Scenario_DT!K$13)*(1-Scenario_DT!K$14)+Scenario_DT!K$13-Scenario_DT!K$15)*Scenario_DT!K$16</f>
        <v>2123.8344890645021</v>
      </c>
      <c r="U104" s="28">
        <f>((Scenario_DT!L$11*(IF(Scenario_DT!L$18=1,1,1+$M104/Scenario_DT!$C$19)*(1+$N104)^MAX(0,Scenario_DT!L$18-3))*(Scenario_DT!L$12+$O104)-Scenario_DT!L$13)*(1-Scenario_DT!L$14)+Scenario_DT!L$13-Scenario_DT!L$15)*Scenario_DT!L$16</f>
        <v>2520.9329373062387</v>
      </c>
      <c r="V104" s="28">
        <f>((Scenario_DT!M$11*(IF(Scenario_DT!M$18=1,1,1+$M104/Scenario_DT!$C$19)*(1+$N104)^MAX(0,Scenario_DT!M$18-3))*(Scenario_DT!M$12+$O104)-Scenario_DT!M$13)*(1-Scenario_DT!M$14)+Scenario_DT!M$13-Scenario_DT!M$15)*Scenario_DT!M$16</f>
        <v>2640.3704095183716</v>
      </c>
      <c r="W104" s="28">
        <f>((Scenario_DT!N$11*(IF(Scenario_DT!N$18=1,1,1+$M104/Scenario_DT!$C$19)*(1+$N104)^MAX(0,Scenario_DT!N$18-3))*(Scenario_DT!N$12+$O104)-Scenario_DT!N$13)*(1-Scenario_DT!N$14)+Scenario_DT!N$13-Scenario_DT!N$15)*Scenario_DT!N$16</f>
        <v>2765.4559716592962</v>
      </c>
      <c r="X104" s="28">
        <f>((Scenario_DT!O$11*(IF(Scenario_DT!O$18=1,1,1+$M104/Scenario_DT!$C$19)*(1+$N104)^MAX(0,Scenario_DT!O$18-3))*(Scenario_DT!O$12+$O104)-Scenario_DT!O$13)*(1-Scenario_DT!O$14)+Scenario_DT!O$13-Scenario_DT!O$15)*Scenario_DT!O$16</f>
        <v>2896.4588496958208</v>
      </c>
      <c r="Y104" s="28">
        <f>((Scenario_DT!P$11*(IF(Scenario_DT!P$18=1,1,1+$M104/Scenario_DT!$C$19)*(1+$N104)^MAX(0,Scenario_DT!P$18-3))*(Scenario_DT!P$12+$O104)-Scenario_DT!P$13)*(1-Scenario_DT!P$14)+Scenario_DT!P$13-Scenario_DT!P$15)*Scenario_DT!P$16</f>
        <v>3033.6611234282032</v>
      </c>
      <c r="Z104" s="28">
        <f>((Scenario_DT!Q$11*(IF(Scenario_DT!Q$18=1,1,1+$M104/Scenario_DT!$C$19)*(1+$N104)^MAX(0,Scenario_DT!Q$18-3))*(Scenario_DT!Q$12+$O104)-Scenario_DT!Q$13)*(1-Scenario_DT!Q$14)+Scenario_DT!Q$13-Scenario_DT!Q$15)*Scenario_DT!Q$16</f>
        <v>3177.3583403499547</v>
      </c>
      <c r="AA104" s="28">
        <f>((Scenario_DT!R$11*(IF(Scenario_DT!R$18=1,1,1+$M104/Scenario_DT!$C$19)*(1+$N104)^MAX(0,Scenario_DT!R$18-3))*(Scenario_DT!R$12+$O104)-Scenario_DT!R$13)*(1-Scenario_DT!R$14)+Scenario_DT!R$13-Scenario_DT!R$15)*Scenario_DT!R$16</f>
        <v>3327.8601588237711</v>
      </c>
      <c r="AB104" s="17">
        <f>(Scenario_DT!$R$11*(1+$M104/Scenario_DT!$C$19)*(1+$N104)^7*(Scenario_DT!$R$12+$O104)*(1+MIN(DCF_FCFF!$C$26+$Q104,(DCF_FCFF!$C$25+$P104)-0.02))*(1-DCF_FCFF!$C$27)*(1-DCF_FCFF!$C$28)/((DCF_FCFF!$C$25+$P104)-MIN(DCF_FCFF!$C$26+$Q104,(DCF_FCFF!$C$25+$P104)-0.02)))*(1+(DCF_FCFF!$C$25+$P104))^(-(Inputs!$C$9+9))</f>
        <v>37426.176651652553</v>
      </c>
      <c r="AC104" s="17">
        <f>SUMPRODUCT(R104:AA104*(1+(DCF_FCFF!$C$25+$P104))^(-Scenario_DT!$I$17:$R$17))+AB104</f>
        <v>54510.893588639992</v>
      </c>
      <c r="AD104" s="68">
        <f>((AC104-DCF_FCFF!$C$48)*(1-DCF_FCFF!$C$50)+DCF_FCFF!$C$57+DCF_FCFF!$C$58)/DCF_FCFF!$C$60</f>
        <v>426.79301900191194</v>
      </c>
      <c r="AE104" s="6"/>
      <c r="AF104" s="6"/>
      <c r="AG104" s="6"/>
    </row>
    <row r="105" spans="1:33" x14ac:dyDescent="0.3">
      <c r="A105" s="6"/>
      <c r="B105" s="72">
        <v>74</v>
      </c>
      <c r="C105" s="73">
        <v>0.41860830079037997</v>
      </c>
      <c r="D105" s="73">
        <v>0.77432141614184302</v>
      </c>
      <c r="E105" s="73">
        <v>0.67123141330859304</v>
      </c>
      <c r="F105" s="73">
        <v>0.333637758328238</v>
      </c>
      <c r="G105" s="73">
        <v>0.89836654736153598</v>
      </c>
      <c r="H105" s="15">
        <f t="shared" si="11"/>
        <v>-0.20545506566427035</v>
      </c>
      <c r="I105" s="15">
        <f t="shared" si="12"/>
        <v>0.75315434985665997</v>
      </c>
      <c r="J105" s="15">
        <f t="shared" si="13"/>
        <v>0.44331601523144742</v>
      </c>
      <c r="K105" s="15">
        <f t="shared" si="14"/>
        <v>-0.42989019714964632</v>
      </c>
      <c r="L105" s="15">
        <f t="shared" si="15"/>
        <v>1.2722989957556774</v>
      </c>
      <c r="M105" s="18">
        <f t="shared" si="16"/>
        <v>-4.1091013132854067E-3</v>
      </c>
      <c r="N105" s="18">
        <f t="shared" si="17"/>
        <v>4.3961861369158804E-3</v>
      </c>
      <c r="O105" s="18">
        <f t="shared" si="18"/>
        <v>5.319792182777369E-3</v>
      </c>
      <c r="P105" s="18">
        <f t="shared" si="19"/>
        <v>-2.579341182897878E-3</v>
      </c>
      <c r="Q105" s="18">
        <f t="shared" si="20"/>
        <v>5.0891959830227096E-3</v>
      </c>
      <c r="R105" s="28">
        <f>((Scenario_DT!I$11*(IF(Scenario_DT!I$18=1,1,1+$M105/Scenario_DT!$C$19)*(1+$N105)^MAX(0,Scenario_DT!I$18-3))*(Scenario_DT!I$12+$O105)-Scenario_DT!I$13)*(1-Scenario_DT!I$14)+Scenario_DT!I$13-Scenario_DT!I$15)*Scenario_DT!I$16</f>
        <v>918.48487201490752</v>
      </c>
      <c r="S105" s="28">
        <f>((Scenario_DT!J$11*(IF(Scenario_DT!J$18=1,1,1+$M105/Scenario_DT!$C$19)*(1+$N105)^MAX(0,Scenario_DT!J$18-3))*(Scenario_DT!J$12+$O105)-Scenario_DT!J$13)*(1-Scenario_DT!J$14)+Scenario_DT!J$13-Scenario_DT!J$15)*Scenario_DT!J$16</f>
        <v>1838.5225408084821</v>
      </c>
      <c r="T105" s="28">
        <f>((Scenario_DT!K$11*(IF(Scenario_DT!K$18=1,1,1+$M105/Scenario_DT!$C$19)*(1+$N105)^MAX(0,Scenario_DT!K$18-3))*(Scenario_DT!K$12+$O105)-Scenario_DT!K$13)*(1-Scenario_DT!K$14)+Scenario_DT!K$13-Scenario_DT!K$15)*Scenario_DT!K$16</f>
        <v>2103.2077695672133</v>
      </c>
      <c r="U105" s="28">
        <f>((Scenario_DT!L$11*(IF(Scenario_DT!L$18=1,1,1+$M105/Scenario_DT!$C$19)*(1+$N105)^MAX(0,Scenario_DT!L$18-3))*(Scenario_DT!L$12+$O105)-Scenario_DT!L$13)*(1-Scenario_DT!L$14)+Scenario_DT!L$13-Scenario_DT!L$15)*Scenario_DT!L$16</f>
        <v>2515.7368540209141</v>
      </c>
      <c r="V105" s="28">
        <f>((Scenario_DT!M$11*(IF(Scenario_DT!M$18=1,1,1+$M105/Scenario_DT!$C$19)*(1+$N105)^MAX(0,Scenario_DT!M$18-3))*(Scenario_DT!M$12+$O105)-Scenario_DT!M$13)*(1-Scenario_DT!M$14)+Scenario_DT!M$13-Scenario_DT!M$15)*Scenario_DT!M$16</f>
        <v>2652.4927911544141</v>
      </c>
      <c r="W105" s="28">
        <f>((Scenario_DT!N$11*(IF(Scenario_DT!N$18=1,1,1+$M105/Scenario_DT!$C$19)*(1+$N105)^MAX(0,Scenario_DT!N$18-3))*(Scenario_DT!N$12+$O105)-Scenario_DT!N$13)*(1-Scenario_DT!N$14)+Scenario_DT!N$13-Scenario_DT!N$15)*Scenario_DT!N$16</f>
        <v>2796.6819586842289</v>
      </c>
      <c r="X105" s="28">
        <f>((Scenario_DT!O$11*(IF(Scenario_DT!O$18=1,1,1+$M105/Scenario_DT!$C$19)*(1+$N105)^MAX(0,Scenario_DT!O$18-3))*(Scenario_DT!O$12+$O105)-Scenario_DT!O$13)*(1-Scenario_DT!O$14)+Scenario_DT!O$13-Scenario_DT!O$15)*Scenario_DT!O$16</f>
        <v>2948.7110964353396</v>
      </c>
      <c r="Y105" s="28">
        <f>((Scenario_DT!P$11*(IF(Scenario_DT!P$18=1,1,1+$M105/Scenario_DT!$C$19)*(1+$N105)^MAX(0,Scenario_DT!P$18-3))*(Scenario_DT!P$12+$O105)-Scenario_DT!P$13)*(1-Scenario_DT!P$14)+Scenario_DT!P$13-Scenario_DT!P$15)*Scenario_DT!P$16</f>
        <v>3109.0092165150813</v>
      </c>
      <c r="Z105" s="28">
        <f>((Scenario_DT!Q$11*(IF(Scenario_DT!Q$18=1,1,1+$M105/Scenario_DT!$C$19)*(1+$N105)^MAX(0,Scenario_DT!Q$18-3))*(Scenario_DT!Q$12+$O105)-Scenario_DT!Q$13)*(1-Scenario_DT!Q$14)+Scenario_DT!Q$13-Scenario_DT!Q$15)*Scenario_DT!Q$16</f>
        <v>3278.0288225439704</v>
      </c>
      <c r="AA105" s="28">
        <f>((Scenario_DT!R$11*(IF(Scenario_DT!R$18=1,1,1+$M105/Scenario_DT!$C$19)*(1+$N105)^MAX(0,Scenario_DT!R$18-3))*(Scenario_DT!R$12+$O105)-Scenario_DT!R$13)*(1-Scenario_DT!R$14)+Scenario_DT!R$13-Scenario_DT!R$15)*Scenario_DT!R$16</f>
        <v>3456.2471956032068</v>
      </c>
      <c r="AB105" s="17">
        <f>(Scenario_DT!$R$11*(1+$M105/Scenario_DT!$C$19)*(1+$N105)^7*(Scenario_DT!$R$12+$O105)*(1+MIN(DCF_FCFF!$C$26+$Q105,(DCF_FCFF!$C$25+$P105)-0.02))*(1-DCF_FCFF!$C$27)*(1-DCF_FCFF!$C$28)/((DCF_FCFF!$C$25+$P105)-MIN(DCF_FCFF!$C$26+$Q105,(DCF_FCFF!$C$25+$P105)-0.02)))*(1+(DCF_FCFF!$C$25+$P105))^(-(Inputs!$C$9+9))</f>
        <v>35328.106159414412</v>
      </c>
      <c r="AC105" s="17">
        <f>SUMPRODUCT(R105:AA105*(1+(DCF_FCFF!$C$25+$P105))^(-Scenario_DT!$I$17:$R$17))+AB105</f>
        <v>52215.413119871853</v>
      </c>
      <c r="AD105" s="68">
        <f>((AC105-DCF_FCFF!$C$48)*(1-DCF_FCFF!$C$50)+DCF_FCFF!$C$57+DCF_FCFF!$C$58)/DCF_FCFF!$C$60</f>
        <v>404.75923344810678</v>
      </c>
      <c r="AE105" s="6"/>
      <c r="AF105" s="6"/>
      <c r="AG105" s="6"/>
    </row>
    <row r="106" spans="1:33" x14ac:dyDescent="0.3">
      <c r="A106" s="6"/>
      <c r="B106" s="72">
        <v>75</v>
      </c>
      <c r="C106" s="73">
        <v>0.76253214707065198</v>
      </c>
      <c r="D106" s="73">
        <v>0.27053494091017599</v>
      </c>
      <c r="E106" s="73">
        <v>0.36419201777205401</v>
      </c>
      <c r="F106" s="73">
        <v>0.314439980204263</v>
      </c>
      <c r="G106" s="73">
        <v>0.15761164862499999</v>
      </c>
      <c r="H106" s="15">
        <f t="shared" si="11"/>
        <v>0.71447144720022293</v>
      </c>
      <c r="I106" s="15">
        <f t="shared" si="12"/>
        <v>-0.61119592348582419</v>
      </c>
      <c r="J106" s="15">
        <f t="shared" si="13"/>
        <v>-0.34727592520802575</v>
      </c>
      <c r="K106" s="15">
        <f t="shared" si="14"/>
        <v>-0.48330391535573819</v>
      </c>
      <c r="L106" s="15">
        <f t="shared" si="15"/>
        <v>-1.004322281400515</v>
      </c>
      <c r="M106" s="18">
        <f t="shared" si="16"/>
        <v>1.428942894400446E-2</v>
      </c>
      <c r="N106" s="18">
        <f t="shared" si="17"/>
        <v>-1.3766037826248186E-3</v>
      </c>
      <c r="O106" s="18">
        <f t="shared" si="18"/>
        <v>-4.1673111024963091E-3</v>
      </c>
      <c r="P106" s="18">
        <f t="shared" si="19"/>
        <v>-2.8998234921344293E-3</v>
      </c>
      <c r="Q106" s="18">
        <f t="shared" si="20"/>
        <v>-4.0172891256020603E-3</v>
      </c>
      <c r="R106" s="28">
        <f>((Scenario_DT!I$11*(IF(Scenario_DT!I$18=1,1,1+$M106/Scenario_DT!$C$19)*(1+$N106)^MAX(0,Scenario_DT!I$18-3))*(Scenario_DT!I$12+$O106)-Scenario_DT!I$13)*(1-Scenario_DT!I$14)+Scenario_DT!I$13-Scenario_DT!I$15)*Scenario_DT!I$16</f>
        <v>905.10907735098658</v>
      </c>
      <c r="S106" s="28">
        <f>((Scenario_DT!J$11*(IF(Scenario_DT!J$18=1,1,1+$M106/Scenario_DT!$C$19)*(1+$N106)^MAX(0,Scenario_DT!J$18-3))*(Scenario_DT!J$12+$O106)-Scenario_DT!J$13)*(1-Scenario_DT!J$14)+Scenario_DT!J$13-Scenario_DT!J$15)*Scenario_DT!J$16</f>
        <v>1853.0023686376662</v>
      </c>
      <c r="T106" s="28">
        <f>((Scenario_DT!K$11*(IF(Scenario_DT!K$18=1,1,1+$M106/Scenario_DT!$C$19)*(1+$N106)^MAX(0,Scenario_DT!K$18-3))*(Scenario_DT!K$12+$O106)-Scenario_DT!K$13)*(1-Scenario_DT!K$14)+Scenario_DT!K$13-Scenario_DT!K$15)*Scenario_DT!K$16</f>
        <v>2118.8392001612219</v>
      </c>
      <c r="U106" s="28">
        <f>((Scenario_DT!L$11*(IF(Scenario_DT!L$18=1,1,1+$M106/Scenario_DT!$C$19)*(1+$N106)^MAX(0,Scenario_DT!L$18-3))*(Scenario_DT!L$12+$O106)-Scenario_DT!L$13)*(1-Scenario_DT!L$14)+Scenario_DT!L$13-Scenario_DT!L$15)*Scenario_DT!L$16</f>
        <v>2517.7548567741765</v>
      </c>
      <c r="V106" s="28">
        <f>((Scenario_DT!M$11*(IF(Scenario_DT!M$18=1,1,1+$M106/Scenario_DT!$C$19)*(1+$N106)^MAX(0,Scenario_DT!M$18-3))*(Scenario_DT!M$12+$O106)-Scenario_DT!M$13)*(1-Scenario_DT!M$14)+Scenario_DT!M$13-Scenario_DT!M$15)*Scenario_DT!M$16</f>
        <v>2639.2575298965853</v>
      </c>
      <c r="W106" s="28">
        <f>((Scenario_DT!N$11*(IF(Scenario_DT!N$18=1,1,1+$M106/Scenario_DT!$C$19)*(1+$N106)^MAX(0,Scenario_DT!N$18-3))*(Scenario_DT!N$12+$O106)-Scenario_DT!N$13)*(1-Scenario_DT!N$14)+Scenario_DT!N$13-Scenario_DT!N$15)*Scenario_DT!N$16</f>
        <v>2766.6143941503824</v>
      </c>
      <c r="X106" s="28">
        <f>((Scenario_DT!O$11*(IF(Scenario_DT!O$18=1,1,1+$M106/Scenario_DT!$C$19)*(1+$N106)^MAX(0,Scenario_DT!O$18-3))*(Scenario_DT!O$12+$O106)-Scenario_DT!O$13)*(1-Scenario_DT!O$14)+Scenario_DT!O$13-Scenario_DT!O$15)*Scenario_DT!O$16</f>
        <v>2900.1097284520288</v>
      </c>
      <c r="Y106" s="28">
        <f>((Scenario_DT!P$11*(IF(Scenario_DT!P$18=1,1,1+$M106/Scenario_DT!$C$19)*(1+$N106)^MAX(0,Scenario_DT!P$18-3))*(Scenario_DT!P$12+$O106)-Scenario_DT!P$13)*(1-Scenario_DT!P$14)+Scenario_DT!P$13-Scenario_DT!P$15)*Scenario_DT!P$16</f>
        <v>3040.0416370243342</v>
      </c>
      <c r="Z106" s="28">
        <f>((Scenario_DT!Q$11*(IF(Scenario_DT!Q$18=1,1,1+$M106/Scenario_DT!$C$19)*(1+$N106)^MAX(0,Scenario_DT!Q$18-3))*(Scenario_DT!Q$12+$O106)-Scenario_DT!Q$13)*(1-Scenario_DT!Q$14)+Scenario_DT!Q$13-Scenario_DT!Q$15)*Scenario_DT!Q$16</f>
        <v>3186.7227218967118</v>
      </c>
      <c r="AA106" s="28">
        <f>((Scenario_DT!R$11*(IF(Scenario_DT!R$18=1,1,1+$M106/Scenario_DT!$C$19)*(1+$N106)^MAX(0,Scenario_DT!R$18-3))*(Scenario_DT!R$12+$O106)-Scenario_DT!R$13)*(1-Scenario_DT!R$14)+Scenario_DT!R$13-Scenario_DT!R$15)*Scenario_DT!R$16</f>
        <v>3340.4807881157753</v>
      </c>
      <c r="AB106" s="17">
        <f>(Scenario_DT!$R$11*(1+$M106/Scenario_DT!$C$19)*(1+$N106)^7*(Scenario_DT!$R$12+$O106)*(1+MIN(DCF_FCFF!$C$26+$Q106,(DCF_FCFF!$C$25+$P106)-0.02))*(1-DCF_FCFF!$C$27)*(1-DCF_FCFF!$C$28)/((DCF_FCFF!$C$25+$P106)-MIN(DCF_FCFF!$C$26+$Q106,(DCF_FCFF!$C$25+$P106)-0.02)))*(1+(DCF_FCFF!$C$25+$P106))^(-(Inputs!$C$9+9))</f>
        <v>28160.894001375978</v>
      </c>
      <c r="AC106" s="17">
        <f>SUMPRODUCT(R106:AA106*(1+(DCF_FCFF!$C$25+$P106))^(-Scenario_DT!$I$17:$R$17))+AB106</f>
        <v>44887.891269025669</v>
      </c>
      <c r="AD106" s="68">
        <f>((AC106-DCF_FCFF!$C$48)*(1-DCF_FCFF!$C$50)+DCF_FCFF!$C$57+DCF_FCFF!$C$58)/DCF_FCFF!$C$60</f>
        <v>334.4240477216045</v>
      </c>
      <c r="AE106" s="6"/>
      <c r="AF106" s="6"/>
      <c r="AG106" s="6"/>
    </row>
    <row r="107" spans="1:33" x14ac:dyDescent="0.3">
      <c r="A107" s="6"/>
      <c r="B107" s="72">
        <v>76</v>
      </c>
      <c r="C107" s="73">
        <v>0.14778337254219201</v>
      </c>
      <c r="D107" s="73">
        <v>0.93612746337574404</v>
      </c>
      <c r="E107" s="73">
        <v>0.43790403719875298</v>
      </c>
      <c r="F107" s="73">
        <v>0.38331982277741</v>
      </c>
      <c r="G107" s="73">
        <v>0.72968570867737803</v>
      </c>
      <c r="H107" s="15">
        <f t="shared" si="11"/>
        <v>-1.0459876267901032</v>
      </c>
      <c r="I107" s="15">
        <f t="shared" si="12"/>
        <v>1.5230544907177168</v>
      </c>
      <c r="J107" s="15">
        <f t="shared" si="13"/>
        <v>-0.15628538685957186</v>
      </c>
      <c r="K107" s="15">
        <f t="shared" si="14"/>
        <v>-0.29677322870094414</v>
      </c>
      <c r="L107" s="15">
        <f t="shared" si="15"/>
        <v>0.61186272903285388</v>
      </c>
      <c r="M107" s="18">
        <f t="shared" si="16"/>
        <v>-2.0919752535802062E-2</v>
      </c>
      <c r="N107" s="18">
        <f t="shared" si="17"/>
        <v>6.3680805353156936E-3</v>
      </c>
      <c r="O107" s="18">
        <f t="shared" si="18"/>
        <v>-1.8754246423148624E-3</v>
      </c>
      <c r="P107" s="18">
        <f t="shared" si="19"/>
        <v>-1.7806393722056648E-3</v>
      </c>
      <c r="Q107" s="18">
        <f t="shared" si="20"/>
        <v>2.4474509161314154E-3</v>
      </c>
      <c r="R107" s="28">
        <f>((Scenario_DT!I$11*(IF(Scenario_DT!I$18=1,1,1+$M107/Scenario_DT!$C$19)*(1+$N107)^MAX(0,Scenario_DT!I$18-3))*(Scenario_DT!I$12+$O107)-Scenario_DT!I$13)*(1-Scenario_DT!I$14)+Scenario_DT!I$13-Scenario_DT!I$15)*Scenario_DT!I$16</f>
        <v>908.34039061517274</v>
      </c>
      <c r="S107" s="28">
        <f>((Scenario_DT!J$11*(IF(Scenario_DT!J$18=1,1,1+$M107/Scenario_DT!$C$19)*(1+$N107)^MAX(0,Scenario_DT!J$18-3))*(Scenario_DT!J$12+$O107)-Scenario_DT!J$13)*(1-Scenario_DT!J$14)+Scenario_DT!J$13-Scenario_DT!J$15)*Scenario_DT!J$16</f>
        <v>1776.0809435551182</v>
      </c>
      <c r="T107" s="28">
        <f>((Scenario_DT!K$11*(IF(Scenario_DT!K$18=1,1,1+$M107/Scenario_DT!$C$19)*(1+$N107)^MAX(0,Scenario_DT!K$18-3))*(Scenario_DT!K$12+$O107)-Scenario_DT!K$13)*(1-Scenario_DT!K$14)+Scenario_DT!K$13-Scenario_DT!K$15)*Scenario_DT!K$16</f>
        <v>2037.9262239389218</v>
      </c>
      <c r="U107" s="28">
        <f>((Scenario_DT!L$11*(IF(Scenario_DT!L$18=1,1,1+$M107/Scenario_DT!$C$19)*(1+$N107)^MAX(0,Scenario_DT!L$18-3))*(Scenario_DT!L$12+$O107)-Scenario_DT!L$13)*(1-Scenario_DT!L$14)+Scenario_DT!L$13-Scenario_DT!L$15)*Scenario_DT!L$16</f>
        <v>2450.9531928561805</v>
      </c>
      <c r="V107" s="28">
        <f>((Scenario_DT!M$11*(IF(Scenario_DT!M$18=1,1,1+$M107/Scenario_DT!$C$19)*(1+$N107)^MAX(0,Scenario_DT!M$18-3))*(Scenario_DT!M$12+$O107)-Scenario_DT!M$13)*(1-Scenario_DT!M$14)+Scenario_DT!M$13-Scenario_DT!M$15)*Scenario_DT!M$16</f>
        <v>2589.2805170161605</v>
      </c>
      <c r="W107" s="28">
        <f>((Scenario_DT!N$11*(IF(Scenario_DT!N$18=1,1,1+$M107/Scenario_DT!$C$19)*(1+$N107)^MAX(0,Scenario_DT!N$18-3))*(Scenario_DT!N$12+$O107)-Scenario_DT!N$13)*(1-Scenario_DT!N$14)+Scenario_DT!N$13-Scenario_DT!N$15)*Scenario_DT!N$16</f>
        <v>2735.4165403338106</v>
      </c>
      <c r="X107" s="28">
        <f>((Scenario_DT!O$11*(IF(Scenario_DT!O$18=1,1,1+$M107/Scenario_DT!$C$19)*(1+$N107)^MAX(0,Scenario_DT!O$18-3))*(Scenario_DT!O$12+$O107)-Scenario_DT!O$13)*(1-Scenario_DT!O$14)+Scenario_DT!O$13-Scenario_DT!O$15)*Scenario_DT!O$16</f>
        <v>2889.8049282418083</v>
      </c>
      <c r="Y107" s="28">
        <f>((Scenario_DT!P$11*(IF(Scenario_DT!P$18=1,1,1+$M107/Scenario_DT!$C$19)*(1+$N107)^MAX(0,Scenario_DT!P$18-3))*(Scenario_DT!P$12+$O107)-Scenario_DT!P$13)*(1-Scenario_DT!P$14)+Scenario_DT!P$13-Scenario_DT!P$15)*Scenario_DT!P$16</f>
        <v>3052.9145659198234</v>
      </c>
      <c r="Z107" s="28">
        <f>((Scenario_DT!Q$11*(IF(Scenario_DT!Q$18=1,1,1+$M107/Scenario_DT!$C$19)*(1+$N107)^MAX(0,Scenario_DT!Q$18-3))*(Scenario_DT!Q$12+$O107)-Scenario_DT!Q$13)*(1-Scenario_DT!Q$14)+Scenario_DT!Q$13-Scenario_DT!Q$15)*Scenario_DT!Q$16</f>
        <v>3225.2409912642079</v>
      </c>
      <c r="AA107" s="28">
        <f>((Scenario_DT!R$11*(IF(Scenario_DT!R$18=1,1,1+$M107/Scenario_DT!$C$19)*(1+$N107)^MAX(0,Scenario_DT!R$18-3))*(Scenario_DT!R$12+$O107)-Scenario_DT!R$13)*(1-Scenario_DT!R$14)+Scenario_DT!R$13-Scenario_DT!R$15)*Scenario_DT!R$16</f>
        <v>3407.3079092386893</v>
      </c>
      <c r="AB107" s="17">
        <f>(Scenario_DT!$R$11*(1+$M107/Scenario_DT!$C$19)*(1+$N107)^7*(Scenario_DT!$R$12+$O107)*(1+MIN(DCF_FCFF!$C$26+$Q107,(DCF_FCFF!$C$25+$P107)-0.02))*(1-DCF_FCFF!$C$27)*(1-DCF_FCFF!$C$28)/((DCF_FCFF!$C$25+$P107)-MIN(DCF_FCFF!$C$26+$Q107,(DCF_FCFF!$C$25+$P107)-0.02)))*(1+(DCF_FCFF!$C$25+$P107))^(-(Inputs!$C$9+9))</f>
        <v>31932.086500186797</v>
      </c>
      <c r="AC107" s="17">
        <f>SUMPRODUCT(R107:AA107*(1+(DCF_FCFF!$C$25+$P107))^(-Scenario_DT!$I$17:$R$17))+AB107</f>
        <v>48387.417320190078</v>
      </c>
      <c r="AD107" s="68">
        <f>((AC107-DCF_FCFF!$C$48)*(1-DCF_FCFF!$C$50)+DCF_FCFF!$C$57+DCF_FCFF!$C$58)/DCF_FCFF!$C$60</f>
        <v>368.01518805166819</v>
      </c>
      <c r="AE107" s="6"/>
      <c r="AF107" s="6"/>
      <c r="AG107" s="6"/>
    </row>
    <row r="108" spans="1:33" x14ac:dyDescent="0.3">
      <c r="A108" s="6"/>
      <c r="B108" s="72">
        <v>77</v>
      </c>
      <c r="C108" s="73">
        <v>0.55299306525290004</v>
      </c>
      <c r="D108" s="73">
        <v>0.936139986838462</v>
      </c>
      <c r="E108" s="73">
        <v>0.78030149390939196</v>
      </c>
      <c r="F108" s="73">
        <v>0.47936956412454002</v>
      </c>
      <c r="G108" s="73">
        <v>0.37635947348082599</v>
      </c>
      <c r="H108" s="15">
        <f t="shared" si="11"/>
        <v>0.13322698580321782</v>
      </c>
      <c r="I108" s="15">
        <f t="shared" si="12"/>
        <v>1.5231546204009934</v>
      </c>
      <c r="J108" s="15">
        <f t="shared" si="13"/>
        <v>0.77321185346055199</v>
      </c>
      <c r="K108" s="15">
        <f t="shared" si="14"/>
        <v>-5.1735904039444121E-2</v>
      </c>
      <c r="L108" s="15">
        <f t="shared" si="15"/>
        <v>-0.3150562481579281</v>
      </c>
      <c r="M108" s="18">
        <f t="shared" si="16"/>
        <v>2.6645397160643563E-3</v>
      </c>
      <c r="N108" s="18">
        <f t="shared" si="17"/>
        <v>1.1085632704484099E-2</v>
      </c>
      <c r="O108" s="18">
        <f t="shared" si="18"/>
        <v>9.2785422415266241E-3</v>
      </c>
      <c r="P108" s="18">
        <f t="shared" si="19"/>
        <v>-3.1041542423666471E-4</v>
      </c>
      <c r="Q108" s="18">
        <f t="shared" si="20"/>
        <v>-1.2602249926317124E-3</v>
      </c>
      <c r="R108" s="28">
        <f>((Scenario_DT!I$11*(IF(Scenario_DT!I$18=1,1,1+$M108/Scenario_DT!$C$19)*(1+$N108)^MAX(0,Scenario_DT!I$18-3))*(Scenario_DT!I$12+$O108)-Scenario_DT!I$13)*(1-Scenario_DT!I$14)+Scenario_DT!I$13-Scenario_DT!I$15)*Scenario_DT!I$16</f>
        <v>924.06628357114164</v>
      </c>
      <c r="S108" s="28">
        <f>((Scenario_DT!J$11*(IF(Scenario_DT!J$18=1,1,1+$M108/Scenario_DT!$C$19)*(1+$N108)^MAX(0,Scenario_DT!J$18-3))*(Scenario_DT!J$12+$O108)-Scenario_DT!J$13)*(1-Scenario_DT!J$14)+Scenario_DT!J$13-Scenario_DT!J$15)*Scenario_DT!J$16</f>
        <v>1867.2105284443078</v>
      </c>
      <c r="T108" s="28">
        <f>((Scenario_DT!K$11*(IF(Scenario_DT!K$18=1,1,1+$M108/Scenario_DT!$C$19)*(1+$N108)^MAX(0,Scenario_DT!K$18-3))*(Scenario_DT!K$12+$O108)-Scenario_DT!K$13)*(1-Scenario_DT!K$14)+Scenario_DT!K$13-Scenario_DT!K$15)*Scenario_DT!K$16</f>
        <v>2133.1682400212571</v>
      </c>
      <c r="U108" s="28">
        <f>((Scenario_DT!L$11*(IF(Scenario_DT!L$18=1,1,1+$M108/Scenario_DT!$C$19)*(1+$N108)^MAX(0,Scenario_DT!L$18-3))*(Scenario_DT!L$12+$O108)-Scenario_DT!L$13)*(1-Scenario_DT!L$14)+Scenario_DT!L$13-Scenario_DT!L$15)*Scenario_DT!L$16</f>
        <v>2564.7684597707507</v>
      </c>
      <c r="V108" s="28">
        <f>((Scenario_DT!M$11*(IF(Scenario_DT!M$18=1,1,1+$M108/Scenario_DT!$C$19)*(1+$N108)^MAX(0,Scenario_DT!M$18-3))*(Scenario_DT!M$12+$O108)-Scenario_DT!M$13)*(1-Scenario_DT!M$14)+Scenario_DT!M$13-Scenario_DT!M$15)*Scenario_DT!M$16</f>
        <v>2722.3355602930546</v>
      </c>
      <c r="W108" s="28">
        <f>((Scenario_DT!N$11*(IF(Scenario_DT!N$18=1,1,1+$M108/Scenario_DT!$C$19)*(1+$N108)^MAX(0,Scenario_DT!N$18-3))*(Scenario_DT!N$12+$O108)-Scenario_DT!N$13)*(1-Scenario_DT!N$14)+Scenario_DT!N$13-Scenario_DT!N$15)*Scenario_DT!N$16</f>
        <v>2889.5902458047776</v>
      </c>
      <c r="X108" s="28">
        <f>((Scenario_DT!O$11*(IF(Scenario_DT!O$18=1,1,1+$M108/Scenario_DT!$C$19)*(1+$N108)^MAX(0,Scenario_DT!O$18-3))*(Scenario_DT!O$12+$O108)-Scenario_DT!O$13)*(1-Scenario_DT!O$14)+Scenario_DT!O$13-Scenario_DT!O$15)*Scenario_DT!O$16</f>
        <v>3067.1312768674288</v>
      </c>
      <c r="Y108" s="28">
        <f>((Scenario_DT!P$11*(IF(Scenario_DT!P$18=1,1,1+$M108/Scenario_DT!$C$19)*(1+$N108)^MAX(0,Scenario_DT!P$18-3))*(Scenario_DT!P$12+$O108)-Scenario_DT!P$13)*(1-Scenario_DT!P$14)+Scenario_DT!P$13-Scenario_DT!P$15)*Scenario_DT!P$16</f>
        <v>3255.5944205285618</v>
      </c>
      <c r="Z108" s="28">
        <f>((Scenario_DT!Q$11*(IF(Scenario_DT!Q$18=1,1,1+$M108/Scenario_DT!$C$19)*(1+$N108)^MAX(0,Scenario_DT!Q$18-3))*(Scenario_DT!Q$12+$O108)-Scenario_DT!Q$13)*(1-Scenario_DT!Q$14)+Scenario_DT!Q$13-Scenario_DT!Q$15)*Scenario_DT!Q$16</f>
        <v>3455.6547360481977</v>
      </c>
      <c r="AA108" s="28">
        <f>((Scenario_DT!R$11*(IF(Scenario_DT!R$18=1,1,1+$M108/Scenario_DT!$C$19)*(1+$N108)^MAX(0,Scenario_DT!R$18-3))*(Scenario_DT!R$12+$O108)-Scenario_DT!R$13)*(1-Scenario_DT!R$14)+Scenario_DT!R$13-Scenario_DT!R$15)*Scenario_DT!R$16</f>
        <v>3668.0290017252587</v>
      </c>
      <c r="AB108" s="17">
        <f>(Scenario_DT!$R$11*(1+$M108/Scenario_DT!$C$19)*(1+$N108)^7*(Scenario_DT!$R$12+$O108)*(1+MIN(DCF_FCFF!$C$26+$Q108,(DCF_FCFF!$C$25+$P108)-0.02))*(1-DCF_FCFF!$C$27)*(1-DCF_FCFF!$C$28)/((DCF_FCFF!$C$25+$P108)-MIN(DCF_FCFF!$C$26+$Q108,(DCF_FCFF!$C$25+$P108)-0.02)))*(1+(DCF_FCFF!$C$25+$P108))^(-(Inputs!$C$9+9))</f>
        <v>30390.155531233573</v>
      </c>
      <c r="AC108" s="17">
        <f>SUMPRODUCT(R108:AA108*(1+(DCF_FCFF!$C$25+$P108))^(-Scenario_DT!$I$17:$R$17))+AB108</f>
        <v>47658.175406927432</v>
      </c>
      <c r="AD108" s="68">
        <f>((AC108-DCF_FCFF!$C$48)*(1-DCF_FCFF!$C$50)+DCF_FCFF!$C$57+DCF_FCFF!$C$58)/DCF_FCFF!$C$60</f>
        <v>361.01536376551405</v>
      </c>
      <c r="AE108" s="6"/>
      <c r="AF108" s="6"/>
      <c r="AG108" s="6"/>
    </row>
    <row r="109" spans="1:33" x14ac:dyDescent="0.3">
      <c r="A109" s="6"/>
      <c r="B109" s="72">
        <v>78</v>
      </c>
      <c r="C109" s="73">
        <v>0.98663154492432203</v>
      </c>
      <c r="D109" s="73">
        <v>0.71776023600364403</v>
      </c>
      <c r="E109" s="73">
        <v>0.95119466000384101</v>
      </c>
      <c r="F109" s="73">
        <v>0.118478577217041</v>
      </c>
      <c r="G109" s="73">
        <v>0.85053367919078304</v>
      </c>
      <c r="H109" s="15">
        <f t="shared" si="11"/>
        <v>2.2153374647772437</v>
      </c>
      <c r="I109" s="15">
        <f t="shared" si="12"/>
        <v>0.57620070611879326</v>
      </c>
      <c r="J109" s="15">
        <f t="shared" si="13"/>
        <v>1.6565490525267936</v>
      </c>
      <c r="K109" s="15">
        <f t="shared" si="14"/>
        <v>-1.1826266281972337</v>
      </c>
      <c r="L109" s="15">
        <f t="shared" si="15"/>
        <v>1.0387250196718611</v>
      </c>
      <c r="M109" s="18">
        <f t="shared" si="16"/>
        <v>4.4306749295544873E-2</v>
      </c>
      <c r="N109" s="18">
        <f t="shared" si="17"/>
        <v>1.2853385452528229E-2</v>
      </c>
      <c r="O109" s="18">
        <f t="shared" si="18"/>
        <v>1.9878588630321523E-2</v>
      </c>
      <c r="P109" s="18">
        <f t="shared" si="19"/>
        <v>-7.0957597691834028E-3</v>
      </c>
      <c r="Q109" s="18">
        <f t="shared" si="20"/>
        <v>4.154900078687445E-3</v>
      </c>
      <c r="R109" s="28">
        <f>((Scenario_DT!I$11*(IF(Scenario_DT!I$18=1,1,1+$M109/Scenario_DT!$C$19)*(1+$N109)^MAX(0,Scenario_DT!I$18-3))*(Scenario_DT!I$12+$O109)-Scenario_DT!I$13)*(1-Scenario_DT!I$14)+Scenario_DT!I$13-Scenario_DT!I$15)*Scenario_DT!I$16</f>
        <v>939.01120824004897</v>
      </c>
      <c r="S109" s="28">
        <f>((Scenario_DT!J$11*(IF(Scenario_DT!J$18=1,1,1+$M109/Scenario_DT!$C$19)*(1+$N109)^MAX(0,Scenario_DT!J$18-3))*(Scenario_DT!J$12+$O109)-Scenario_DT!J$13)*(1-Scenario_DT!J$14)+Scenario_DT!J$13-Scenario_DT!J$15)*Scenario_DT!J$16</f>
        <v>2002.7659899870036</v>
      </c>
      <c r="T109" s="28">
        <f>((Scenario_DT!K$11*(IF(Scenario_DT!K$18=1,1,1+$M109/Scenario_DT!$C$19)*(1+$N109)^MAX(0,Scenario_DT!K$18-3))*(Scenario_DT!K$12+$O109)-Scenario_DT!K$13)*(1-Scenario_DT!K$14)+Scenario_DT!K$13-Scenario_DT!K$15)*Scenario_DT!K$16</f>
        <v>2275.0640224628332</v>
      </c>
      <c r="U109" s="28">
        <f>((Scenario_DT!L$11*(IF(Scenario_DT!L$18=1,1,1+$M109/Scenario_DT!$C$19)*(1+$N109)^MAX(0,Scenario_DT!L$18-3))*(Scenario_DT!L$12+$O109)-Scenario_DT!L$13)*(1-Scenario_DT!L$14)+Scenario_DT!L$13-Scenario_DT!L$15)*Scenario_DT!L$16</f>
        <v>2721.8803246883854</v>
      </c>
      <c r="V109" s="28">
        <f>((Scenario_DT!M$11*(IF(Scenario_DT!M$18=1,1,1+$M109/Scenario_DT!$C$19)*(1+$N109)^MAX(0,Scenario_DT!M$18-3))*(Scenario_DT!M$12+$O109)-Scenario_DT!M$13)*(1-Scenario_DT!M$14)+Scenario_DT!M$13-Scenario_DT!M$15)*Scenario_DT!M$16</f>
        <v>2894.2153012461158</v>
      </c>
      <c r="W109" s="28">
        <f>((Scenario_DT!N$11*(IF(Scenario_DT!N$18=1,1,1+$M109/Scenario_DT!$C$19)*(1+$N109)^MAX(0,Scenario_DT!N$18-3))*(Scenario_DT!N$12+$O109)-Scenario_DT!N$13)*(1-Scenario_DT!N$14)+Scenario_DT!N$13-Scenario_DT!N$15)*Scenario_DT!N$16</f>
        <v>3077.4709364991086</v>
      </c>
      <c r="X109" s="28">
        <f>((Scenario_DT!O$11*(IF(Scenario_DT!O$18=1,1,1+$M109/Scenario_DT!$C$19)*(1+$N109)^MAX(0,Scenario_DT!O$18-3))*(Scenario_DT!O$12+$O109)-Scenario_DT!O$13)*(1-Scenario_DT!O$14)+Scenario_DT!O$13-Scenario_DT!O$15)*Scenario_DT!O$16</f>
        <v>3272.342493019351</v>
      </c>
      <c r="Y109" s="28">
        <f>((Scenario_DT!P$11*(IF(Scenario_DT!P$18=1,1,1+$M109/Scenario_DT!$C$19)*(1+$N109)^MAX(0,Scenario_DT!P$18-3))*(Scenario_DT!P$12+$O109)-Scenario_DT!P$13)*(1-Scenario_DT!P$14)+Scenario_DT!P$13-Scenario_DT!P$15)*Scenario_DT!P$16</f>
        <v>3479.5694896209329</v>
      </c>
      <c r="Z109" s="28">
        <f>((Scenario_DT!Q$11*(IF(Scenario_DT!Q$18=1,1,1+$M109/Scenario_DT!$C$19)*(1+$N109)^MAX(0,Scenario_DT!Q$18-3))*(Scenario_DT!Q$12+$O109)-Scenario_DT!Q$13)*(1-Scenario_DT!Q$14)+Scenario_DT!Q$13-Scenario_DT!Q$15)*Scenario_DT!Q$16</f>
        <v>3699.9385165933309</v>
      </c>
      <c r="AA109" s="28">
        <f>((Scenario_DT!R$11*(IF(Scenario_DT!R$18=1,1,1+$M109/Scenario_DT!$C$19)*(1+$N109)^MAX(0,Scenario_DT!R$18-3))*(Scenario_DT!R$12+$O109)-Scenario_DT!R$13)*(1-Scenario_DT!R$14)+Scenario_DT!R$13-Scenario_DT!R$15)*Scenario_DT!R$16</f>
        <v>3934.2862299203057</v>
      </c>
      <c r="AB109" s="17">
        <f>(Scenario_DT!$R$11*(1+$M109/Scenario_DT!$C$19)*(1+$N109)^7*(Scenario_DT!$R$12+$O109)*(1+MIN(DCF_FCFF!$C$26+$Q109,(DCF_FCFF!$C$25+$P109)-0.02))*(1-DCF_FCFF!$C$27)*(1-DCF_FCFF!$C$28)/((DCF_FCFF!$C$25+$P109)-MIN(DCF_FCFF!$C$26+$Q109,(DCF_FCFF!$C$25+$P109)-0.02)))*(1+(DCF_FCFF!$C$25+$P109))^(-(Inputs!$C$9+9))</f>
        <v>45572.680265354691</v>
      </c>
      <c r="AC109" s="17">
        <f>SUMPRODUCT(R109:AA109*(1+(DCF_FCFF!$C$25+$P109))^(-Scenario_DT!$I$17:$R$17))+AB109</f>
        <v>64505.851696507991</v>
      </c>
      <c r="AD109" s="68">
        <f>((AC109-DCF_FCFF!$C$48)*(1-DCF_FCFF!$C$50)+DCF_FCFF!$C$57+DCF_FCFF!$C$58)/DCF_FCFF!$C$60</f>
        <v>522.73230777582717</v>
      </c>
      <c r="AE109" s="6"/>
      <c r="AF109" s="6"/>
      <c r="AG109" s="6"/>
    </row>
    <row r="110" spans="1:33" x14ac:dyDescent="0.3">
      <c r="A110" s="6"/>
      <c r="B110" s="72">
        <v>79</v>
      </c>
      <c r="C110" s="73">
        <v>0.63707388399120801</v>
      </c>
      <c r="D110" s="73">
        <v>0.121921678335113</v>
      </c>
      <c r="E110" s="73">
        <v>0.58825799996922101</v>
      </c>
      <c r="F110" s="73">
        <v>0.68609636510544902</v>
      </c>
      <c r="G110" s="73">
        <v>1.23026858886028E-2</v>
      </c>
      <c r="H110" s="15">
        <f t="shared" si="11"/>
        <v>0.35064827897678202</v>
      </c>
      <c r="I110" s="15">
        <f t="shared" si="12"/>
        <v>-1.1654340116224879</v>
      </c>
      <c r="J110" s="15">
        <f t="shared" si="13"/>
        <v>0.22306617945813853</v>
      </c>
      <c r="K110" s="15">
        <f t="shared" si="14"/>
        <v>0.48481543933688864</v>
      </c>
      <c r="L110" s="15">
        <f t="shared" si="15"/>
        <v>-2.2475425916846787</v>
      </c>
      <c r="M110" s="18">
        <f t="shared" si="16"/>
        <v>7.0129655795356403E-3</v>
      </c>
      <c r="N110" s="18">
        <f t="shared" si="17"/>
        <v>-6.671770568088738E-3</v>
      </c>
      <c r="O110" s="18">
        <f t="shared" si="18"/>
        <v>2.6767941534976626E-3</v>
      </c>
      <c r="P110" s="18">
        <f t="shared" si="19"/>
        <v>2.9088926360213321E-3</v>
      </c>
      <c r="Q110" s="18">
        <f t="shared" si="20"/>
        <v>-8.9901703667387145E-3</v>
      </c>
      <c r="R110" s="28">
        <f>((Scenario_DT!I$11*(IF(Scenario_DT!I$18=1,1,1+$M110/Scenario_DT!$C$19)*(1+$N110)^MAX(0,Scenario_DT!I$18-3))*(Scenario_DT!I$12+$O110)-Scenario_DT!I$13)*(1-Scenario_DT!I$14)+Scenario_DT!I$13-Scenario_DT!I$15)*Scenario_DT!I$16</f>
        <v>914.75852922367119</v>
      </c>
      <c r="S110" s="28">
        <f>((Scenario_DT!J$11*(IF(Scenario_DT!J$18=1,1,1+$M110/Scenario_DT!$C$19)*(1+$N110)^MAX(0,Scenario_DT!J$18-3))*(Scenario_DT!J$12+$O110)-Scenario_DT!J$13)*(1-Scenario_DT!J$14)+Scenario_DT!J$13-Scenario_DT!J$15)*Scenario_DT!J$16</f>
        <v>1857.0944089190803</v>
      </c>
      <c r="T110" s="28">
        <f>((Scenario_DT!K$11*(IF(Scenario_DT!K$18=1,1,1+$M110/Scenario_DT!$C$19)*(1+$N110)^MAX(0,Scenario_DT!K$18-3))*(Scenario_DT!K$12+$O110)-Scenario_DT!K$13)*(1-Scenario_DT!K$14)+Scenario_DT!K$13-Scenario_DT!K$15)*Scenario_DT!K$16</f>
        <v>2122.8324808273023</v>
      </c>
      <c r="U110" s="28">
        <f>((Scenario_DT!L$11*(IF(Scenario_DT!L$18=1,1,1+$M110/Scenario_DT!$C$19)*(1+$N110)^MAX(0,Scenario_DT!L$18-3))*(Scenario_DT!L$12+$O110)-Scenario_DT!L$13)*(1-Scenario_DT!L$14)+Scenario_DT!L$13-Scenario_DT!L$15)*Scenario_DT!L$16</f>
        <v>2508.5267538602811</v>
      </c>
      <c r="V110" s="28">
        <f>((Scenario_DT!M$11*(IF(Scenario_DT!M$18=1,1,1+$M110/Scenario_DT!$C$19)*(1+$N110)^MAX(0,Scenario_DT!M$18-3))*(Scenario_DT!M$12+$O110)-Scenario_DT!M$13)*(1-Scenario_DT!M$14)+Scenario_DT!M$13-Scenario_DT!M$15)*Scenario_DT!M$16</f>
        <v>2615.5403164596487</v>
      </c>
      <c r="W110" s="28">
        <f>((Scenario_DT!N$11*(IF(Scenario_DT!N$18=1,1,1+$M110/Scenario_DT!$C$19)*(1+$N110)^MAX(0,Scenario_DT!N$18-3))*(Scenario_DT!N$12+$O110)-Scenario_DT!N$13)*(1-Scenario_DT!N$14)+Scenario_DT!N$13-Scenario_DT!N$15)*Scenario_DT!N$16</f>
        <v>2727.1008680725254</v>
      </c>
      <c r="X110" s="28">
        <f>((Scenario_DT!O$11*(IF(Scenario_DT!O$18=1,1,1+$M110/Scenario_DT!$C$19)*(1+$N110)^MAX(0,Scenario_DT!O$18-3))*(Scenario_DT!O$12+$O110)-Scenario_DT!O$13)*(1-Scenario_DT!O$14)+Scenario_DT!O$13-Scenario_DT!O$15)*Scenario_DT!O$16</f>
        <v>2843.4032615643596</v>
      </c>
      <c r="Y110" s="28">
        <f>((Scenario_DT!P$11*(IF(Scenario_DT!P$18=1,1,1+$M110/Scenario_DT!$C$19)*(1+$N110)^MAX(0,Scenario_DT!P$18-3))*(Scenario_DT!P$12+$O110)-Scenario_DT!P$13)*(1-Scenario_DT!P$14)+Scenario_DT!P$13-Scenario_DT!P$15)*Scenario_DT!P$16</f>
        <v>2964.6507171199005</v>
      </c>
      <c r="Z110" s="28">
        <f>((Scenario_DT!Q$11*(IF(Scenario_DT!Q$18=1,1,1+$M110/Scenario_DT!$C$19)*(1+$N110)^MAX(0,Scenario_DT!Q$18-3))*(Scenario_DT!Q$12+$O110)-Scenario_DT!Q$13)*(1-Scenario_DT!Q$14)+Scenario_DT!Q$13-Scenario_DT!Q$15)*Scenario_DT!Q$16</f>
        <v>3091.0551817536661</v>
      </c>
      <c r="AA110" s="28">
        <f>((Scenario_DT!R$11*(IF(Scenario_DT!R$18=1,1,1+$M110/Scenario_DT!$C$19)*(1+$N110)^MAX(0,Scenario_DT!R$18-3))*(Scenario_DT!R$12+$O110)-Scenario_DT!R$13)*(1-Scenario_DT!R$14)+Scenario_DT!R$13-Scenario_DT!R$15)*Scenario_DT!R$16</f>
        <v>3222.8377042707821</v>
      </c>
      <c r="AB110" s="17">
        <f>(Scenario_DT!$R$11*(1+$M110/Scenario_DT!$C$19)*(1+$N110)^7*(Scenario_DT!$R$12+$O110)*(1+MIN(DCF_FCFF!$C$26+$Q110,(DCF_FCFF!$C$25+$P110)-0.02))*(1-DCF_FCFF!$C$27)*(1-DCF_FCFF!$C$28)/((DCF_FCFF!$C$25+$P110)-MIN(DCF_FCFF!$C$26+$Q110,(DCF_FCFF!$C$25+$P110)-0.02)))*(1+(DCF_FCFF!$C$25+$P110))^(-(Inputs!$C$9+9))</f>
        <v>21265.52301210881</v>
      </c>
      <c r="AC110" s="17">
        <f>SUMPRODUCT(R110:AA110*(1+(DCF_FCFF!$C$25+$P110))^(-Scenario_DT!$I$17:$R$17))+AB110</f>
        <v>37381.51545357229</v>
      </c>
      <c r="AD110" s="68">
        <f>((AC110-DCF_FCFF!$C$48)*(1-DCF_FCFF!$C$50)+DCF_FCFF!$C$57+DCF_FCFF!$C$58)/DCF_FCFF!$C$60</f>
        <v>262.37208419837469</v>
      </c>
      <c r="AE110" s="6"/>
      <c r="AF110" s="6"/>
      <c r="AG110" s="6"/>
    </row>
    <row r="111" spans="1:33" x14ac:dyDescent="0.3">
      <c r="A111" s="6"/>
      <c r="B111" s="72">
        <v>80</v>
      </c>
      <c r="C111" s="73">
        <v>0.454317961841747</v>
      </c>
      <c r="D111" s="73">
        <v>0.82539951119632105</v>
      </c>
      <c r="E111" s="73">
        <v>0.29535902534408998</v>
      </c>
      <c r="F111" s="73">
        <v>0.458548081798551</v>
      </c>
      <c r="G111" s="73">
        <v>0.44231412706789303</v>
      </c>
      <c r="H111" s="15">
        <f t="shared" si="11"/>
        <v>-0.11475928242201328</v>
      </c>
      <c r="I111" s="15">
        <f t="shared" si="12"/>
        <v>0.93614025819887925</v>
      </c>
      <c r="J111" s="15">
        <f t="shared" si="13"/>
        <v>-0.53779577278380419</v>
      </c>
      <c r="K111" s="15">
        <f t="shared" si="14"/>
        <v>-0.10409222159099434</v>
      </c>
      <c r="L111" s="15">
        <f t="shared" si="15"/>
        <v>-0.14510464093592151</v>
      </c>
      <c r="M111" s="18">
        <f t="shared" si="16"/>
        <v>-2.2951856484402654E-3</v>
      </c>
      <c r="N111" s="18">
        <f t="shared" si="17"/>
        <v>6.0267328311563711E-3</v>
      </c>
      <c r="O111" s="18">
        <f t="shared" si="18"/>
        <v>-6.4535492734056508E-3</v>
      </c>
      <c r="P111" s="18">
        <f t="shared" si="19"/>
        <v>-6.2455332954596606E-4</v>
      </c>
      <c r="Q111" s="18">
        <f t="shared" si="20"/>
        <v>-5.8041856374368604E-4</v>
      </c>
      <c r="R111" s="28">
        <f>((Scenario_DT!I$11*(IF(Scenario_DT!I$18=1,1,1+$M111/Scenario_DT!$C$19)*(1+$N111)^MAX(0,Scenario_DT!I$18-3))*(Scenario_DT!I$12+$O111)-Scenario_DT!I$13)*(1-Scenario_DT!I$14)+Scenario_DT!I$13-Scenario_DT!I$15)*Scenario_DT!I$16</f>
        <v>901.88572756682561</v>
      </c>
      <c r="S111" s="28">
        <f>((Scenario_DT!J$11*(IF(Scenario_DT!J$18=1,1,1+$M111/Scenario_DT!$C$19)*(1+$N111)^MAX(0,Scenario_DT!J$18-3))*(Scenario_DT!J$12+$O111)-Scenario_DT!J$13)*(1-Scenario_DT!J$14)+Scenario_DT!J$13-Scenario_DT!J$15)*Scenario_DT!J$16</f>
        <v>1806.4019966772012</v>
      </c>
      <c r="T111" s="28">
        <f>((Scenario_DT!K$11*(IF(Scenario_DT!K$18=1,1,1+$M111/Scenario_DT!$C$19)*(1+$N111)^MAX(0,Scenario_DT!K$18-3))*(Scenario_DT!K$12+$O111)-Scenario_DT!K$13)*(1-Scenario_DT!K$14)+Scenario_DT!K$13-Scenario_DT!K$15)*Scenario_DT!K$16</f>
        <v>2069.9820393836517</v>
      </c>
      <c r="U111" s="28">
        <f>((Scenario_DT!L$11*(IF(Scenario_DT!L$18=1,1,1+$M111/Scenario_DT!$C$19)*(1+$N111)^MAX(0,Scenario_DT!L$18-3))*(Scenario_DT!L$12+$O111)-Scenario_DT!L$13)*(1-Scenario_DT!L$14)+Scenario_DT!L$13-Scenario_DT!L$15)*Scenario_DT!L$16</f>
        <v>2484.3573909302863</v>
      </c>
      <c r="V111" s="28">
        <f>((Scenario_DT!M$11*(IF(Scenario_DT!M$18=1,1,1+$M111/Scenario_DT!$C$19)*(1+$N111)^MAX(0,Scenario_DT!M$18-3))*(Scenario_DT!M$12+$O111)-Scenario_DT!M$13)*(1-Scenario_DT!M$14)+Scenario_DT!M$13-Scenario_DT!M$15)*Scenario_DT!M$16</f>
        <v>2623.6818022610046</v>
      </c>
      <c r="W111" s="28">
        <f>((Scenario_DT!N$11*(IF(Scenario_DT!N$18=1,1,1+$M111/Scenario_DT!$C$19)*(1+$N111)^MAX(0,Scenario_DT!N$18-3))*(Scenario_DT!N$12+$O111)-Scenario_DT!N$13)*(1-Scenario_DT!N$14)+Scenario_DT!N$13-Scenario_DT!N$15)*Scenario_DT!N$16</f>
        <v>2770.8209371626735</v>
      </c>
      <c r="X111" s="28">
        <f>((Scenario_DT!O$11*(IF(Scenario_DT!O$18=1,1,1+$M111/Scenario_DT!$C$19)*(1+$N111)^MAX(0,Scenario_DT!O$18-3))*(Scenario_DT!O$12+$O111)-Scenario_DT!O$13)*(1-Scenario_DT!O$14)+Scenario_DT!O$13-Scenario_DT!O$15)*Scenario_DT!O$16</f>
        <v>2926.2159581748911</v>
      </c>
      <c r="Y111" s="28">
        <f>((Scenario_DT!P$11*(IF(Scenario_DT!P$18=1,1,1+$M111/Scenario_DT!$C$19)*(1+$N111)^MAX(0,Scenario_DT!P$18-3))*(Scenario_DT!P$12+$O111)-Scenario_DT!P$13)*(1-Scenario_DT!P$14)+Scenario_DT!P$13-Scenario_DT!P$15)*Scenario_DT!P$16</f>
        <v>3090.3329454847094</v>
      </c>
      <c r="Z111" s="28">
        <f>((Scenario_DT!Q$11*(IF(Scenario_DT!Q$18=1,1,1+$M111/Scenario_DT!$C$19)*(1+$N111)^MAX(0,Scenario_DT!Q$18-3))*(Scenario_DT!Q$12+$O111)-Scenario_DT!Q$13)*(1-Scenario_DT!Q$14)+Scenario_DT!Q$13-Scenario_DT!Q$15)*Scenario_DT!Q$16</f>
        <v>3263.6643037465128</v>
      </c>
      <c r="AA111" s="28">
        <f>((Scenario_DT!R$11*(IF(Scenario_DT!R$18=1,1,1+$M111/Scenario_DT!$C$19)*(1+$N111)^MAX(0,Scenario_DT!R$18-3))*(Scenario_DT!R$12+$O111)-Scenario_DT!R$13)*(1-Scenario_DT!R$14)+Scenario_DT!R$13-Scenario_DT!R$15)*Scenario_DT!R$16</f>
        <v>3446.7302482922232</v>
      </c>
      <c r="AB111" s="17">
        <f>(Scenario_DT!$R$11*(1+$M111/Scenario_DT!$C$19)*(1+$N111)^7*(Scenario_DT!$R$12+$O111)*(1+MIN(DCF_FCFF!$C$26+$Q111,(DCF_FCFF!$C$25+$P111)-0.02))*(1-DCF_FCFF!$C$27)*(1-DCF_FCFF!$C$28)/((DCF_FCFF!$C$25+$P111)-MIN(DCF_FCFF!$C$26+$Q111,(DCF_FCFF!$C$25+$P111)-0.02)))*(1+(DCF_FCFF!$C$25+$P111))^(-(Inputs!$C$9+9))</f>
        <v>29233.381230091538</v>
      </c>
      <c r="AC111" s="17">
        <f>SUMPRODUCT(R111:AA111*(1+(DCF_FCFF!$C$25+$P111))^(-Scenario_DT!$I$17:$R$17))+AB111</f>
        <v>45809.636145495831</v>
      </c>
      <c r="AD111" s="68">
        <f>((AC111-DCF_FCFF!$C$48)*(1-DCF_FCFF!$C$50)+DCF_FCFF!$C$57+DCF_FCFF!$C$58)/DCF_FCFF!$C$60</f>
        <v>343.27166338193774</v>
      </c>
      <c r="AE111" s="6"/>
      <c r="AF111" s="6"/>
      <c r="AG111" s="6"/>
    </row>
    <row r="112" spans="1:33" x14ac:dyDescent="0.3">
      <c r="A112" s="6"/>
      <c r="B112" s="72">
        <v>81</v>
      </c>
      <c r="C112" s="73">
        <v>0.30192739144249198</v>
      </c>
      <c r="D112" s="73">
        <v>0.918441895515554</v>
      </c>
      <c r="E112" s="73">
        <v>0.78129403543151599</v>
      </c>
      <c r="F112" s="73">
        <v>0.110588410996111</v>
      </c>
      <c r="G112" s="73">
        <v>0.99703465783757295</v>
      </c>
      <c r="H112" s="15">
        <f t="shared" si="11"/>
        <v>-0.51886514846089793</v>
      </c>
      <c r="I112" s="15">
        <f t="shared" si="12"/>
        <v>1.3946672374409266</v>
      </c>
      <c r="J112" s="15">
        <f t="shared" si="13"/>
        <v>0.77657097886255799</v>
      </c>
      <c r="K112" s="15">
        <f t="shared" si="14"/>
        <v>-1.2234048511516034</v>
      </c>
      <c r="L112" s="15">
        <f t="shared" si="15"/>
        <v>2.7515893239116331</v>
      </c>
      <c r="M112" s="18">
        <f t="shared" si="16"/>
        <v>-1.0377302969217959E-2</v>
      </c>
      <c r="N112" s="18">
        <f t="shared" si="17"/>
        <v>7.5870774657540553E-3</v>
      </c>
      <c r="O112" s="18">
        <f t="shared" si="18"/>
        <v>9.318851746350696E-3</v>
      </c>
      <c r="P112" s="18">
        <f t="shared" si="19"/>
        <v>-7.3404291069096199E-3</v>
      </c>
      <c r="Q112" s="18">
        <f t="shared" si="20"/>
        <v>1.1006357295646533E-2</v>
      </c>
      <c r="R112" s="28">
        <f>((Scenario_DT!I$11*(IF(Scenario_DT!I$18=1,1,1+$M112/Scenario_DT!$C$19)*(1+$N112)^MAX(0,Scenario_DT!I$18-3))*(Scenario_DT!I$12+$O112)-Scenario_DT!I$13)*(1-Scenario_DT!I$14)+Scenario_DT!I$13-Scenario_DT!I$15)*Scenario_DT!I$16</f>
        <v>924.12311563497815</v>
      </c>
      <c r="S112" s="28">
        <f>((Scenario_DT!J$11*(IF(Scenario_DT!J$18=1,1,1+$M112/Scenario_DT!$C$19)*(1+$N112)^MAX(0,Scenario_DT!J$18-3))*(Scenario_DT!J$12+$O112)-Scenario_DT!J$13)*(1-Scenario_DT!J$14)+Scenario_DT!J$13-Scenario_DT!J$15)*Scenario_DT!J$16</f>
        <v>1835.6830306224551</v>
      </c>
      <c r="T112" s="28">
        <f>((Scenario_DT!K$11*(IF(Scenario_DT!K$18=1,1,1+$M112/Scenario_DT!$C$19)*(1+$N112)^MAX(0,Scenario_DT!K$18-3))*(Scenario_DT!K$12+$O112)-Scenario_DT!K$13)*(1-Scenario_DT!K$14)+Scenario_DT!K$13-Scenario_DT!K$15)*Scenario_DT!K$16</f>
        <v>2100.0519759181188</v>
      </c>
      <c r="U112" s="28">
        <f>((Scenario_DT!L$11*(IF(Scenario_DT!L$18=1,1,1+$M112/Scenario_DT!$C$19)*(1+$N112)^MAX(0,Scenario_DT!L$18-3))*(Scenario_DT!L$12+$O112)-Scenario_DT!L$13)*(1-Scenario_DT!L$14)+Scenario_DT!L$13-Scenario_DT!L$15)*Scenario_DT!L$16</f>
        <v>2520.4065998971682</v>
      </c>
      <c r="V112" s="28">
        <f>((Scenario_DT!M$11*(IF(Scenario_DT!M$18=1,1,1+$M112/Scenario_DT!$C$19)*(1+$N112)^MAX(0,Scenario_DT!M$18-3))*(Scenario_DT!M$12+$O112)-Scenario_DT!M$13)*(1-Scenario_DT!M$14)+Scenario_DT!M$13-Scenario_DT!M$15)*Scenario_DT!M$16</f>
        <v>2665.9185787948236</v>
      </c>
      <c r="W112" s="28">
        <f>((Scenario_DT!N$11*(IF(Scenario_DT!N$18=1,1,1+$M112/Scenario_DT!$C$19)*(1+$N112)^MAX(0,Scenario_DT!N$18-3))*(Scenario_DT!N$12+$O112)-Scenario_DT!N$13)*(1-Scenario_DT!N$14)+Scenario_DT!N$13-Scenario_DT!N$15)*Scenario_DT!N$16</f>
        <v>2819.8347805975282</v>
      </c>
      <c r="X112" s="28">
        <f>((Scenario_DT!O$11*(IF(Scenario_DT!O$18=1,1,1+$M112/Scenario_DT!$C$19)*(1+$N112)^MAX(0,Scenario_DT!O$18-3))*(Scenario_DT!O$12+$O112)-Scenario_DT!O$13)*(1-Scenario_DT!O$14)+Scenario_DT!O$13-Scenario_DT!O$15)*Scenario_DT!O$16</f>
        <v>2982.6435411201355</v>
      </c>
      <c r="Y112" s="28">
        <f>((Scenario_DT!P$11*(IF(Scenario_DT!P$18=1,1,1+$M112/Scenario_DT!$C$19)*(1+$N112)^MAX(0,Scenario_DT!P$18-3))*(Scenario_DT!P$12+$O112)-Scenario_DT!P$13)*(1-Scenario_DT!P$14)+Scenario_DT!P$13-Scenario_DT!P$15)*Scenario_DT!P$16</f>
        <v>3154.8615806747125</v>
      </c>
      <c r="Z112" s="28">
        <f>((Scenario_DT!Q$11*(IF(Scenario_DT!Q$18=1,1,1+$M112/Scenario_DT!$C$19)*(1+$N112)^MAX(0,Scenario_DT!Q$18-3))*(Scenario_DT!Q$12+$O112)-Scenario_DT!Q$13)*(1-Scenario_DT!Q$14)+Scenario_DT!Q$13-Scenario_DT!Q$15)*Scenario_DT!Q$16</f>
        <v>3337.0356531050652</v>
      </c>
      <c r="AA112" s="28">
        <f>((Scenario_DT!R$11*(IF(Scenario_DT!R$18=1,1,1+$M112/Scenario_DT!$C$19)*(1+$N112)^MAX(0,Scenario_DT!R$18-3))*(Scenario_DT!R$12+$O112)-Scenario_DT!R$13)*(1-Scenario_DT!R$14)+Scenario_DT!R$13-Scenario_DT!R$15)*Scenario_DT!R$16</f>
        <v>3529.7442905756507</v>
      </c>
      <c r="AB112" s="17">
        <f>(Scenario_DT!$R$11*(1+$M112/Scenario_DT!$C$19)*(1+$N112)^7*(Scenario_DT!$R$12+$O112)*(1+MIN(DCF_FCFF!$C$26+$Q112,(DCF_FCFF!$C$25+$P112)-0.02))*(1-DCF_FCFF!$C$27)*(1-DCF_FCFF!$C$28)/((DCF_FCFF!$C$25+$P112)-MIN(DCF_FCFF!$C$26+$Q112,(DCF_FCFF!$C$25+$P112)-0.02)))*(1+(DCF_FCFF!$C$25+$P112))^(-(Inputs!$C$9+9))</f>
        <v>50415.558319179232</v>
      </c>
      <c r="AC112" s="17">
        <f>SUMPRODUCT(R112:AA112*(1+(DCF_FCFF!$C$25+$P112))^(-Scenario_DT!$I$17:$R$17))+AB112</f>
        <v>67795.749508311143</v>
      </c>
      <c r="AD112" s="68">
        <f>((AC112-DCF_FCFF!$C$48)*(1-DCF_FCFF!$C$50)+DCF_FCFF!$C$57+DCF_FCFF!$C$58)/DCF_FCFF!$C$60</f>
        <v>554.31127517087725</v>
      </c>
      <c r="AE112" s="6"/>
      <c r="AF112" s="6"/>
      <c r="AG112" s="6"/>
    </row>
    <row r="113" spans="1:33" x14ac:dyDescent="0.3">
      <c r="A113" s="6"/>
      <c r="B113" s="72">
        <v>82</v>
      </c>
      <c r="C113" s="73">
        <v>0.87920002430774502</v>
      </c>
      <c r="D113" s="73">
        <v>0.28390843786403902</v>
      </c>
      <c r="E113" s="73">
        <v>0.836896579660938</v>
      </c>
      <c r="F113" s="73">
        <v>0.10641953187138301</v>
      </c>
      <c r="G113" s="73">
        <v>0.999</v>
      </c>
      <c r="H113" s="15">
        <f t="shared" si="11"/>
        <v>1.1709970787102821</v>
      </c>
      <c r="I113" s="15">
        <f t="shared" si="12"/>
        <v>-0.57126964373708722</v>
      </c>
      <c r="J113" s="15">
        <f t="shared" si="13"/>
        <v>0.98178284635148194</v>
      </c>
      <c r="K113" s="15">
        <f t="shared" si="14"/>
        <v>-1.2457966391929809</v>
      </c>
      <c r="L113" s="15">
        <f t="shared" si="15"/>
        <v>3.0902323061678132</v>
      </c>
      <c r="M113" s="18">
        <f t="shared" si="16"/>
        <v>2.3419941574205645E-2</v>
      </c>
      <c r="N113" s="18">
        <f t="shared" si="17"/>
        <v>7.2611612374350184E-4</v>
      </c>
      <c r="O113" s="18">
        <f t="shared" si="18"/>
        <v>1.1781394156217784E-2</v>
      </c>
      <c r="P113" s="18">
        <f t="shared" si="19"/>
        <v>-7.4747798351578855E-3</v>
      </c>
      <c r="Q113" s="18">
        <f t="shared" si="20"/>
        <v>1.2360929224671253E-2</v>
      </c>
      <c r="R113" s="28">
        <f>((Scenario_DT!I$11*(IF(Scenario_DT!I$18=1,1,1+$M113/Scenario_DT!$C$19)*(1+$N113)^MAX(0,Scenario_DT!I$18-3))*(Scenario_DT!I$12+$O113)-Scenario_DT!I$13)*(1-Scenario_DT!I$14)+Scenario_DT!I$13-Scenario_DT!I$15)*Scenario_DT!I$16</f>
        <v>927.5950354228346</v>
      </c>
      <c r="S113" s="28">
        <f>((Scenario_DT!J$11*(IF(Scenario_DT!J$18=1,1,1+$M113/Scenario_DT!$C$19)*(1+$N113)^MAX(0,Scenario_DT!J$18-3))*(Scenario_DT!J$12+$O113)-Scenario_DT!J$13)*(1-Scenario_DT!J$14)+Scenario_DT!J$13-Scenario_DT!J$15)*Scenario_DT!J$16</f>
        <v>1925.5538502510399</v>
      </c>
      <c r="T113" s="28">
        <f>((Scenario_DT!K$11*(IF(Scenario_DT!K$18=1,1,1+$M113/Scenario_DT!$C$19)*(1+$N113)^MAX(0,Scenario_DT!K$18-3))*(Scenario_DT!K$12+$O113)-Scenario_DT!K$13)*(1-Scenario_DT!K$14)+Scenario_DT!K$13-Scenario_DT!K$15)*Scenario_DT!K$16</f>
        <v>2194.3367587072694</v>
      </c>
      <c r="U113" s="28">
        <f>((Scenario_DT!L$11*(IF(Scenario_DT!L$18=1,1,1+$M113/Scenario_DT!$C$19)*(1+$N113)^MAX(0,Scenario_DT!L$18-3))*(Scenario_DT!L$12+$O113)-Scenario_DT!L$13)*(1-Scenario_DT!L$14)+Scenario_DT!L$13-Scenario_DT!L$15)*Scenario_DT!L$16</f>
        <v>2603.3115999312117</v>
      </c>
      <c r="V113" s="28">
        <f>((Scenario_DT!M$11*(IF(Scenario_DT!M$18=1,1,1+$M113/Scenario_DT!$C$19)*(1+$N113)^MAX(0,Scenario_DT!M$18-3))*(Scenario_DT!M$12+$O113)-Scenario_DT!M$13)*(1-Scenario_DT!M$14)+Scenario_DT!M$13-Scenario_DT!M$15)*Scenario_DT!M$16</f>
        <v>2734.7534377703037</v>
      </c>
      <c r="W113" s="28">
        <f>((Scenario_DT!N$11*(IF(Scenario_DT!N$18=1,1,1+$M113/Scenario_DT!$C$19)*(1+$N113)^MAX(0,Scenario_DT!N$18-3))*(Scenario_DT!N$12+$O113)-Scenario_DT!N$13)*(1-Scenario_DT!N$14)+Scenario_DT!N$13-Scenario_DT!N$15)*Scenario_DT!N$16</f>
        <v>2872.8257188858083</v>
      </c>
      <c r="X113" s="28">
        <f>((Scenario_DT!O$11*(IF(Scenario_DT!O$18=1,1,1+$M113/Scenario_DT!$C$19)*(1+$N113)^MAX(0,Scenario_DT!O$18-3))*(Scenario_DT!O$12+$O113)-Scenario_DT!O$13)*(1-Scenario_DT!O$14)+Scenario_DT!O$13-Scenario_DT!O$15)*Scenario_DT!O$16</f>
        <v>3017.8653196890596</v>
      </c>
      <c r="Y113" s="28">
        <f>((Scenario_DT!P$11*(IF(Scenario_DT!P$18=1,1,1+$M113/Scenario_DT!$C$19)*(1+$N113)^MAX(0,Scenario_DT!P$18-3))*(Scenario_DT!P$12+$O113)-Scenario_DT!P$13)*(1-Scenario_DT!P$14)+Scenario_DT!P$13-Scenario_DT!P$15)*Scenario_DT!P$16</f>
        <v>3170.226252457071</v>
      </c>
      <c r="Z113" s="28">
        <f>((Scenario_DT!Q$11*(IF(Scenario_DT!Q$18=1,1,1+$M113/Scenario_DT!$C$19)*(1+$N113)^MAX(0,Scenario_DT!Q$18-3))*(Scenario_DT!Q$12+$O113)-Scenario_DT!Q$13)*(1-Scenario_DT!Q$14)+Scenario_DT!Q$13-Scenario_DT!Q$15)*Scenario_DT!Q$16</f>
        <v>3330.2805369880398</v>
      </c>
      <c r="AA113" s="28">
        <f>((Scenario_DT!R$11*(IF(Scenario_DT!R$18=1,1,1+$M113/Scenario_DT!$C$19)*(1+$N113)^MAX(0,Scenario_DT!R$18-3))*(Scenario_DT!R$12+$O113)-Scenario_DT!R$13)*(1-Scenario_DT!R$14)+Scenario_DT!R$13-Scenario_DT!R$15)*Scenario_DT!R$16</f>
        <v>3498.4191165869911</v>
      </c>
      <c r="AB113" s="17">
        <f>(Scenario_DT!$R$11*(1+$M113/Scenario_DT!$C$19)*(1+$N113)^7*(Scenario_DT!$R$12+$O113)*(1+MIN(DCF_FCFF!$C$26+$Q113,(DCF_FCFF!$C$25+$P113)-0.02))*(1-DCF_FCFF!$C$27)*(1-DCF_FCFF!$C$28)/((DCF_FCFF!$C$25+$P113)-MIN(DCF_FCFF!$C$26+$Q113,(DCF_FCFF!$C$25+$P113)-0.02)))*(1+(DCF_FCFF!$C$25+$P113))^(-(Inputs!$C$9+9))</f>
        <v>52535.462232446356</v>
      </c>
      <c r="AC113" s="17">
        <f>SUMPRODUCT(R113:AA113*(1+(DCF_FCFF!$C$25+$P113))^(-Scenario_DT!$I$17:$R$17))+AB113</f>
        <v>70256.017129911779</v>
      </c>
      <c r="AD113" s="68">
        <f>((AC113-DCF_FCFF!$C$48)*(1-DCF_FCFF!$C$50)+DCF_FCFF!$C$57+DCF_FCFF!$C$58)/DCF_FCFF!$C$60</f>
        <v>577.92681445203243</v>
      </c>
      <c r="AE113" s="6"/>
      <c r="AF113" s="6"/>
      <c r="AG113" s="6"/>
    </row>
    <row r="114" spans="1:33" x14ac:dyDescent="0.3">
      <c r="A114" s="6"/>
      <c r="B114" s="72">
        <v>83</v>
      </c>
      <c r="C114" s="73">
        <v>0.665684736106537</v>
      </c>
      <c r="D114" s="73">
        <v>0.65012501555879698</v>
      </c>
      <c r="E114" s="73">
        <v>9.0440726984132802E-2</v>
      </c>
      <c r="F114" s="73">
        <v>0.89703339889662503</v>
      </c>
      <c r="G114" s="73">
        <v>2.8999503204469399E-2</v>
      </c>
      <c r="H114" s="15">
        <f t="shared" si="11"/>
        <v>0.42802828470720944</v>
      </c>
      <c r="I114" s="15">
        <f t="shared" si="12"/>
        <v>0.38565800427791735</v>
      </c>
      <c r="J114" s="15">
        <f t="shared" si="13"/>
        <v>-1.3380459635362312</v>
      </c>
      <c r="K114" s="15">
        <f t="shared" si="14"/>
        <v>1.2648274132154165</v>
      </c>
      <c r="L114" s="15">
        <f t="shared" si="15"/>
        <v>-1.8957054337571564</v>
      </c>
      <c r="M114" s="18">
        <f t="shared" si="16"/>
        <v>8.5605656941441892E-3</v>
      </c>
      <c r="N114" s="18">
        <f t="shared" si="17"/>
        <v>4.3840301698487103E-3</v>
      </c>
      <c r="O114" s="18">
        <f t="shared" si="18"/>
        <v>-1.6056551562434775E-2</v>
      </c>
      <c r="P114" s="18">
        <f t="shared" si="19"/>
        <v>7.588964479292499E-3</v>
      </c>
      <c r="Q114" s="18">
        <f t="shared" si="20"/>
        <v>-7.5828217350286256E-3</v>
      </c>
      <c r="R114" s="28">
        <f>((Scenario_DT!I$11*(IF(Scenario_DT!I$18=1,1,1+$M114/Scenario_DT!$C$19)*(1+$N114)^MAX(0,Scenario_DT!I$18-3))*(Scenario_DT!I$12+$O114)-Scenario_DT!I$13)*(1-Scenario_DT!I$14)+Scenario_DT!I$13-Scenario_DT!I$15)*Scenario_DT!I$16</f>
        <v>888.34652778024815</v>
      </c>
      <c r="S114" s="28">
        <f>((Scenario_DT!J$11*(IF(Scenario_DT!J$18=1,1,1+$M114/Scenario_DT!$C$19)*(1+$N114)^MAX(0,Scenario_DT!J$18-3))*(Scenario_DT!J$12+$O114)-Scenario_DT!J$13)*(1-Scenario_DT!J$14)+Scenario_DT!J$13-Scenario_DT!J$15)*Scenario_DT!J$16</f>
        <v>1802.0686862590096</v>
      </c>
      <c r="T114" s="28">
        <f>((Scenario_DT!K$11*(IF(Scenario_DT!K$18=1,1,1+$M114/Scenario_DT!$C$19)*(1+$N114)^MAX(0,Scenario_DT!K$18-3))*(Scenario_DT!K$12+$O114)-Scenario_DT!K$13)*(1-Scenario_DT!K$14)+Scenario_DT!K$13-Scenario_DT!K$15)*Scenario_DT!K$16</f>
        <v>2065.8604264470732</v>
      </c>
      <c r="U114" s="28">
        <f>((Scenario_DT!L$11*(IF(Scenario_DT!L$18=1,1,1+$M114/Scenario_DT!$C$19)*(1+$N114)^MAX(0,Scenario_DT!L$18-3))*(Scenario_DT!L$12+$O114)-Scenario_DT!L$13)*(1-Scenario_DT!L$14)+Scenario_DT!L$13-Scenario_DT!L$15)*Scenario_DT!L$16</f>
        <v>2475.877804733027</v>
      </c>
      <c r="V114" s="28">
        <f>((Scenario_DT!M$11*(IF(Scenario_DT!M$18=1,1,1+$M114/Scenario_DT!$C$19)*(1+$N114)^MAX(0,Scenario_DT!M$18-3))*(Scenario_DT!M$12+$O114)-Scenario_DT!M$13)*(1-Scenario_DT!M$14)+Scenario_DT!M$13-Scenario_DT!M$15)*Scenario_DT!M$16</f>
        <v>2610.4249833017166</v>
      </c>
      <c r="W114" s="28">
        <f>((Scenario_DT!N$11*(IF(Scenario_DT!N$18=1,1,1+$M114/Scenario_DT!$C$19)*(1+$N114)^MAX(0,Scenario_DT!N$18-3))*(Scenario_DT!N$12+$O114)-Scenario_DT!N$13)*(1-Scenario_DT!N$14)+Scenario_DT!N$13-Scenario_DT!N$15)*Scenario_DT!N$16</f>
        <v>2752.2830214128712</v>
      </c>
      <c r="X114" s="28">
        <f>((Scenario_DT!O$11*(IF(Scenario_DT!O$18=1,1,1+$M114/Scenario_DT!$C$19)*(1+$N114)^MAX(0,Scenario_DT!O$18-3))*(Scenario_DT!O$12+$O114)-Scenario_DT!O$13)*(1-Scenario_DT!O$14)+Scenario_DT!O$13-Scenario_DT!O$15)*Scenario_DT!O$16</f>
        <v>2901.8518806229495</v>
      </c>
      <c r="Y114" s="28">
        <f>((Scenario_DT!P$11*(IF(Scenario_DT!P$18=1,1,1+$M114/Scenario_DT!$C$19)*(1+$N114)^MAX(0,Scenario_DT!P$18-3))*(Scenario_DT!P$12+$O114)-Scenario_DT!P$13)*(1-Scenario_DT!P$14)+Scenario_DT!P$13-Scenario_DT!P$15)*Scenario_DT!P$16</f>
        <v>3059.553419389074</v>
      </c>
      <c r="Z114" s="28">
        <f>((Scenario_DT!Q$11*(IF(Scenario_DT!Q$18=1,1,1+$M114/Scenario_DT!$C$19)*(1+$N114)^MAX(0,Scenario_DT!Q$18-3))*(Scenario_DT!Q$12+$O114)-Scenario_DT!Q$13)*(1-Scenario_DT!Q$14)+Scenario_DT!Q$13-Scenario_DT!Q$15)*Scenario_DT!Q$16</f>
        <v>3225.8325915151954</v>
      </c>
      <c r="AA114" s="28">
        <f>((Scenario_DT!R$11*(IF(Scenario_DT!R$18=1,1,1+$M114/Scenario_DT!$C$19)*(1+$N114)^MAX(0,Scenario_DT!R$18-3))*(Scenario_DT!R$12+$O114)-Scenario_DT!R$13)*(1-Scenario_DT!R$14)+Scenario_DT!R$13-Scenario_DT!R$15)*Scenario_DT!R$16</f>
        <v>3401.1587101642772</v>
      </c>
      <c r="AB114" s="17">
        <f>(Scenario_DT!$R$11*(1+$M114/Scenario_DT!$C$19)*(1+$N114)^7*(Scenario_DT!$R$12+$O114)*(1+MIN(DCF_FCFF!$C$26+$Q114,(DCF_FCFF!$C$25+$P114)-0.02))*(1-DCF_FCFF!$C$27)*(1-DCF_FCFF!$C$28)/((DCF_FCFF!$C$25+$P114)-MIN(DCF_FCFF!$C$26+$Q114,(DCF_FCFF!$C$25+$P114)-0.02)))*(1+(DCF_FCFF!$C$25+$P114))^(-(Inputs!$C$9+9))</f>
        <v>20495.234945759272</v>
      </c>
      <c r="AC114" s="17">
        <f>SUMPRODUCT(R114:AA114*(1+(DCF_FCFF!$C$25+$P114))^(-Scenario_DT!$I$17:$R$17))+AB114</f>
        <v>36390.512222336452</v>
      </c>
      <c r="AD114" s="68">
        <f>((AC114-DCF_FCFF!$C$48)*(1-DCF_FCFF!$C$50)+DCF_FCFF!$C$57+DCF_FCFF!$C$58)/DCF_FCFF!$C$60</f>
        <v>252.85967362583065</v>
      </c>
      <c r="AE114" s="6"/>
      <c r="AF114" s="6"/>
      <c r="AG114" s="6"/>
    </row>
    <row r="115" spans="1:33" x14ac:dyDescent="0.3">
      <c r="A115" s="6"/>
      <c r="B115" s="72">
        <v>84</v>
      </c>
      <c r="C115" s="73">
        <v>0.24082805804114699</v>
      </c>
      <c r="D115" s="73">
        <v>0.143021875166635</v>
      </c>
      <c r="E115" s="73">
        <v>0.77676794069221899</v>
      </c>
      <c r="F115" s="73">
        <v>0.19820422721289799</v>
      </c>
      <c r="G115" s="73">
        <v>0.91063822713088505</v>
      </c>
      <c r="H115" s="15">
        <f t="shared" si="11"/>
        <v>-0.70364141006389813</v>
      </c>
      <c r="I115" s="15">
        <f t="shared" si="12"/>
        <v>-1.0668407576410626</v>
      </c>
      <c r="J115" s="15">
        <f t="shared" si="13"/>
        <v>0.76132307962288104</v>
      </c>
      <c r="K115" s="15">
        <f t="shared" si="14"/>
        <v>-0.84805300088926217</v>
      </c>
      <c r="L115" s="15">
        <f t="shared" si="15"/>
        <v>1.3446956322051278</v>
      </c>
      <c r="M115" s="18">
        <f t="shared" si="16"/>
        <v>-1.4072828201277962E-2</v>
      </c>
      <c r="N115" s="18">
        <f t="shared" si="17"/>
        <v>-1.0205855223533974E-2</v>
      </c>
      <c r="O115" s="18">
        <f t="shared" si="18"/>
        <v>9.1358769554745721E-3</v>
      </c>
      <c r="P115" s="18">
        <f t="shared" si="19"/>
        <v>-5.0883180053355728E-3</v>
      </c>
      <c r="Q115" s="18">
        <f t="shared" si="20"/>
        <v>5.3787825288205112E-3</v>
      </c>
      <c r="R115" s="28">
        <f>((Scenario_DT!I$11*(IF(Scenario_DT!I$18=1,1,1+$M115/Scenario_DT!$C$19)*(1+$N115)^MAX(0,Scenario_DT!I$18-3))*(Scenario_DT!I$12+$O115)-Scenario_DT!I$13)*(1-Scenario_DT!I$14)+Scenario_DT!I$13-Scenario_DT!I$15)*Scenario_DT!I$16</f>
        <v>923.86514087093906</v>
      </c>
      <c r="S115" s="28">
        <f>((Scenario_DT!J$11*(IF(Scenario_DT!J$18=1,1,1+$M115/Scenario_DT!$C$19)*(1+$N115)^MAX(0,Scenario_DT!J$18-3))*(Scenario_DT!J$12+$O115)-Scenario_DT!J$13)*(1-Scenario_DT!J$14)+Scenario_DT!J$13-Scenario_DT!J$15)*Scenario_DT!J$16</f>
        <v>1826.1537002819005</v>
      </c>
      <c r="T115" s="28">
        <f>((Scenario_DT!K$11*(IF(Scenario_DT!K$18=1,1,1+$M115/Scenario_DT!$C$19)*(1+$N115)^MAX(0,Scenario_DT!K$18-3))*(Scenario_DT!K$12+$O115)-Scenario_DT!K$13)*(1-Scenario_DT!K$14)+Scenario_DT!K$13-Scenario_DT!K$15)*Scenario_DT!K$16</f>
        <v>2090.0508128428446</v>
      </c>
      <c r="U115" s="28">
        <f>((Scenario_DT!L$11*(IF(Scenario_DT!L$18=1,1,1+$M115/Scenario_DT!$C$19)*(1+$N115)^MAX(0,Scenario_DT!L$18-3))*(Scenario_DT!L$12+$O115)-Scenario_DT!L$13)*(1-Scenario_DT!L$14)+Scenario_DT!L$13-Scenario_DT!L$15)*Scenario_DT!L$16</f>
        <v>2465.0902367298745</v>
      </c>
      <c r="V115" s="28">
        <f>((Scenario_DT!M$11*(IF(Scenario_DT!M$18=1,1,1+$M115/Scenario_DT!$C$19)*(1+$N115)^MAX(0,Scenario_DT!M$18-3))*(Scenario_DT!M$12+$O115)-Scenario_DT!M$13)*(1-Scenario_DT!M$14)+Scenario_DT!M$13-Scenario_DT!M$15)*Scenario_DT!M$16</f>
        <v>2561.0262132992571</v>
      </c>
      <c r="W115" s="28">
        <f>((Scenario_DT!N$11*(IF(Scenario_DT!N$18=1,1,1+$M115/Scenario_DT!$C$19)*(1+$N115)^MAX(0,Scenario_DT!N$18-3))*(Scenario_DT!N$12+$O115)-Scenario_DT!N$13)*(1-Scenario_DT!N$14)+Scenario_DT!N$13-Scenario_DT!N$15)*Scenario_DT!N$16</f>
        <v>2660.6710958634835</v>
      </c>
      <c r="X115" s="28">
        <f>((Scenario_DT!O$11*(IF(Scenario_DT!O$18=1,1,1+$M115/Scenario_DT!$C$19)*(1+$N115)^MAX(0,Scenario_DT!O$18-3))*(Scenario_DT!O$12+$O115)-Scenario_DT!O$13)*(1-Scenario_DT!O$14)+Scenario_DT!O$13-Scenario_DT!O$15)*Scenario_DT!O$16</f>
        <v>2764.1694910689262</v>
      </c>
      <c r="Y115" s="28">
        <f>((Scenario_DT!P$11*(IF(Scenario_DT!P$18=1,1,1+$M115/Scenario_DT!$C$19)*(1+$N115)^MAX(0,Scenario_DT!P$18-3))*(Scenario_DT!P$12+$O115)-Scenario_DT!P$13)*(1-Scenario_DT!P$14)+Scenario_DT!P$13-Scenario_DT!P$15)*Scenario_DT!P$16</f>
        <v>2871.6716542162026</v>
      </c>
      <c r="Z115" s="28">
        <f>((Scenario_DT!Q$11*(IF(Scenario_DT!Q$18=1,1,1+$M115/Scenario_DT!$C$19)*(1+$N115)^MAX(0,Scenario_DT!Q$18-3))*(Scenario_DT!Q$12+$O115)-Scenario_DT!Q$13)*(1-Scenario_DT!Q$14)+Scenario_DT!Q$13-Scenario_DT!Q$15)*Scenario_DT!Q$16</f>
        <v>2983.3337099485948</v>
      </c>
      <c r="AA115" s="28">
        <f>((Scenario_DT!R$11*(IF(Scenario_DT!R$18=1,1,1+$M115/Scenario_DT!$C$19)*(1+$N115)^MAX(0,Scenario_DT!R$18-3))*(Scenario_DT!R$12+$O115)-Scenario_DT!R$13)*(1-Scenario_DT!R$14)+Scenario_DT!R$13-Scenario_DT!R$15)*Scenario_DT!R$16</f>
        <v>3099.3178815605806</v>
      </c>
      <c r="AB115" s="17">
        <f>(Scenario_DT!$R$11*(1+$M115/Scenario_DT!$C$19)*(1+$N115)^7*(Scenario_DT!$R$12+$O115)*(1+MIN(DCF_FCFF!$C$26+$Q115,(DCF_FCFF!$C$25+$P115)-0.02))*(1-DCF_FCFF!$C$27)*(1-DCF_FCFF!$C$28)/((DCF_FCFF!$C$25+$P115)-MIN(DCF_FCFF!$C$26+$Q115,(DCF_FCFF!$C$25+$P115)-0.02)))*(1+(DCF_FCFF!$C$25+$P115))^(-(Inputs!$C$9+9))</f>
        <v>34691.525467456791</v>
      </c>
      <c r="AC115" s="17">
        <f>SUMPRODUCT(R115:AA115*(1+(DCF_FCFF!$C$25+$P115))^(-Scenario_DT!$I$17:$R$17))+AB115</f>
        <v>50975.748920387399</v>
      </c>
      <c r="AD115" s="68">
        <f>((AC115-DCF_FCFF!$C$48)*(1-DCF_FCFF!$C$50)+DCF_FCFF!$C$57+DCF_FCFF!$C$58)/DCF_FCFF!$C$60</f>
        <v>392.85998381309332</v>
      </c>
      <c r="AE115" s="6"/>
      <c r="AF115" s="6"/>
      <c r="AG115" s="6"/>
    </row>
    <row r="116" spans="1:33" x14ac:dyDescent="0.3">
      <c r="A116" s="6"/>
      <c r="B116" s="72">
        <v>85</v>
      </c>
      <c r="C116" s="73">
        <v>0.65626903932749003</v>
      </c>
      <c r="D116" s="73">
        <v>3.6162710494696201E-2</v>
      </c>
      <c r="E116" s="73">
        <v>5.4298341287004597E-3</v>
      </c>
      <c r="F116" s="73">
        <v>5.1657917014398903E-2</v>
      </c>
      <c r="G116" s="73">
        <v>0.60592517764772802</v>
      </c>
      <c r="H116" s="15">
        <f t="shared" si="11"/>
        <v>0.40230181189466302</v>
      </c>
      <c r="I116" s="15">
        <f t="shared" si="12"/>
        <v>-1.7970642460838762</v>
      </c>
      <c r="J116" s="15">
        <f t="shared" si="13"/>
        <v>-2.5471823101802129</v>
      </c>
      <c r="K116" s="15">
        <f t="shared" si="14"/>
        <v>-1.6289867022985038</v>
      </c>
      <c r="L116" s="15">
        <f t="shared" si="15"/>
        <v>0.26871417252367708</v>
      </c>
      <c r="M116" s="18">
        <f t="shared" si="16"/>
        <v>8.0460362378932601E-3</v>
      </c>
      <c r="N116" s="18">
        <f t="shared" si="17"/>
        <v>-1.0841219067152281E-2</v>
      </c>
      <c r="O116" s="18">
        <f t="shared" si="18"/>
        <v>-3.0566187722162557E-2</v>
      </c>
      <c r="P116" s="18">
        <f t="shared" si="19"/>
        <v>-9.7739202137910233E-3</v>
      </c>
      <c r="Q116" s="18">
        <f t="shared" si="20"/>
        <v>1.0748566900947083E-3</v>
      </c>
      <c r="R116" s="28">
        <f>((Scenario_DT!I$11*(IF(Scenario_DT!I$18=1,1,1+$M116/Scenario_DT!$C$19)*(1+$N116)^MAX(0,Scenario_DT!I$18-3))*(Scenario_DT!I$12+$O116)-Scenario_DT!I$13)*(1-Scenario_DT!I$14)+Scenario_DT!I$13-Scenario_DT!I$15)*Scenario_DT!I$16</f>
        <v>867.88950227047269</v>
      </c>
      <c r="S116" s="28">
        <f>((Scenario_DT!J$11*(IF(Scenario_DT!J$18=1,1,1+$M116/Scenario_DT!$C$19)*(1+$N116)^MAX(0,Scenario_DT!J$18-3))*(Scenario_DT!J$12+$O116)-Scenario_DT!J$13)*(1-Scenario_DT!J$14)+Scenario_DT!J$13-Scenario_DT!J$15)*Scenario_DT!J$16</f>
        <v>1755.3854103993249</v>
      </c>
      <c r="T116" s="28">
        <f>((Scenario_DT!K$11*(IF(Scenario_DT!K$18=1,1,1+$M116/Scenario_DT!$C$19)*(1+$N116)^MAX(0,Scenario_DT!K$18-3))*(Scenario_DT!K$12+$O116)-Scenario_DT!K$13)*(1-Scenario_DT!K$14)+Scenario_DT!K$13-Scenario_DT!K$15)*Scenario_DT!K$16</f>
        <v>2017.4637636869115</v>
      </c>
      <c r="U116" s="28">
        <f>((Scenario_DT!L$11*(IF(Scenario_DT!L$18=1,1,1+$M116/Scenario_DT!$C$19)*(1+$N116)^MAX(0,Scenario_DT!L$18-3))*(Scenario_DT!L$12+$O116)-Scenario_DT!L$13)*(1-Scenario_DT!L$14)+Scenario_DT!L$13-Scenario_DT!L$15)*Scenario_DT!L$16</f>
        <v>2387.2613109269787</v>
      </c>
      <c r="V116" s="28">
        <f>((Scenario_DT!M$11*(IF(Scenario_DT!M$18=1,1,1+$M116/Scenario_DT!$C$19)*(1+$N116)^MAX(0,Scenario_DT!M$18-3))*(Scenario_DT!M$12+$O116)-Scenario_DT!M$13)*(1-Scenario_DT!M$14)+Scenario_DT!M$13-Scenario_DT!M$15)*Scenario_DT!M$16</f>
        <v>2478.5359912216222</v>
      </c>
      <c r="W116" s="28">
        <f>((Scenario_DT!N$11*(IF(Scenario_DT!N$18=1,1,1+$M116/Scenario_DT!$C$19)*(1+$N116)^MAX(0,Scenario_DT!N$18-3))*(Scenario_DT!N$12+$O116)-Scenario_DT!N$13)*(1-Scenario_DT!N$14)+Scenario_DT!N$13-Scenario_DT!N$15)*Scenario_DT!N$16</f>
        <v>2573.2745273972155</v>
      </c>
      <c r="X116" s="28">
        <f>((Scenario_DT!O$11*(IF(Scenario_DT!O$18=1,1,1+$M116/Scenario_DT!$C$19)*(1+$N116)^MAX(0,Scenario_DT!O$18-3))*(Scenario_DT!O$12+$O116)-Scenario_DT!O$13)*(1-Scenario_DT!O$14)+Scenario_DT!O$13-Scenario_DT!O$15)*Scenario_DT!O$16</f>
        <v>2671.6095078055268</v>
      </c>
      <c r="Y116" s="28">
        <f>((Scenario_DT!P$11*(IF(Scenario_DT!P$18=1,1,1+$M116/Scenario_DT!$C$19)*(1+$N116)^MAX(0,Scenario_DT!P$18-3))*(Scenario_DT!P$12+$O116)-Scenario_DT!P$13)*(1-Scenario_DT!P$14)+Scenario_DT!P$13-Scenario_DT!P$15)*Scenario_DT!P$16</f>
        <v>2773.6786049648822</v>
      </c>
      <c r="Z116" s="28">
        <f>((Scenario_DT!Q$11*(IF(Scenario_DT!Q$18=1,1,1+$M116/Scenario_DT!$C$19)*(1+$N116)^MAX(0,Scenario_DT!Q$18-3))*(Scenario_DT!Q$12+$O116)-Scenario_DT!Q$13)*(1-Scenario_DT!Q$14)+Scenario_DT!Q$13-Scenario_DT!Q$15)*Scenario_DT!Q$16</f>
        <v>2879.6247705065803</v>
      </c>
      <c r="AA116" s="28">
        <f>((Scenario_DT!R$11*(IF(Scenario_DT!R$18=1,1,1+$M116/Scenario_DT!$C$19)*(1+$N116)^MAX(0,Scenario_DT!R$18-3))*(Scenario_DT!R$12+$O116)-Scenario_DT!R$13)*(1-Scenario_DT!R$14)+Scenario_DT!R$13-Scenario_DT!R$15)*Scenario_DT!R$16</f>
        <v>2989.5964375924518</v>
      </c>
      <c r="AB116" s="17">
        <f>(Scenario_DT!$R$11*(1+$M116/Scenario_DT!$C$19)*(1+$N116)^7*(Scenario_DT!$R$12+$O116)*(1+MIN(DCF_FCFF!$C$26+$Q116,(DCF_FCFF!$C$25+$P116)-0.02))*(1-DCF_FCFF!$C$27)*(1-DCF_FCFF!$C$28)/((DCF_FCFF!$C$25+$P116)-MIN(DCF_FCFF!$C$26+$Q116,(DCF_FCFF!$C$25+$P116)-0.02)))*(1+(DCF_FCFF!$C$25+$P116))^(-(Inputs!$C$9+9))</f>
        <v>35066.291502855922</v>
      </c>
      <c r="AC116" s="17">
        <f>SUMPRODUCT(R116:AA116*(1+(DCF_FCFF!$C$25+$P116))^(-Scenario_DT!$I$17:$R$17))+AB116</f>
        <v>51086.052600389521</v>
      </c>
      <c r="AD116" s="68">
        <f>((AC116-DCF_FCFF!$C$48)*(1-DCF_FCFF!$C$50)+DCF_FCFF!$C$57+DCF_FCFF!$C$58)/DCF_FCFF!$C$60</f>
        <v>393.91876329914425</v>
      </c>
      <c r="AE116" s="6"/>
      <c r="AF116" s="6"/>
      <c r="AG116" s="6"/>
    </row>
    <row r="117" spans="1:33" x14ac:dyDescent="0.3">
      <c r="A117" s="6"/>
      <c r="B117" s="72">
        <v>86</v>
      </c>
      <c r="C117" s="73">
        <v>0.80148181085941494</v>
      </c>
      <c r="D117" s="73">
        <v>0.238552820627389</v>
      </c>
      <c r="E117" s="73">
        <v>0.84940884292307295</v>
      </c>
      <c r="F117" s="73">
        <v>5.7231940153260399E-2</v>
      </c>
      <c r="G117" s="73">
        <v>0.80096385364167599</v>
      </c>
      <c r="H117" s="15">
        <f t="shared" si="11"/>
        <v>0.84692598400314489</v>
      </c>
      <c r="I117" s="15">
        <f t="shared" si="12"/>
        <v>-0.71096545768282715</v>
      </c>
      <c r="J117" s="15">
        <f t="shared" si="13"/>
        <v>1.0339012851665219</v>
      </c>
      <c r="K117" s="15">
        <f t="shared" si="14"/>
        <v>-1.5784429691680617</v>
      </c>
      <c r="L117" s="15">
        <f t="shared" si="15"/>
        <v>0.84506904053736354</v>
      </c>
      <c r="M117" s="18">
        <f t="shared" si="16"/>
        <v>1.6938519680062897E-2</v>
      </c>
      <c r="N117" s="18">
        <f t="shared" si="17"/>
        <v>-1.5380092445198895E-3</v>
      </c>
      <c r="O117" s="18">
        <f t="shared" si="18"/>
        <v>1.2406815421998263E-2</v>
      </c>
      <c r="P117" s="18">
        <f t="shared" si="19"/>
        <v>-9.4706578150083702E-3</v>
      </c>
      <c r="Q117" s="18">
        <f t="shared" si="20"/>
        <v>3.3802761621494542E-3</v>
      </c>
      <c r="R117" s="28">
        <f>((Scenario_DT!I$11*(IF(Scenario_DT!I$18=1,1,1+$M117/Scenario_DT!$C$19)*(1+$N117)^MAX(0,Scenario_DT!I$18-3))*(Scenario_DT!I$12+$O117)-Scenario_DT!I$13)*(1-Scenario_DT!I$14)+Scenario_DT!I$13-Scenario_DT!I$15)*Scenario_DT!I$16</f>
        <v>928.47681210197266</v>
      </c>
      <c r="S117" s="28">
        <f>((Scenario_DT!J$11*(IF(Scenario_DT!J$18=1,1,1+$M117/Scenario_DT!$C$19)*(1+$N117)^MAX(0,Scenario_DT!J$18-3))*(Scenario_DT!J$12+$O117)-Scenario_DT!J$13)*(1-Scenario_DT!J$14)+Scenario_DT!J$13-Scenario_DT!J$15)*Scenario_DT!J$16</f>
        <v>1911.7490620918566</v>
      </c>
      <c r="T117" s="28">
        <f>((Scenario_DT!K$11*(IF(Scenario_DT!K$18=1,1,1+$M117/Scenario_DT!$C$19)*(1+$N117)^MAX(0,Scenario_DT!K$18-3))*(Scenario_DT!K$12+$O117)-Scenario_DT!K$13)*(1-Scenario_DT!K$14)+Scenario_DT!K$13-Scenario_DT!K$15)*Scenario_DT!K$16</f>
        <v>2179.8100948296055</v>
      </c>
      <c r="U117" s="28">
        <f>((Scenario_DT!L$11*(IF(Scenario_DT!L$18=1,1,1+$M117/Scenario_DT!$C$19)*(1+$N117)^MAX(0,Scenario_DT!L$18-3))*(Scenario_DT!L$12+$O117)-Scenario_DT!L$13)*(1-Scenario_DT!L$14)+Scenario_DT!L$13-Scenario_DT!L$15)*Scenario_DT!L$16</f>
        <v>2581.9831181516624</v>
      </c>
      <c r="V117" s="28">
        <f>((Scenario_DT!M$11*(IF(Scenario_DT!M$18=1,1,1+$M117/Scenario_DT!$C$19)*(1+$N117)^MAX(0,Scenario_DT!M$18-3))*(Scenario_DT!M$12+$O117)-Scenario_DT!M$13)*(1-Scenario_DT!M$14)+Scenario_DT!M$13-Scenario_DT!M$15)*Scenario_DT!M$16</f>
        <v>2706.1639232627363</v>
      </c>
      <c r="W117" s="28">
        <f>((Scenario_DT!N$11*(IF(Scenario_DT!N$18=1,1,1+$M117/Scenario_DT!$C$19)*(1+$N117)^MAX(0,Scenario_DT!N$18-3))*(Scenario_DT!N$12+$O117)-Scenario_DT!N$13)*(1-Scenario_DT!N$14)+Scenario_DT!N$13-Scenario_DT!N$15)*Scenario_DT!N$16</f>
        <v>2836.3076441494818</v>
      </c>
      <c r="X117" s="28">
        <f>((Scenario_DT!O$11*(IF(Scenario_DT!O$18=1,1,1+$M117/Scenario_DT!$C$19)*(1+$N117)^MAX(0,Scenario_DT!O$18-3))*(Scenario_DT!O$12+$O117)-Scenario_DT!O$13)*(1-Scenario_DT!O$14)+Scenario_DT!O$13-Scenario_DT!O$15)*Scenario_DT!O$16</f>
        <v>2972.7028076768393</v>
      </c>
      <c r="Y117" s="28">
        <f>((Scenario_DT!P$11*(IF(Scenario_DT!P$18=1,1,1+$M117/Scenario_DT!$C$19)*(1+$N117)^MAX(0,Scenario_DT!P$18-3))*(Scenario_DT!P$12+$O117)-Scenario_DT!P$13)*(1-Scenario_DT!P$14)+Scenario_DT!P$13-Scenario_DT!P$15)*Scenario_DT!P$16</f>
        <v>3115.6519223820965</v>
      </c>
      <c r="Z117" s="28">
        <f>((Scenario_DT!Q$11*(IF(Scenario_DT!Q$18=1,1,1+$M117/Scenario_DT!$C$19)*(1+$N117)^MAX(0,Scenario_DT!Q$18-3))*(Scenario_DT!Q$12+$O117)-Scenario_DT!Q$13)*(1-Scenario_DT!Q$14)+Scenario_DT!Q$13-Scenario_DT!Q$15)*Scenario_DT!Q$16</f>
        <v>3265.4721561534425</v>
      </c>
      <c r="AA117" s="28">
        <f>((Scenario_DT!R$11*(IF(Scenario_DT!R$18=1,1,1+$M117/Scenario_DT!$C$19)*(1+$N117)^MAX(0,Scenario_DT!R$18-3))*(Scenario_DT!R$12+$O117)-Scenario_DT!R$13)*(1-Scenario_DT!R$14)+Scenario_DT!R$13-Scenario_DT!R$15)*Scenario_DT!R$16</f>
        <v>3422.4960467534715</v>
      </c>
      <c r="AB117" s="17">
        <f>(Scenario_DT!$R$11*(1+$M117/Scenario_DT!$C$19)*(1+$N117)^7*(Scenario_DT!$R$12+$O117)*(1+MIN(DCF_FCFF!$C$26+$Q117,(DCF_FCFF!$C$25+$P117)-0.02))*(1-DCF_FCFF!$C$27)*(1-DCF_FCFF!$C$28)/((DCF_FCFF!$C$25+$P117)-MIN(DCF_FCFF!$C$26+$Q117,(DCF_FCFF!$C$25+$P117)-0.02)))*(1+(DCF_FCFF!$C$25+$P117))^(-(Inputs!$C$9+9))</f>
        <v>42215.818026724162</v>
      </c>
      <c r="AC117" s="17">
        <f>SUMPRODUCT(R117:AA117*(1+(DCF_FCFF!$C$25+$P117))^(-Scenario_DT!$I$17:$R$17))+AB117</f>
        <v>59869.749210135829</v>
      </c>
      <c r="AD117" s="68">
        <f>((AC117-DCF_FCFF!$C$48)*(1-DCF_FCFF!$C$50)+DCF_FCFF!$C$57+DCF_FCFF!$C$58)/DCF_FCFF!$C$60</f>
        <v>478.23143339243251</v>
      </c>
      <c r="AE117" s="6"/>
      <c r="AF117" s="6"/>
      <c r="AG117" s="6"/>
    </row>
    <row r="118" spans="1:33" x14ac:dyDescent="0.3">
      <c r="A118" s="6"/>
      <c r="B118" s="72">
        <v>87</v>
      </c>
      <c r="C118" s="73">
        <v>0.92779543017227994</v>
      </c>
      <c r="D118" s="73">
        <v>0.772108399104381</v>
      </c>
      <c r="E118" s="73">
        <v>0.69812078397863697</v>
      </c>
      <c r="F118" s="73">
        <v>0.83798021865538297</v>
      </c>
      <c r="G118" s="73">
        <v>4.0151299547066401E-2</v>
      </c>
      <c r="H118" s="15">
        <f t="shared" si="11"/>
        <v>1.4595669077082845</v>
      </c>
      <c r="I118" s="15">
        <f t="shared" si="12"/>
        <v>0.74580833902898513</v>
      </c>
      <c r="J118" s="15">
        <f t="shared" si="13"/>
        <v>0.51900331142078104</v>
      </c>
      <c r="K118" s="15">
        <f t="shared" si="14"/>
        <v>0.98619065799238292</v>
      </c>
      <c r="L118" s="15">
        <f t="shared" si="15"/>
        <v>-1.7489330138771759</v>
      </c>
      <c r="M118" s="18">
        <f t="shared" si="16"/>
        <v>2.9191338154165691E-2</v>
      </c>
      <c r="N118" s="18">
        <f t="shared" si="17"/>
        <v>1.1005379374460165E-2</v>
      </c>
      <c r="O118" s="18">
        <f t="shared" si="18"/>
        <v>6.2280397370493724E-3</v>
      </c>
      <c r="P118" s="18">
        <f t="shared" si="19"/>
        <v>5.9171439479542981E-3</v>
      </c>
      <c r="Q118" s="18">
        <f t="shared" si="20"/>
        <v>-6.9957320555087037E-3</v>
      </c>
      <c r="R118" s="28">
        <f>((Scenario_DT!I$11*(IF(Scenario_DT!I$18=1,1,1+$M118/Scenario_DT!$C$19)*(1+$N118)^MAX(0,Scenario_DT!I$18-3))*(Scenario_DT!I$12+$O118)-Scenario_DT!I$13)*(1-Scenario_DT!I$14)+Scenario_DT!I$13-Scenario_DT!I$15)*Scenario_DT!I$16</f>
        <v>919.76540332405932</v>
      </c>
      <c r="S118" s="28">
        <f>((Scenario_DT!J$11*(IF(Scenario_DT!J$18=1,1,1+$M118/Scenario_DT!$C$19)*(1+$N118)^MAX(0,Scenario_DT!J$18-3))*(Scenario_DT!J$12+$O118)-Scenario_DT!J$13)*(1-Scenario_DT!J$14)+Scenario_DT!J$13-Scenario_DT!J$15)*Scenario_DT!J$16</f>
        <v>1921.8144026368313</v>
      </c>
      <c r="T118" s="28">
        <f>((Scenario_DT!K$11*(IF(Scenario_DT!K$18=1,1,1+$M118/Scenario_DT!$C$19)*(1+$N118)^MAX(0,Scenario_DT!K$18-3))*(Scenario_DT!K$12+$O118)-Scenario_DT!K$13)*(1-Scenario_DT!K$14)+Scenario_DT!K$13-Scenario_DT!K$15)*Scenario_DT!K$16</f>
        <v>2190.6577044098267</v>
      </c>
      <c r="U118" s="28">
        <f>((Scenario_DT!L$11*(IF(Scenario_DT!L$18=1,1,1+$M118/Scenario_DT!$C$19)*(1+$N118)^MAX(0,Scenario_DT!L$18-3))*(Scenario_DT!L$12+$O118)-Scenario_DT!L$13)*(1-Scenario_DT!L$14)+Scenario_DT!L$13-Scenario_DT!L$15)*Scenario_DT!L$16</f>
        <v>2626.2763177604529</v>
      </c>
      <c r="V118" s="28">
        <f>((Scenario_DT!M$11*(IF(Scenario_DT!M$18=1,1,1+$M118/Scenario_DT!$C$19)*(1+$N118)^MAX(0,Scenario_DT!M$18-3))*(Scenario_DT!M$12+$O118)-Scenario_DT!M$13)*(1-Scenario_DT!M$14)+Scenario_DT!M$13-Scenario_DT!M$15)*Scenario_DT!M$16</f>
        <v>2787.4120296108654</v>
      </c>
      <c r="W118" s="28">
        <f>((Scenario_DT!N$11*(IF(Scenario_DT!N$18=1,1,1+$M118/Scenario_DT!$C$19)*(1+$N118)^MAX(0,Scenario_DT!N$18-3))*(Scenario_DT!N$12+$O118)-Scenario_DT!N$13)*(1-Scenario_DT!N$14)+Scenario_DT!N$13-Scenario_DT!N$15)*Scenario_DT!N$16</f>
        <v>2958.441585195013</v>
      </c>
      <c r="X118" s="28">
        <f>((Scenario_DT!O$11*(IF(Scenario_DT!O$18=1,1,1+$M118/Scenario_DT!$C$19)*(1+$N118)^MAX(0,Scenario_DT!O$18-3))*(Scenario_DT!O$12+$O118)-Scenario_DT!O$13)*(1-Scenario_DT!O$14)+Scenario_DT!O$13-Scenario_DT!O$15)*Scenario_DT!O$16</f>
        <v>3139.9756149084237</v>
      </c>
      <c r="Y118" s="28">
        <f>((Scenario_DT!P$11*(IF(Scenario_DT!P$18=1,1,1+$M118/Scenario_DT!$C$19)*(1+$N118)^MAX(0,Scenario_DT!P$18-3))*(Scenario_DT!P$12+$O118)-Scenario_DT!P$13)*(1-Scenario_DT!P$14)+Scenario_DT!P$13-Scenario_DT!P$15)*Scenario_DT!P$16</f>
        <v>3332.6624353391139</v>
      </c>
      <c r="Z118" s="28">
        <f>((Scenario_DT!Q$11*(IF(Scenario_DT!Q$18=1,1,1+$M118/Scenario_DT!$C$19)*(1+$N118)^MAX(0,Scenario_DT!Q$18-3))*(Scenario_DT!Q$12+$O118)-Scenario_DT!Q$13)*(1-Scenario_DT!Q$14)+Scenario_DT!Q$13-Scenario_DT!Q$15)*Scenario_DT!Q$16</f>
        <v>3537.1903736932995</v>
      </c>
      <c r="AA118" s="28">
        <f>((Scenario_DT!R$11*(IF(Scenario_DT!R$18=1,1,1+$M118/Scenario_DT!$C$19)*(1+$N118)^MAX(0,Scenario_DT!R$18-3))*(Scenario_DT!R$12+$O118)-Scenario_DT!R$13)*(1-Scenario_DT!R$14)+Scenario_DT!R$13-Scenario_DT!R$15)*Scenario_DT!R$16</f>
        <v>3754.2902355096944</v>
      </c>
      <c r="AB118" s="17">
        <f>(Scenario_DT!$R$11*(1+$M118/Scenario_DT!$C$19)*(1+$N118)^7*(Scenario_DT!$R$12+$O118)*(1+MIN(DCF_FCFF!$C$26+$Q118,(DCF_FCFF!$C$25+$P118)-0.02))*(1-DCF_FCFF!$C$27)*(1-DCF_FCFF!$C$28)/((DCF_FCFF!$C$25+$P118)-MIN(DCF_FCFF!$C$26+$Q118,(DCF_FCFF!$C$25+$P118)-0.02)))*(1+(DCF_FCFF!$C$25+$P118))^(-(Inputs!$C$9+9))</f>
        <v>23766.102606693963</v>
      </c>
      <c r="AC118" s="17">
        <f>SUMPRODUCT(R118:AA118*(1+(DCF_FCFF!$C$25+$P118))^(-Scenario_DT!$I$17:$R$17))+AB118</f>
        <v>40970.952042151504</v>
      </c>
      <c r="AD118" s="68">
        <f>((AC118-DCF_FCFF!$C$48)*(1-DCF_FCFF!$C$50)+DCF_FCFF!$C$57+DCF_FCFF!$C$58)/DCF_FCFF!$C$60</f>
        <v>296.82625496035843</v>
      </c>
      <c r="AE118" s="6"/>
      <c r="AF118" s="6"/>
      <c r="AG118" s="6"/>
    </row>
    <row r="119" spans="1:33" x14ac:dyDescent="0.3">
      <c r="A119" s="6"/>
      <c r="B119" s="72">
        <v>88</v>
      </c>
      <c r="C119" s="73">
        <v>0.201782110719055</v>
      </c>
      <c r="D119" s="73">
        <v>0.12492367930564301</v>
      </c>
      <c r="E119" s="73">
        <v>0.50453099019298697</v>
      </c>
      <c r="F119" s="73">
        <v>0.74518812832884496</v>
      </c>
      <c r="G119" s="73">
        <v>0.63001184457639903</v>
      </c>
      <c r="H119" s="15">
        <f t="shared" si="11"/>
        <v>-0.8352726348071986</v>
      </c>
      <c r="I119" s="15">
        <f t="shared" si="12"/>
        <v>-1.1507202118884063</v>
      </c>
      <c r="J119" s="15">
        <f t="shared" si="13"/>
        <v>1.1357752313998527E-2</v>
      </c>
      <c r="K119" s="15">
        <f t="shared" si="14"/>
        <v>0.65942367498717691</v>
      </c>
      <c r="L119" s="15">
        <f t="shared" si="15"/>
        <v>0.33188471722462592</v>
      </c>
      <c r="M119" s="18">
        <f t="shared" si="16"/>
        <v>-1.6705452696143971E-2</v>
      </c>
      <c r="N119" s="18">
        <f t="shared" si="17"/>
        <v>-1.131351402837737E-2</v>
      </c>
      <c r="O119" s="18">
        <f t="shared" si="18"/>
        <v>1.3629302776798234E-4</v>
      </c>
      <c r="P119" s="18">
        <f t="shared" si="19"/>
        <v>3.9565420499230617E-3</v>
      </c>
      <c r="Q119" s="18">
        <f t="shared" si="20"/>
        <v>1.3275388688985038E-3</v>
      </c>
      <c r="R119" s="28">
        <f>((Scenario_DT!I$11*(IF(Scenario_DT!I$18=1,1,1+$M119/Scenario_DT!$C$19)*(1+$N119)^MAX(0,Scenario_DT!I$18-3))*(Scenario_DT!I$12+$O119)-Scenario_DT!I$13)*(1-Scenario_DT!I$14)+Scenario_DT!I$13-Scenario_DT!I$15)*Scenario_DT!I$16</f>
        <v>911.17669603608852</v>
      </c>
      <c r="S119" s="28">
        <f>((Scenario_DT!J$11*(IF(Scenario_DT!J$18=1,1,1+$M119/Scenario_DT!$C$19)*(1+$N119)^MAX(0,Scenario_DT!J$18-3))*(Scenario_DT!J$12+$O119)-Scenario_DT!J$13)*(1-Scenario_DT!J$14)+Scenario_DT!J$13-Scenario_DT!J$15)*Scenario_DT!J$16</f>
        <v>1792.2942297444765</v>
      </c>
      <c r="T119" s="28">
        <f>((Scenario_DT!K$11*(IF(Scenario_DT!K$18=1,1,1+$M119/Scenario_DT!$C$19)*(1+$N119)^MAX(0,Scenario_DT!K$18-3))*(Scenario_DT!K$12+$O119)-Scenario_DT!K$13)*(1-Scenario_DT!K$14)+Scenario_DT!K$13-Scenario_DT!K$15)*Scenario_DT!K$16</f>
        <v>2054.8717943437086</v>
      </c>
      <c r="U119" s="28">
        <f>((Scenario_DT!L$11*(IF(Scenario_DT!L$18=1,1,1+$M119/Scenario_DT!$C$19)*(1+$N119)^MAX(0,Scenario_DT!L$18-3))*(Scenario_DT!L$12+$O119)-Scenario_DT!L$13)*(1-Scenario_DT!L$14)+Scenario_DT!L$13-Scenario_DT!L$15)*Scenario_DT!L$16</f>
        <v>2425.3830310711351</v>
      </c>
      <c r="V119" s="28">
        <f>((Scenario_DT!M$11*(IF(Scenario_DT!M$18=1,1,1+$M119/Scenario_DT!$C$19)*(1+$N119)^MAX(0,Scenario_DT!M$18-3))*(Scenario_DT!M$12+$O119)-Scenario_DT!M$13)*(1-Scenario_DT!M$14)+Scenario_DT!M$13-Scenario_DT!M$15)*Scenario_DT!M$16</f>
        <v>2516.9187077473402</v>
      </c>
      <c r="W119" s="28">
        <f>((Scenario_DT!N$11*(IF(Scenario_DT!N$18=1,1,1+$M119/Scenario_DT!$C$19)*(1+$N119)^MAX(0,Scenario_DT!N$18-3))*(Scenario_DT!N$12+$O119)-Scenario_DT!N$13)*(1-Scenario_DT!N$14)+Scenario_DT!N$13-Scenario_DT!N$15)*Scenario_DT!N$16</f>
        <v>2611.8821495130037</v>
      </c>
      <c r="X119" s="28">
        <f>((Scenario_DT!O$11*(IF(Scenario_DT!O$18=1,1,1+$M119/Scenario_DT!$C$19)*(1+$N119)^MAX(0,Scenario_DT!O$18-3))*(Scenario_DT!O$12+$O119)-Scenario_DT!O$13)*(1-Scenario_DT!O$14)+Scenario_DT!O$13-Scenario_DT!O$15)*Scenario_DT!O$16</f>
        <v>2710.402790988745</v>
      </c>
      <c r="Y119" s="28">
        <f>((Scenario_DT!P$11*(IF(Scenario_DT!P$18=1,1,1+$M119/Scenario_DT!$C$19)*(1+$N119)^MAX(0,Scenario_DT!P$18-3))*(Scenario_DT!P$12+$O119)-Scenario_DT!P$13)*(1-Scenario_DT!P$14)+Scenario_DT!P$13-Scenario_DT!P$15)*Scenario_DT!P$16</f>
        <v>2812.6149620814808</v>
      </c>
      <c r="Z119" s="28">
        <f>((Scenario_DT!Q$11*(IF(Scenario_DT!Q$18=1,1,1+$M119/Scenario_DT!$C$19)*(1+$N119)^MAX(0,Scenario_DT!Q$18-3))*(Scenario_DT!Q$12+$O119)-Scenario_DT!Q$13)*(1-Scenario_DT!Q$14)+Scenario_DT!Q$13-Scenario_DT!Q$15)*Scenario_DT!Q$16</f>
        <v>2918.6580730792434</v>
      </c>
      <c r="AA119" s="28">
        <f>((Scenario_DT!R$11*(IF(Scenario_DT!R$18=1,1,1+$M119/Scenario_DT!$C$19)*(1+$N119)^MAX(0,Scenario_DT!R$18-3))*(Scenario_DT!R$12+$O119)-Scenario_DT!R$13)*(1-Scenario_DT!R$14)+Scenario_DT!R$13-Scenario_DT!R$15)*Scenario_DT!R$16</f>
        <v>3028.676806739209</v>
      </c>
      <c r="AB119" s="17">
        <f>(Scenario_DT!$R$11*(1+$M119/Scenario_DT!$C$19)*(1+$N119)^7*(Scenario_DT!$R$12+$O119)*(1+MIN(DCF_FCFF!$C$26+$Q119,(DCF_FCFF!$C$25+$P119)-0.02))*(1-DCF_FCFF!$C$27)*(1-DCF_FCFF!$C$28)/((DCF_FCFF!$C$25+$P119)-MIN(DCF_FCFF!$C$26+$Q119,(DCF_FCFF!$C$25+$P119)-0.02)))*(1+(DCF_FCFF!$C$25+$P119))^(-(Inputs!$C$9+9))</f>
        <v>23511.918308360611</v>
      </c>
      <c r="AC119" s="17">
        <f>SUMPRODUCT(R119:AA119*(1+(DCF_FCFF!$C$25+$P119))^(-Scenario_DT!$I$17:$R$17))+AB119</f>
        <v>38902.851975424353</v>
      </c>
      <c r="AD119" s="68">
        <f>((AC119-DCF_FCFF!$C$48)*(1-DCF_FCFF!$C$50)+DCF_FCFF!$C$57+DCF_FCFF!$C$58)/DCF_FCFF!$C$60</f>
        <v>276.97504124102329</v>
      </c>
      <c r="AE119" s="6"/>
      <c r="AF119" s="6"/>
      <c r="AG119" s="6"/>
    </row>
    <row r="120" spans="1:33" x14ac:dyDescent="0.3">
      <c r="A120" s="6"/>
      <c r="B120" s="72">
        <v>89</v>
      </c>
      <c r="C120" s="73">
        <v>0.85113109976193502</v>
      </c>
      <c r="D120" s="73">
        <v>0.15521299244109099</v>
      </c>
      <c r="E120" s="73">
        <v>0.73462109193516201</v>
      </c>
      <c r="F120" s="73">
        <v>0.19304149086890399</v>
      </c>
      <c r="G120" s="73">
        <v>0.27075875131779997</v>
      </c>
      <c r="H120" s="15">
        <f t="shared" si="11"/>
        <v>1.041296845128405</v>
      </c>
      <c r="I120" s="15">
        <f t="shared" si="12"/>
        <v>-1.0143285927732586</v>
      </c>
      <c r="J120" s="15">
        <f t="shared" si="13"/>
        <v>0.62684961676030027</v>
      </c>
      <c r="K120" s="15">
        <f t="shared" si="14"/>
        <v>-0.86674274033828902</v>
      </c>
      <c r="L120" s="15">
        <f t="shared" si="15"/>
        <v>-0.61051984341232202</v>
      </c>
      <c r="M120" s="18">
        <f t="shared" si="16"/>
        <v>2.08259369025681E-2</v>
      </c>
      <c r="N120" s="18">
        <f t="shared" si="17"/>
        <v>-2.8622872524988806E-3</v>
      </c>
      <c r="O120" s="18">
        <f t="shared" si="18"/>
        <v>7.5221954011236037E-3</v>
      </c>
      <c r="P120" s="18">
        <f t="shared" si="19"/>
        <v>-5.200456442029734E-3</v>
      </c>
      <c r="Q120" s="18">
        <f t="shared" si="20"/>
        <v>-2.4420793736492879E-3</v>
      </c>
      <c r="R120" s="28">
        <f>((Scenario_DT!I$11*(IF(Scenario_DT!I$18=1,1,1+$M120/Scenario_DT!$C$19)*(1+$N120)^MAX(0,Scenario_DT!I$18-3))*(Scenario_DT!I$12+$O120)-Scenario_DT!I$13)*(1-Scenario_DT!I$14)+Scenario_DT!I$13-Scenario_DT!I$15)*Scenario_DT!I$16</f>
        <v>921.59002353797405</v>
      </c>
      <c r="S120" s="28">
        <f>((Scenario_DT!J$11*(IF(Scenario_DT!J$18=1,1,1+$M120/Scenario_DT!$C$19)*(1+$N120)^MAX(0,Scenario_DT!J$18-3))*(Scenario_DT!J$12+$O120)-Scenario_DT!J$13)*(1-Scenario_DT!J$14)+Scenario_DT!J$13-Scenario_DT!J$15)*Scenario_DT!J$16</f>
        <v>1905.707539225552</v>
      </c>
      <c r="T120" s="28">
        <f>((Scenario_DT!K$11*(IF(Scenario_DT!K$18=1,1,1+$M120/Scenario_DT!$C$19)*(1+$N120)^MAX(0,Scenario_DT!K$18-3))*(Scenario_DT!K$12+$O120)-Scenario_DT!K$13)*(1-Scenario_DT!K$14)+Scenario_DT!K$13-Scenario_DT!K$15)*Scenario_DT!K$16</f>
        <v>2173.6812774844238</v>
      </c>
      <c r="U120" s="28">
        <f>((Scenario_DT!L$11*(IF(Scenario_DT!L$18=1,1,1+$M120/Scenario_DT!$C$19)*(1+$N120)^MAX(0,Scenario_DT!L$18-3))*(Scenario_DT!L$12+$O120)-Scenario_DT!L$13)*(1-Scenario_DT!L$14)+Scenario_DT!L$13-Scenario_DT!L$15)*Scenario_DT!L$16</f>
        <v>2572.0473949726511</v>
      </c>
      <c r="V120" s="28">
        <f>((Scenario_DT!M$11*(IF(Scenario_DT!M$18=1,1,1+$M120/Scenario_DT!$C$19)*(1+$N120)^MAX(0,Scenario_DT!M$18-3))*(Scenario_DT!M$12+$O120)-Scenario_DT!M$13)*(1-Scenario_DT!M$14)+Scenario_DT!M$13-Scenario_DT!M$15)*Scenario_DT!M$16</f>
        <v>2692.1475837466501</v>
      </c>
      <c r="W120" s="28">
        <f>((Scenario_DT!N$11*(IF(Scenario_DT!N$18=1,1,1+$M120/Scenario_DT!$C$19)*(1+$N120)^MAX(0,Scenario_DT!N$18-3))*(Scenario_DT!N$12+$O120)-Scenario_DT!N$13)*(1-Scenario_DT!N$14)+Scenario_DT!N$13-Scenario_DT!N$15)*Scenario_DT!N$16</f>
        <v>2817.8440726042672</v>
      </c>
      <c r="X120" s="28">
        <f>((Scenario_DT!O$11*(IF(Scenario_DT!O$18=1,1,1+$M120/Scenario_DT!$C$19)*(1+$N120)^MAX(0,Scenario_DT!O$18-3))*(Scenario_DT!O$12+$O120)-Scenario_DT!O$13)*(1-Scenario_DT!O$14)+Scenario_DT!O$13-Scenario_DT!O$15)*Scenario_DT!O$16</f>
        <v>2949.3996993798946</v>
      </c>
      <c r="Y120" s="28">
        <f>((Scenario_DT!P$11*(IF(Scenario_DT!P$18=1,1,1+$M120/Scenario_DT!$C$19)*(1+$N120)^MAX(0,Scenario_DT!P$18-3))*(Scenario_DT!P$12+$O120)-Scenario_DT!P$13)*(1-Scenario_DT!P$14)+Scenario_DT!P$13-Scenario_DT!P$15)*Scenario_DT!P$16</f>
        <v>3087.0896669931894</v>
      </c>
      <c r="Z120" s="28">
        <f>((Scenario_DT!Q$11*(IF(Scenario_DT!Q$18=1,1,1+$M120/Scenario_DT!$C$19)*(1+$N120)^MAX(0,Scenario_DT!Q$18-3))*(Scenario_DT!Q$12+$O120)-Scenario_DT!Q$13)*(1-Scenario_DT!Q$14)+Scenario_DT!Q$13-Scenario_DT!Q$15)*Scenario_DT!Q$16</f>
        <v>3231.2021253507392</v>
      </c>
      <c r="AA120" s="28">
        <f>((Scenario_DT!R$11*(IF(Scenario_DT!R$18=1,1,1+$M120/Scenario_DT!$C$19)*(1+$N120)^MAX(0,Scenario_DT!R$18-3))*(Scenario_DT!R$12+$O120)-Scenario_DT!R$13)*(1-Scenario_DT!R$14)+Scenario_DT!R$13-Scenario_DT!R$15)*Scenario_DT!R$16</f>
        <v>3382.0387806333756</v>
      </c>
      <c r="AB120" s="17">
        <f>(Scenario_DT!$R$11*(1+$M120/Scenario_DT!$C$19)*(1+$N120)^7*(Scenario_DT!$R$12+$O120)*(1+MIN(DCF_FCFF!$C$26+$Q120,(DCF_FCFF!$C$25+$P120)-0.02))*(1-DCF_FCFF!$C$27)*(1-DCF_FCFF!$C$28)/((DCF_FCFF!$C$25+$P120)-MIN(DCF_FCFF!$C$26+$Q120,(DCF_FCFF!$C$25+$P120)-0.02)))*(1+(DCF_FCFF!$C$25+$P120))^(-(Inputs!$C$9+9))</f>
        <v>31500.096958239952</v>
      </c>
      <c r="AC120" s="17">
        <f>SUMPRODUCT(R120:AA120*(1+(DCF_FCFF!$C$25+$P120))^(-Scenario_DT!$I$17:$R$17))+AB120</f>
        <v>48718.22718275724</v>
      </c>
      <c r="AD120" s="68">
        <f>((AC120-DCF_FCFF!$C$48)*(1-DCF_FCFF!$C$50)+DCF_FCFF!$C$57+DCF_FCFF!$C$58)/DCF_FCFF!$C$60</f>
        <v>371.19055533100737</v>
      </c>
      <c r="AE120" s="6"/>
      <c r="AF120" s="6"/>
      <c r="AG120" s="6"/>
    </row>
    <row r="121" spans="1:33" x14ac:dyDescent="0.3">
      <c r="A121" s="6"/>
      <c r="B121" s="72">
        <v>90</v>
      </c>
      <c r="C121" s="73">
        <v>0.70990469728130401</v>
      </c>
      <c r="D121" s="73">
        <v>0.98020478489868201</v>
      </c>
      <c r="E121" s="73">
        <v>0.61154360597707003</v>
      </c>
      <c r="F121" s="73">
        <v>5.4500314991295602E-2</v>
      </c>
      <c r="G121" s="73">
        <v>0.61630896992753303</v>
      </c>
      <c r="H121" s="15">
        <f t="shared" si="11"/>
        <v>0.55310632561104833</v>
      </c>
      <c r="I121" s="15">
        <f t="shared" si="12"/>
        <v>2.057996908114891</v>
      </c>
      <c r="J121" s="15">
        <f t="shared" si="13"/>
        <v>0.28334447418218939</v>
      </c>
      <c r="K121" s="15">
        <f t="shared" si="14"/>
        <v>-1.602701238450017</v>
      </c>
      <c r="L121" s="15">
        <f t="shared" si="15"/>
        <v>0.29580099884931238</v>
      </c>
      <c r="M121" s="18">
        <f t="shared" si="16"/>
        <v>1.1062126512220967E-2</v>
      </c>
      <c r="N121" s="18">
        <f t="shared" si="17"/>
        <v>1.6470646129142789E-2</v>
      </c>
      <c r="O121" s="18">
        <f t="shared" si="18"/>
        <v>3.4001336901862728E-3</v>
      </c>
      <c r="P121" s="18">
        <f t="shared" si="19"/>
        <v>-9.6162074307001022E-3</v>
      </c>
      <c r="Q121" s="18">
        <f t="shared" si="20"/>
        <v>1.1832039953972495E-3</v>
      </c>
      <c r="R121" s="28">
        <f>((Scenario_DT!I$11*(IF(Scenario_DT!I$18=1,1,1+$M121/Scenario_DT!$C$19)*(1+$N121)^MAX(0,Scenario_DT!I$18-3))*(Scenario_DT!I$12+$O121)-Scenario_DT!I$13)*(1-Scenario_DT!I$14)+Scenario_DT!I$13-Scenario_DT!I$15)*Scenario_DT!I$16</f>
        <v>915.77836012717398</v>
      </c>
      <c r="S121" s="28">
        <f>((Scenario_DT!J$11*(IF(Scenario_DT!J$18=1,1,1+$M121/Scenario_DT!$C$19)*(1+$N121)^MAX(0,Scenario_DT!J$18-3))*(Scenario_DT!J$12+$O121)-Scenario_DT!J$13)*(1-Scenario_DT!J$14)+Scenario_DT!J$13-Scenario_DT!J$15)*Scenario_DT!J$16</f>
        <v>1869.1074258977842</v>
      </c>
      <c r="T121" s="28">
        <f>((Scenario_DT!K$11*(IF(Scenario_DT!K$18=1,1,1+$M121/Scenario_DT!$C$19)*(1+$N121)^MAX(0,Scenario_DT!K$18-3))*(Scenario_DT!K$12+$O121)-Scenario_DT!K$13)*(1-Scenario_DT!K$14)+Scenario_DT!K$13-Scenario_DT!K$15)*Scenario_DT!K$16</f>
        <v>2135.4195812342382</v>
      </c>
      <c r="U121" s="28">
        <f>((Scenario_DT!L$11*(IF(Scenario_DT!L$18=1,1,1+$M121/Scenario_DT!$C$19)*(1+$N121)^MAX(0,Scenario_DT!L$18-3))*(Scenario_DT!L$12+$O121)-Scenario_DT!L$13)*(1-Scenario_DT!L$14)+Scenario_DT!L$13-Scenario_DT!L$15)*Scenario_DT!L$16</f>
        <v>2580.9480132099961</v>
      </c>
      <c r="V121" s="28">
        <f>((Scenario_DT!M$11*(IF(Scenario_DT!M$18=1,1,1+$M121/Scenario_DT!$C$19)*(1+$N121)^MAX(0,Scenario_DT!M$18-3))*(Scenario_DT!M$12+$O121)-Scenario_DT!M$13)*(1-Scenario_DT!M$14)+Scenario_DT!M$13-Scenario_DT!M$15)*Scenario_DT!M$16</f>
        <v>2754.2011967294975</v>
      </c>
      <c r="W121" s="28">
        <f>((Scenario_DT!N$11*(IF(Scenario_DT!N$18=1,1,1+$M121/Scenario_DT!$C$19)*(1+$N121)^MAX(0,Scenario_DT!N$18-3))*(Scenario_DT!N$12+$O121)-Scenario_DT!N$13)*(1-Scenario_DT!N$14)+Scenario_DT!N$13-Scenario_DT!N$15)*Scenario_DT!N$16</f>
        <v>2939.097323211558</v>
      </c>
      <c r="X121" s="28">
        <f>((Scenario_DT!O$11*(IF(Scenario_DT!O$18=1,1,1+$M121/Scenario_DT!$C$19)*(1+$N121)^MAX(0,Scenario_DT!O$18-3))*(Scenario_DT!O$12+$O121)-Scenario_DT!O$13)*(1-Scenario_DT!O$14)+Scenario_DT!O$13-Scenario_DT!O$15)*Scenario_DT!O$16</f>
        <v>3136.4221995357416</v>
      </c>
      <c r="Y121" s="28">
        <f>((Scenario_DT!P$11*(IF(Scenario_DT!P$18=1,1,1+$M121/Scenario_DT!$C$19)*(1+$N121)^MAX(0,Scenario_DT!P$18-3))*(Scenario_DT!P$12+$O121)-Scenario_DT!P$13)*(1-Scenario_DT!P$14)+Scenario_DT!P$13-Scenario_DT!P$15)*Scenario_DT!P$16</f>
        <v>3347.0146448756554</v>
      </c>
      <c r="Z121" s="28">
        <f>((Scenario_DT!Q$11*(IF(Scenario_DT!Q$18=1,1,1+$M121/Scenario_DT!$C$19)*(1+$N121)^MAX(0,Scenario_DT!Q$18-3))*(Scenario_DT!Q$12+$O121)-Scenario_DT!Q$13)*(1-Scenario_DT!Q$14)+Scenario_DT!Q$13-Scenario_DT!Q$15)*Scenario_DT!Q$16</f>
        <v>3571.77006425019</v>
      </c>
      <c r="AA121" s="28">
        <f>((Scenario_DT!R$11*(IF(Scenario_DT!R$18=1,1,1+$M121/Scenario_DT!$C$19)*(1+$N121)^MAX(0,Scenario_DT!R$18-3))*(Scenario_DT!R$12+$O121)-Scenario_DT!R$13)*(1-Scenario_DT!R$14)+Scenario_DT!R$13-Scenario_DT!R$15)*Scenario_DT!R$16</f>
        <v>3811.6442628270884</v>
      </c>
      <c r="AB121" s="17">
        <f>(Scenario_DT!$R$11*(1+$M121/Scenario_DT!$C$19)*(1+$N121)^7*(Scenario_DT!$R$12+$O121)*(1+MIN(DCF_FCFF!$C$26+$Q121,(DCF_FCFF!$C$25+$P121)-0.02))*(1-DCF_FCFF!$C$27)*(1-DCF_FCFF!$C$28)/((DCF_FCFF!$C$25+$P121)-MIN(DCF_FCFF!$C$26+$Q121,(DCF_FCFF!$C$25+$P121)-0.02)))*(1+(DCF_FCFF!$C$25+$P121))^(-(Inputs!$C$9+9))</f>
        <v>44505.784374254232</v>
      </c>
      <c r="AC121" s="17">
        <f>SUMPRODUCT(R121:AA121*(1+(DCF_FCFF!$C$25+$P121))^(-Scenario_DT!$I$17:$R$17))+AB121</f>
        <v>62781.327459209599</v>
      </c>
      <c r="AD121" s="68">
        <f>((AC121-DCF_FCFF!$C$48)*(1-DCF_FCFF!$C$50)+DCF_FCFF!$C$57+DCF_FCFF!$C$58)/DCF_FCFF!$C$60</f>
        <v>506.17899889606861</v>
      </c>
      <c r="AE121" s="6"/>
      <c r="AF121" s="6"/>
      <c r="AG121" s="6"/>
    </row>
    <row r="122" spans="1:33" x14ac:dyDescent="0.3">
      <c r="A122" s="6"/>
      <c r="B122" s="72">
        <v>91</v>
      </c>
      <c r="C122" s="73">
        <v>4.2350551580167102E-2</v>
      </c>
      <c r="D122" s="73">
        <v>0.88414571136681697</v>
      </c>
      <c r="E122" s="73">
        <v>0.70957828510062104</v>
      </c>
      <c r="F122" s="73">
        <v>0.17312784642250301</v>
      </c>
      <c r="G122" s="73">
        <v>9.1721005824198107E-2</v>
      </c>
      <c r="H122" s="15">
        <f t="shared" si="11"/>
        <v>-1.7240373365163635</v>
      </c>
      <c r="I122" s="15">
        <f t="shared" si="12"/>
        <v>1.1959692034473326</v>
      </c>
      <c r="J122" s="15">
        <f t="shared" si="13"/>
        <v>0.55215314985209363</v>
      </c>
      <c r="K122" s="15">
        <f t="shared" si="14"/>
        <v>-0.94187685162183288</v>
      </c>
      <c r="L122" s="15">
        <f t="shared" si="15"/>
        <v>-1.3302314906055981</v>
      </c>
      <c r="M122" s="18">
        <f t="shared" si="16"/>
        <v>-3.448074673032727E-2</v>
      </c>
      <c r="N122" s="18">
        <f t="shared" si="17"/>
        <v>1.3897683525683827E-3</v>
      </c>
      <c r="O122" s="18">
        <f t="shared" si="18"/>
        <v>6.6258377982251239E-3</v>
      </c>
      <c r="P122" s="18">
        <f t="shared" si="19"/>
        <v>-5.6512611097309972E-3</v>
      </c>
      <c r="Q122" s="18">
        <f t="shared" si="20"/>
        <v>-5.3209259624223924E-3</v>
      </c>
      <c r="R122" s="28">
        <f>((Scenario_DT!I$11*(IF(Scenario_DT!I$18=1,1,1+$M122/Scenario_DT!$C$19)*(1+$N122)^MAX(0,Scenario_DT!I$18-3))*(Scenario_DT!I$12+$O122)-Scenario_DT!I$13)*(1-Scenario_DT!I$14)+Scenario_DT!I$13-Scenario_DT!I$15)*Scenario_DT!I$16</f>
        <v>920.32625578070451</v>
      </c>
      <c r="S122" s="28">
        <f>((Scenario_DT!J$11*(IF(Scenario_DT!J$18=1,1,1+$M122/Scenario_DT!$C$19)*(1+$N122)^MAX(0,Scenario_DT!J$18-3))*(Scenario_DT!J$12+$O122)-Scenario_DT!J$13)*(1-Scenario_DT!J$14)+Scenario_DT!J$13-Scenario_DT!J$15)*Scenario_DT!J$16</f>
        <v>1769.1205281279049</v>
      </c>
      <c r="T122" s="28">
        <f>((Scenario_DT!K$11*(IF(Scenario_DT!K$18=1,1,1+$M122/Scenario_DT!$C$19)*(1+$N122)^MAX(0,Scenario_DT!K$18-3))*(Scenario_DT!K$12+$O122)-Scenario_DT!K$13)*(1-Scenario_DT!K$14)+Scenario_DT!K$13-Scenario_DT!K$15)*Scenario_DT!K$16</f>
        <v>2030.2518535148424</v>
      </c>
      <c r="U122" s="28">
        <f>((Scenario_DT!L$11*(IF(Scenario_DT!L$18=1,1,1+$M122/Scenario_DT!$C$19)*(1+$N122)^MAX(0,Scenario_DT!L$18-3))*(Scenario_DT!L$12+$O122)-Scenario_DT!L$13)*(1-Scenario_DT!L$14)+Scenario_DT!L$13-Scenario_DT!L$15)*Scenario_DT!L$16</f>
        <v>2430.5855203490005</v>
      </c>
      <c r="V122" s="28">
        <f>((Scenario_DT!M$11*(IF(Scenario_DT!M$18=1,1,1+$M122/Scenario_DT!$C$19)*(1+$N122)^MAX(0,Scenario_DT!M$18-3))*(Scenario_DT!M$12+$O122)-Scenario_DT!M$13)*(1-Scenario_DT!M$14)+Scenario_DT!M$13-Scenario_DT!M$15)*Scenario_DT!M$16</f>
        <v>2554.9648397347514</v>
      </c>
      <c r="W122" s="28">
        <f>((Scenario_DT!N$11*(IF(Scenario_DT!N$18=1,1,1+$M122/Scenario_DT!$C$19)*(1+$N122)^MAX(0,Scenario_DT!N$18-3))*(Scenario_DT!N$12+$O122)-Scenario_DT!N$13)*(1-Scenario_DT!N$14)+Scenario_DT!N$13-Scenario_DT!N$15)*Scenario_DT!N$16</f>
        <v>2685.7038543660615</v>
      </c>
      <c r="X122" s="28">
        <f>((Scenario_DT!O$11*(IF(Scenario_DT!O$18=1,1,1+$M122/Scenario_DT!$C$19)*(1+$N122)^MAX(0,Scenario_DT!O$18-3))*(Scenario_DT!O$12+$O122)-Scenario_DT!O$13)*(1-Scenario_DT!O$14)+Scenario_DT!O$13-Scenario_DT!O$15)*Scenario_DT!O$16</f>
        <v>2823.1302130220633</v>
      </c>
      <c r="Y122" s="28">
        <f>((Scenario_DT!P$11*(IF(Scenario_DT!P$18=1,1,1+$M122/Scenario_DT!$C$19)*(1+$N122)^MAX(0,Scenario_DT!P$18-3))*(Scenario_DT!P$12+$O122)-Scenario_DT!P$13)*(1-Scenario_DT!P$14)+Scenario_DT!P$13-Scenario_DT!P$15)*Scenario_DT!P$16</f>
        <v>2967.5884643305722</v>
      </c>
      <c r="Z122" s="28">
        <f>((Scenario_DT!Q$11*(IF(Scenario_DT!Q$18=1,1,1+$M122/Scenario_DT!$C$19)*(1+$N122)^MAX(0,Scenario_DT!Q$18-3))*(Scenario_DT!Q$12+$O122)-Scenario_DT!Q$13)*(1-Scenario_DT!Q$14)+Scenario_DT!Q$13-Scenario_DT!Q$15)*Scenario_DT!Q$16</f>
        <v>3119.440928401928</v>
      </c>
      <c r="AA122" s="28">
        <f>((Scenario_DT!R$11*(IF(Scenario_DT!R$18=1,1,1+$M122/Scenario_DT!$C$19)*(1+$N122)^MAX(0,Scenario_DT!R$18-3))*(Scenario_DT!R$12+$O122)-Scenario_DT!R$13)*(1-Scenario_DT!R$14)+Scenario_DT!R$13-Scenario_DT!R$15)*Scenario_DT!R$16</f>
        <v>3279.0686134072853</v>
      </c>
      <c r="AB122" s="17">
        <f>(Scenario_DT!$R$11*(1+$M122/Scenario_DT!$C$19)*(1+$N122)^7*(Scenario_DT!$R$12+$O122)*(1+MIN(DCF_FCFF!$C$26+$Q122,(DCF_FCFF!$C$25+$P122)-0.02))*(1-DCF_FCFF!$C$27)*(1-DCF_FCFF!$C$28)/((DCF_FCFF!$C$25+$P122)-MIN(DCF_FCFF!$C$26+$Q122,(DCF_FCFF!$C$25+$P122)-0.02)))*(1+(DCF_FCFF!$C$25+$P122))^(-(Inputs!$C$9+9))</f>
        <v>29101.122690786655</v>
      </c>
      <c r="AC122" s="17">
        <f>SUMPRODUCT(R122:AA122*(1+(DCF_FCFF!$C$25+$P122))^(-Scenario_DT!$I$17:$R$17))+AB122</f>
        <v>45550.611466471324</v>
      </c>
      <c r="AD122" s="68">
        <f>((AC122-DCF_FCFF!$C$48)*(1-DCF_FCFF!$C$50)+DCF_FCFF!$C$57+DCF_FCFF!$C$58)/DCF_FCFF!$C$60</f>
        <v>340.78534545921025</v>
      </c>
      <c r="AE122" s="6"/>
      <c r="AF122" s="6"/>
      <c r="AG122" s="6"/>
    </row>
    <row r="123" spans="1:33" x14ac:dyDescent="0.3">
      <c r="A123" s="6"/>
      <c r="B123" s="72">
        <v>92</v>
      </c>
      <c r="C123" s="73">
        <v>0.183533228880319</v>
      </c>
      <c r="D123" s="73">
        <v>0.98002717955419305</v>
      </c>
      <c r="E123" s="73">
        <v>0.45856064245848999</v>
      </c>
      <c r="F123" s="73">
        <v>0.78408094834140796</v>
      </c>
      <c r="G123" s="73">
        <v>0.63640834210777697</v>
      </c>
      <c r="H123" s="15">
        <f t="shared" si="11"/>
        <v>-0.90198194705590562</v>
      </c>
      <c r="I123" s="15">
        <f t="shared" si="12"/>
        <v>2.0543105851877081</v>
      </c>
      <c r="J123" s="15">
        <f t="shared" si="13"/>
        <v>-0.10406056570243616</v>
      </c>
      <c r="K123" s="15">
        <f t="shared" si="14"/>
        <v>0.78605015675861856</v>
      </c>
      <c r="L123" s="15">
        <f t="shared" si="15"/>
        <v>0.34887478516662523</v>
      </c>
      <c r="M123" s="18">
        <f t="shared" si="16"/>
        <v>-1.8039638941118114E-2</v>
      </c>
      <c r="N123" s="18">
        <f t="shared" si="17"/>
        <v>1.0624753444063028E-2</v>
      </c>
      <c r="O123" s="18">
        <f t="shared" si="18"/>
        <v>-1.2487267884292339E-3</v>
      </c>
      <c r="P123" s="18">
        <f t="shared" si="19"/>
        <v>4.7163009405517117E-3</v>
      </c>
      <c r="Q123" s="18">
        <f t="shared" si="20"/>
        <v>1.3954991406665009E-3</v>
      </c>
      <c r="R123" s="28">
        <f>((Scenario_DT!I$11*(IF(Scenario_DT!I$18=1,1,1+$M123/Scenario_DT!$C$19)*(1+$N123)^MAX(0,Scenario_DT!I$18-3))*(Scenario_DT!I$12+$O123)-Scenario_DT!I$13)*(1-Scenario_DT!I$14)+Scenario_DT!I$13-Scenario_DT!I$15)*Scenario_DT!I$16</f>
        <v>909.22396714615741</v>
      </c>
      <c r="S123" s="28">
        <f>((Scenario_DT!J$11*(IF(Scenario_DT!J$18=1,1,1+$M123/Scenario_DT!$C$19)*(1+$N123)^MAX(0,Scenario_DT!J$18-3))*(Scenario_DT!J$12+$O123)-Scenario_DT!J$13)*(1-Scenario_DT!J$14)+Scenario_DT!J$13-Scenario_DT!J$15)*Scenario_DT!J$16</f>
        <v>1784.8748533521707</v>
      </c>
      <c r="T123" s="28">
        <f>((Scenario_DT!K$11*(IF(Scenario_DT!K$18=1,1,1+$M123/Scenario_DT!$C$19)*(1+$N123)^MAX(0,Scenario_DT!K$18-3))*(Scenario_DT!K$12+$O123)-Scenario_DT!K$13)*(1-Scenario_DT!K$14)+Scenario_DT!K$13-Scenario_DT!K$15)*Scenario_DT!K$16</f>
        <v>2047.1375248442323</v>
      </c>
      <c r="U123" s="28">
        <f>((Scenario_DT!L$11*(IF(Scenario_DT!L$18=1,1,1+$M123/Scenario_DT!$C$19)*(1+$N123)^MAX(0,Scenario_DT!L$18-3))*(Scenario_DT!L$12+$O123)-Scenario_DT!L$13)*(1-Scenario_DT!L$14)+Scenario_DT!L$13-Scenario_DT!L$15)*Scenario_DT!L$16</f>
        <v>2471.2757195145332</v>
      </c>
      <c r="V123" s="28">
        <f>((Scenario_DT!M$11*(IF(Scenario_DT!M$18=1,1,1+$M123/Scenario_DT!$C$19)*(1+$N123)^MAX(0,Scenario_DT!M$18-3))*(Scenario_DT!M$12+$O123)-Scenario_DT!M$13)*(1-Scenario_DT!M$14)+Scenario_DT!M$13-Scenario_DT!M$15)*Scenario_DT!M$16</f>
        <v>2621.8758616778246</v>
      </c>
      <c r="W123" s="28">
        <f>((Scenario_DT!N$11*(IF(Scenario_DT!N$18=1,1,1+$M123/Scenario_DT!$C$19)*(1+$N123)^MAX(0,Scenario_DT!N$18-3))*(Scenario_DT!N$12+$O123)-Scenario_DT!N$13)*(1-Scenario_DT!N$14)+Scenario_DT!N$13-Scenario_DT!N$15)*Scenario_DT!N$16</f>
        <v>2781.6605097839001</v>
      </c>
      <c r="X123" s="28">
        <f>((Scenario_DT!O$11*(IF(Scenario_DT!O$18=1,1,1+$M123/Scenario_DT!$C$19)*(1+$N123)^MAX(0,Scenario_DT!O$18-3))*(Scenario_DT!O$12+$O123)-Scenario_DT!O$13)*(1-Scenario_DT!O$14)+Scenario_DT!O$13-Scenario_DT!O$15)*Scenario_DT!O$16</f>
        <v>2951.1929113421747</v>
      </c>
      <c r="Y123" s="28">
        <f>((Scenario_DT!P$11*(IF(Scenario_DT!P$18=1,1,1+$M123/Scenario_DT!$C$19)*(1+$N123)^MAX(0,Scenario_DT!P$18-3))*(Scenario_DT!P$12+$O123)-Scenario_DT!P$13)*(1-Scenario_DT!P$14)+Scenario_DT!P$13-Scenario_DT!P$15)*Scenario_DT!P$16</f>
        <v>3131.0708559226728</v>
      </c>
      <c r="Z123" s="28">
        <f>((Scenario_DT!Q$11*(IF(Scenario_DT!Q$18=1,1,1+$M123/Scenario_DT!$C$19)*(1+$N123)^MAX(0,Scenario_DT!Q$18-3))*(Scenario_DT!Q$12+$O123)-Scenario_DT!Q$13)*(1-Scenario_DT!Q$14)+Scenario_DT!Q$13-Scenario_DT!Q$15)*Scenario_DT!Q$16</f>
        <v>3321.9287921328832</v>
      </c>
      <c r="AA123" s="28">
        <f>((Scenario_DT!R$11*(IF(Scenario_DT!R$18=1,1,1+$M123/Scenario_DT!$C$19)*(1+$N123)^MAX(0,Scenario_DT!R$18-3))*(Scenario_DT!R$12+$O123)-Scenario_DT!R$13)*(1-Scenario_DT!R$14)+Scenario_DT!R$13-Scenario_DT!R$15)*Scenario_DT!R$16</f>
        <v>3524.4400742628791</v>
      </c>
      <c r="AB123" s="17">
        <f>(Scenario_DT!$R$11*(1+$M123/Scenario_DT!$C$19)*(1+$N123)^7*(Scenario_DT!$R$12+$O123)*(1+MIN(DCF_FCFF!$C$26+$Q123,(DCF_FCFF!$C$25+$P123)-0.02))*(1-DCF_FCFF!$C$27)*(1-DCF_FCFF!$C$28)/((DCF_FCFF!$C$25+$P123)-MIN(DCF_FCFF!$C$26+$Q123,(DCF_FCFF!$C$25+$P123)-0.02)))*(1+(DCF_FCFF!$C$25+$P123))^(-(Inputs!$C$9+9))</f>
        <v>26798.19691321714</v>
      </c>
      <c r="AC123" s="17">
        <f>SUMPRODUCT(R123:AA123*(1+(DCF_FCFF!$C$25+$P123))^(-Scenario_DT!$I$17:$R$17))+AB123</f>
        <v>43066.095413184848</v>
      </c>
      <c r="AD123" s="68">
        <f>((AC123-DCF_FCFF!$C$48)*(1-DCF_FCFF!$C$50)+DCF_FCFF!$C$57+DCF_FCFF!$C$58)/DCF_FCFF!$C$60</f>
        <v>316.93705109647135</v>
      </c>
      <c r="AE123" s="6"/>
      <c r="AF123" s="6"/>
      <c r="AG123" s="6"/>
    </row>
    <row r="124" spans="1:33" x14ac:dyDescent="0.3">
      <c r="A124" s="6"/>
      <c r="B124" s="72">
        <v>93</v>
      </c>
      <c r="C124" s="73">
        <v>0.57241314995863701</v>
      </c>
      <c r="D124" s="73">
        <v>0.14513025466505</v>
      </c>
      <c r="E124" s="73">
        <v>0.94602445355809495</v>
      </c>
      <c r="F124" s="73">
        <v>0.30134263251471799</v>
      </c>
      <c r="G124" s="73">
        <v>0.57801721580754195</v>
      </c>
      <c r="H124" s="15">
        <f t="shared" si="11"/>
        <v>0.18252122359156422</v>
      </c>
      <c r="I124" s="15">
        <f t="shared" si="12"/>
        <v>-1.0575503039608574</v>
      </c>
      <c r="J124" s="15">
        <f t="shared" si="13"/>
        <v>1.6074709687722644</v>
      </c>
      <c r="K124" s="15">
        <f t="shared" si="14"/>
        <v>-0.52054285740371353</v>
      </c>
      <c r="L124" s="15">
        <f t="shared" si="15"/>
        <v>0.1968236176816261</v>
      </c>
      <c r="M124" s="18">
        <f t="shared" si="16"/>
        <v>3.6504244718312847E-3</v>
      </c>
      <c r="N124" s="18">
        <f t="shared" si="17"/>
        <v>-6.5968385377142011E-3</v>
      </c>
      <c r="O124" s="18">
        <f t="shared" si="18"/>
        <v>1.9289651625267173E-2</v>
      </c>
      <c r="P124" s="18">
        <f t="shared" si="19"/>
        <v>-3.1232571444222814E-3</v>
      </c>
      <c r="Q124" s="18">
        <f t="shared" si="20"/>
        <v>7.8729447072650445E-4</v>
      </c>
      <c r="R124" s="28">
        <f>((Scenario_DT!I$11*(IF(Scenario_DT!I$18=1,1,1+$M124/Scenario_DT!$C$19)*(1+$N124)^MAX(0,Scenario_DT!I$18-3))*(Scenario_DT!I$12+$O124)-Scenario_DT!I$13)*(1-Scenario_DT!I$14)+Scenario_DT!I$13-Scenario_DT!I$15)*Scenario_DT!I$16</f>
        <v>938.18087044222841</v>
      </c>
      <c r="S124" s="28">
        <f>((Scenario_DT!J$11*(IF(Scenario_DT!J$18=1,1,1+$M124/Scenario_DT!$C$19)*(1+$N124)^MAX(0,Scenario_DT!J$18-3))*(Scenario_DT!J$12+$O124)-Scenario_DT!J$13)*(1-Scenario_DT!J$14)+Scenario_DT!J$13-Scenario_DT!J$15)*Scenario_DT!J$16</f>
        <v>1900.8356792123109</v>
      </c>
      <c r="T124" s="28">
        <f>((Scenario_DT!K$11*(IF(Scenario_DT!K$18=1,1,1+$M124/Scenario_DT!$C$19)*(1+$N124)^MAX(0,Scenario_DT!K$18-3))*(Scenario_DT!K$12+$O124)-Scenario_DT!K$13)*(1-Scenario_DT!K$14)+Scenario_DT!K$13-Scenario_DT!K$15)*Scenario_DT!K$16</f>
        <v>2168.048434174038</v>
      </c>
      <c r="U124" s="28">
        <f>((Scenario_DT!L$11*(IF(Scenario_DT!L$18=1,1,1+$M124/Scenario_DT!$C$19)*(1+$N124)^MAX(0,Scenario_DT!L$18-3))*(Scenario_DT!L$12+$O124)-Scenario_DT!L$13)*(1-Scenario_DT!L$14)+Scenario_DT!L$13-Scenario_DT!L$15)*Scenario_DT!L$16</f>
        <v>2556.4098095130485</v>
      </c>
      <c r="V124" s="28">
        <f>((Scenario_DT!M$11*(IF(Scenario_DT!M$18=1,1,1+$M124/Scenario_DT!$C$19)*(1+$N124)^MAX(0,Scenario_DT!M$18-3))*(Scenario_DT!M$12+$O124)-Scenario_DT!M$13)*(1-Scenario_DT!M$14)+Scenario_DT!M$13-Scenario_DT!M$15)*Scenario_DT!M$16</f>
        <v>2665.6845494143649</v>
      </c>
      <c r="W124" s="28">
        <f>((Scenario_DT!N$11*(IF(Scenario_DT!N$18=1,1,1+$M124/Scenario_DT!$C$19)*(1+$N124)^MAX(0,Scenario_DT!N$18-3))*(Scenario_DT!N$12+$O124)-Scenario_DT!N$13)*(1-Scenario_DT!N$14)+Scenario_DT!N$13-Scenario_DT!N$15)*Scenario_DT!N$16</f>
        <v>2779.612217568073</v>
      </c>
      <c r="X124" s="28">
        <f>((Scenario_DT!O$11*(IF(Scenario_DT!O$18=1,1,1+$M124/Scenario_DT!$C$19)*(1+$N124)^MAX(0,Scenario_DT!O$18-3))*(Scenario_DT!O$12+$O124)-Scenario_DT!O$13)*(1-Scenario_DT!O$14)+Scenario_DT!O$13-Scenario_DT!O$15)*Scenario_DT!O$16</f>
        <v>2898.3925972900629</v>
      </c>
      <c r="Y124" s="28">
        <f>((Scenario_DT!P$11*(IF(Scenario_DT!P$18=1,1,1+$M124/Scenario_DT!$C$19)*(1+$N124)^MAX(0,Scenario_DT!P$18-3))*(Scenario_DT!P$12+$O124)-Scenario_DT!P$13)*(1-Scenario_DT!P$14)+Scenario_DT!P$13-Scenario_DT!P$15)*Scenario_DT!P$16</f>
        <v>3022.2340673781432</v>
      </c>
      <c r="Z124" s="28">
        <f>((Scenario_DT!Q$11*(IF(Scenario_DT!Q$18=1,1,1+$M124/Scenario_DT!$C$19)*(1+$N124)^MAX(0,Scenario_DT!Q$18-3))*(Scenario_DT!Q$12+$O124)-Scenario_DT!Q$13)*(1-Scenario_DT!Q$14)+Scenario_DT!Q$13-Scenario_DT!Q$15)*Scenario_DT!Q$16</f>
        <v>3151.3539721291882</v>
      </c>
      <c r="AA124" s="28">
        <f>((Scenario_DT!R$11*(IF(Scenario_DT!R$18=1,1,1+$M124/Scenario_DT!$C$19)*(1+$N124)^MAX(0,Scenario_DT!R$18-3))*(Scenario_DT!R$12+$O124)-Scenario_DT!R$13)*(1-Scenario_DT!R$14)+Scenario_DT!R$13-Scenario_DT!R$15)*Scenario_DT!R$16</f>
        <v>3285.979007288412</v>
      </c>
      <c r="AB124" s="17">
        <f>(Scenario_DT!$R$11*(1+$M124/Scenario_DT!$C$19)*(1+$N124)^7*(Scenario_DT!$R$12+$O124)*(1+MIN(DCF_FCFF!$C$26+$Q124,(DCF_FCFF!$C$25+$P124)-0.02))*(1-DCF_FCFF!$C$27)*(1-DCF_FCFF!$C$28)/((DCF_FCFF!$C$25+$P124)-MIN(DCF_FCFF!$C$26+$Q124,(DCF_FCFF!$C$25+$P124)-0.02)))*(1+(DCF_FCFF!$C$25+$P124))^(-(Inputs!$C$9+9))</f>
        <v>30904.349127674916</v>
      </c>
      <c r="AC124" s="17">
        <f>SUMPRODUCT(R124:AA124*(1+(DCF_FCFF!$C$25+$P124))^(-Scenario_DT!$I$17:$R$17))+AB124</f>
        <v>47768.299574416487</v>
      </c>
      <c r="AD124" s="68">
        <f>((AC124-DCF_FCFF!$C$48)*(1-DCF_FCFF!$C$50)+DCF_FCFF!$C$57+DCF_FCFF!$C$58)/DCF_FCFF!$C$60</f>
        <v>362.0724201525141</v>
      </c>
      <c r="AE124" s="6"/>
      <c r="AF124" s="6"/>
      <c r="AG124" s="6"/>
    </row>
    <row r="125" spans="1:33" x14ac:dyDescent="0.3">
      <c r="A125" s="6"/>
      <c r="B125" s="72">
        <v>94</v>
      </c>
      <c r="C125" s="73">
        <v>0.699775944589066</v>
      </c>
      <c r="D125" s="73">
        <v>0.649233155245309</v>
      </c>
      <c r="E125" s="73">
        <v>0.940594409695518</v>
      </c>
      <c r="F125" s="73">
        <v>0.148438989920058</v>
      </c>
      <c r="G125" s="73">
        <v>0.50835273844694195</v>
      </c>
      <c r="H125" s="15">
        <f t="shared" si="11"/>
        <v>0.52375621493291857</v>
      </c>
      <c r="I125" s="15">
        <f t="shared" si="12"/>
        <v>0.38325096950017001</v>
      </c>
      <c r="J125" s="15">
        <f t="shared" si="13"/>
        <v>1.559782955696758</v>
      </c>
      <c r="K125" s="15">
        <f t="shared" si="14"/>
        <v>-1.0431518283481584</v>
      </c>
      <c r="L125" s="15">
        <f t="shared" si="15"/>
        <v>2.0938740292685547E-2</v>
      </c>
      <c r="M125" s="18">
        <f t="shared" si="16"/>
        <v>1.0475124298658371E-2</v>
      </c>
      <c r="N125" s="18">
        <f t="shared" si="17"/>
        <v>4.7502654646289725E-3</v>
      </c>
      <c r="O125" s="18">
        <f t="shared" si="18"/>
        <v>1.8717395468361094E-2</v>
      </c>
      <c r="P125" s="18">
        <f t="shared" si="19"/>
        <v>-6.2589109700889505E-3</v>
      </c>
      <c r="Q125" s="18">
        <f t="shared" si="20"/>
        <v>8.3754961170742184E-5</v>
      </c>
      <c r="R125" s="28">
        <f>((Scenario_DT!I$11*(IF(Scenario_DT!I$18=1,1,1+$M125/Scenario_DT!$C$19)*(1+$N125)^MAX(0,Scenario_DT!I$18-3))*(Scenario_DT!I$12+$O125)-Scenario_DT!I$13)*(1-Scenario_DT!I$14)+Scenario_DT!I$13-Scenario_DT!I$15)*Scenario_DT!I$16</f>
        <v>937.3740508451632</v>
      </c>
      <c r="S125" s="28">
        <f>((Scenario_DT!J$11*(IF(Scenario_DT!J$18=1,1,1+$M125/Scenario_DT!$C$19)*(1+$N125)^MAX(0,Scenario_DT!J$18-3))*(Scenario_DT!J$12+$O125)-Scenario_DT!J$13)*(1-Scenario_DT!J$14)+Scenario_DT!J$13-Scenario_DT!J$15)*Scenario_DT!J$16</f>
        <v>1915.8261052234134</v>
      </c>
      <c r="T125" s="28">
        <f>((Scenario_DT!K$11*(IF(Scenario_DT!K$18=1,1,1+$M125/Scenario_DT!$C$19)*(1+$N125)^MAX(0,Scenario_DT!K$18-3))*(Scenario_DT!K$12+$O125)-Scenario_DT!K$13)*(1-Scenario_DT!K$14)+Scenario_DT!K$13-Scenario_DT!K$15)*Scenario_DT!K$16</f>
        <v>2183.8154794010343</v>
      </c>
      <c r="U125" s="28">
        <f>((Scenario_DT!L$11*(IF(Scenario_DT!L$18=1,1,1+$M125/Scenario_DT!$C$19)*(1+$N125)^MAX(0,Scenario_DT!L$18-3))*(Scenario_DT!L$12+$O125)-Scenario_DT!L$13)*(1-Scenario_DT!L$14)+Scenario_DT!L$13-Scenario_DT!L$15)*Scenario_DT!L$16</f>
        <v>2602.6236519180643</v>
      </c>
      <c r="V125" s="28">
        <f>((Scenario_DT!M$11*(IF(Scenario_DT!M$18=1,1,1+$M125/Scenario_DT!$C$19)*(1+$N125)^MAX(0,Scenario_DT!M$18-3))*(Scenario_DT!M$12+$O125)-Scenario_DT!M$13)*(1-Scenario_DT!M$14)+Scenario_DT!M$13-Scenario_DT!M$15)*Scenario_DT!M$16</f>
        <v>2745.0988838024973</v>
      </c>
      <c r="W125" s="28">
        <f>((Scenario_DT!N$11*(IF(Scenario_DT!N$18=1,1,1+$M125/Scenario_DT!$C$19)*(1+$N125)^MAX(0,Scenario_DT!N$18-3))*(Scenario_DT!N$12+$O125)-Scenario_DT!N$13)*(1-Scenario_DT!N$14)+Scenario_DT!N$13-Scenario_DT!N$15)*Scenario_DT!N$16</f>
        <v>2895.3732628757966</v>
      </c>
      <c r="X125" s="28">
        <f>((Scenario_DT!O$11*(IF(Scenario_DT!O$18=1,1,1+$M125/Scenario_DT!$C$19)*(1+$N125)^MAX(0,Scenario_DT!O$18-3))*(Scenario_DT!O$12+$O125)-Scenario_DT!O$13)*(1-Scenario_DT!O$14)+Scenario_DT!O$13-Scenario_DT!O$15)*Scenario_DT!O$16</f>
        <v>3053.8764585682557</v>
      </c>
      <c r="Y125" s="28">
        <f>((Scenario_DT!P$11*(IF(Scenario_DT!P$18=1,1,1+$M125/Scenario_DT!$C$19)*(1+$N125)^MAX(0,Scenario_DT!P$18-3))*(Scenario_DT!P$12+$O125)-Scenario_DT!P$13)*(1-Scenario_DT!P$14)+Scenario_DT!P$13-Scenario_DT!P$15)*Scenario_DT!P$16</f>
        <v>3221.0618268379999</v>
      </c>
      <c r="Z125" s="28">
        <f>((Scenario_DT!Q$11*(IF(Scenario_DT!Q$18=1,1,1+$M125/Scenario_DT!$C$19)*(1+$N125)^MAX(0,Scenario_DT!Q$18-3))*(Scenario_DT!Q$12+$O125)-Scenario_DT!Q$13)*(1-Scenario_DT!Q$14)+Scenario_DT!Q$13-Scenario_DT!Q$15)*Scenario_DT!Q$16</f>
        <v>3397.4077155459895</v>
      </c>
      <c r="AA125" s="28">
        <f>((Scenario_DT!R$11*(IF(Scenario_DT!R$18=1,1,1+$M125/Scenario_DT!$C$19)*(1+$N125)^MAX(0,Scenario_DT!R$18-3))*(Scenario_DT!R$12+$O125)-Scenario_DT!R$13)*(1-Scenario_DT!R$14)+Scenario_DT!R$13-Scenario_DT!R$15)*Scenario_DT!R$16</f>
        <v>3583.4188417421315</v>
      </c>
      <c r="AB125" s="17">
        <f>(Scenario_DT!$R$11*(1+$M125/Scenario_DT!$C$19)*(1+$N125)^7*(Scenario_DT!$R$12+$O125)*(1+MIN(DCF_FCFF!$C$26+$Q125,(DCF_FCFF!$C$25+$P125)-0.02))*(1-DCF_FCFF!$C$27)*(1-DCF_FCFF!$C$28)/((DCF_FCFF!$C$25+$P125)-MIN(DCF_FCFF!$C$26+$Q125,(DCF_FCFF!$C$25+$P125)-0.02)))*(1+(DCF_FCFF!$C$25+$P125))^(-(Inputs!$C$9+9))</f>
        <v>36497.995599770104</v>
      </c>
      <c r="AC125" s="17">
        <f>SUMPRODUCT(R125:AA125*(1+(DCF_FCFF!$C$25+$P125))^(-Scenario_DT!$I$17:$R$17))+AB125</f>
        <v>54267.497336795001</v>
      </c>
      <c r="AD125" s="68">
        <f>((AC125-DCF_FCFF!$C$48)*(1-DCF_FCFF!$C$50)+DCF_FCFF!$C$57+DCF_FCFF!$C$58)/DCF_FCFF!$C$60</f>
        <v>424.45671473327639</v>
      </c>
      <c r="AE125" s="6"/>
      <c r="AF125" s="6"/>
      <c r="AG125" s="6"/>
    </row>
    <row r="126" spans="1:33" x14ac:dyDescent="0.3">
      <c r="A126" s="6"/>
      <c r="B126" s="72">
        <v>95</v>
      </c>
      <c r="C126" s="73">
        <v>0.40403439074076603</v>
      </c>
      <c r="D126" s="73">
        <v>0.47416872948261801</v>
      </c>
      <c r="E126" s="73">
        <v>0.11921752619774501</v>
      </c>
      <c r="F126" s="73">
        <v>0.134094609872765</v>
      </c>
      <c r="G126" s="73">
        <v>0.27807554578125698</v>
      </c>
      <c r="H126" s="15">
        <f t="shared" si="11"/>
        <v>-0.24291818031576612</v>
      </c>
      <c r="I126" s="15">
        <f t="shared" si="12"/>
        <v>-6.47947030225101E-2</v>
      </c>
      <c r="J126" s="15">
        <f t="shared" si="13"/>
        <v>-1.1789073958985701</v>
      </c>
      <c r="K126" s="15">
        <f t="shared" si="14"/>
        <v>-1.1072422162773909</v>
      </c>
      <c r="L126" s="15">
        <f t="shared" si="15"/>
        <v>-0.58856802071177117</v>
      </c>
      <c r="M126" s="18">
        <f t="shared" si="16"/>
        <v>-4.8583636063153227E-3</v>
      </c>
      <c r="N126" s="18">
        <f t="shared" si="17"/>
        <v>-1.4205835920483611E-3</v>
      </c>
      <c r="O126" s="18">
        <f t="shared" si="18"/>
        <v>-1.4146888750782842E-2</v>
      </c>
      <c r="P126" s="18">
        <f t="shared" si="19"/>
        <v>-6.643453297664346E-3</v>
      </c>
      <c r="Q126" s="18">
        <f t="shared" si="20"/>
        <v>-2.3542720828470848E-3</v>
      </c>
      <c r="R126" s="28">
        <f>((Scenario_DT!I$11*(IF(Scenario_DT!I$18=1,1,1+$M126/Scenario_DT!$C$19)*(1+$N126)^MAX(0,Scenario_DT!I$18-3))*(Scenario_DT!I$12+$O126)-Scenario_DT!I$13)*(1-Scenario_DT!I$14)+Scenario_DT!I$13-Scenario_DT!I$15)*Scenario_DT!I$16</f>
        <v>891.03894683355725</v>
      </c>
      <c r="S126" s="28">
        <f>((Scenario_DT!J$11*(IF(Scenario_DT!J$18=1,1,1+$M126/Scenario_DT!$C$19)*(1+$N126)^MAX(0,Scenario_DT!J$18-3))*(Scenario_DT!J$12+$O126)-Scenario_DT!J$13)*(1-Scenario_DT!J$14)+Scenario_DT!J$13-Scenario_DT!J$15)*Scenario_DT!J$16</f>
        <v>1776.5293019895425</v>
      </c>
      <c r="T126" s="28">
        <f>((Scenario_DT!K$11*(IF(Scenario_DT!K$18=1,1,1+$M126/Scenario_DT!$C$19)*(1+$N126)^MAX(0,Scenario_DT!K$18-3))*(Scenario_DT!K$12+$O126)-Scenario_DT!K$13)*(1-Scenario_DT!K$14)+Scenario_DT!K$13-Scenario_DT!K$15)*Scenario_DT!K$16</f>
        <v>2038.9369880940526</v>
      </c>
      <c r="U126" s="28">
        <f>((Scenario_DT!L$11*(IF(Scenario_DT!L$18=1,1,1+$M126/Scenario_DT!$C$19)*(1+$N126)^MAX(0,Scenario_DT!L$18-3))*(Scenario_DT!L$12+$O126)-Scenario_DT!L$13)*(1-Scenario_DT!L$14)+Scenario_DT!L$13-Scenario_DT!L$15)*Scenario_DT!L$16</f>
        <v>2432.9254173389068</v>
      </c>
      <c r="V126" s="28">
        <f>((Scenario_DT!M$11*(IF(Scenario_DT!M$18=1,1,1+$M126/Scenario_DT!$C$19)*(1+$N126)^MAX(0,Scenario_DT!M$18-3))*(Scenario_DT!M$12+$O126)-Scenario_DT!M$13)*(1-Scenario_DT!M$14)+Scenario_DT!M$13-Scenario_DT!M$15)*Scenario_DT!M$16</f>
        <v>2550.1961050054333</v>
      </c>
      <c r="W126" s="28">
        <f>((Scenario_DT!N$11*(IF(Scenario_DT!N$18=1,1,1+$M126/Scenario_DT!$C$19)*(1+$N126)^MAX(0,Scenario_DT!N$18-3))*(Scenario_DT!N$12+$O126)-Scenario_DT!N$13)*(1-Scenario_DT!N$14)+Scenario_DT!N$13-Scenario_DT!N$15)*Scenario_DT!N$16</f>
        <v>2673.1100138886327</v>
      </c>
      <c r="X126" s="28">
        <f>((Scenario_DT!O$11*(IF(Scenario_DT!O$18=1,1,1+$M126/Scenario_DT!$C$19)*(1+$N126)^MAX(0,Scenario_DT!O$18-3))*(Scenario_DT!O$12+$O126)-Scenario_DT!O$13)*(1-Scenario_DT!O$14)+Scenario_DT!O$13-Scenario_DT!O$15)*Scenario_DT!O$16</f>
        <v>2801.9409131529619</v>
      </c>
      <c r="Y126" s="28">
        <f>((Scenario_DT!P$11*(IF(Scenario_DT!P$18=1,1,1+$M126/Scenario_DT!$C$19)*(1+$N126)^MAX(0,Scenario_DT!P$18-3))*(Scenario_DT!P$12+$O126)-Scenario_DT!P$13)*(1-Scenario_DT!P$14)+Scenario_DT!P$13-Scenario_DT!P$15)*Scenario_DT!P$16</f>
        <v>2936.9758740598713</v>
      </c>
      <c r="Z126" s="28">
        <f>((Scenario_DT!Q$11*(IF(Scenario_DT!Q$18=1,1,1+$M126/Scenario_DT!$C$19)*(1+$N126)^MAX(0,Scenario_DT!Q$18-3))*(Scenario_DT!Q$12+$O126)-Scenario_DT!Q$13)*(1-Scenario_DT!Q$14)+Scenario_DT!Q$13-Scenario_DT!Q$15)*Scenario_DT!Q$16</f>
        <v>3078.5159164374836</v>
      </c>
      <c r="AA126" s="28">
        <f>((Scenario_DT!R$11*(IF(Scenario_DT!R$18=1,1,1+$M126/Scenario_DT!$C$19)*(1+$N126)^MAX(0,Scenario_DT!R$18-3))*(Scenario_DT!R$12+$O126)-Scenario_DT!R$13)*(1-Scenario_DT!R$14)+Scenario_DT!R$13-Scenario_DT!R$15)*Scenario_DT!R$16</f>
        <v>3226.8766865663065</v>
      </c>
      <c r="AB126" s="17">
        <f>(Scenario_DT!$R$11*(1+$M126/Scenario_DT!$C$19)*(1+$N126)^7*(Scenario_DT!$R$12+$O126)*(1+MIN(DCF_FCFF!$C$26+$Q126,(DCF_FCFF!$C$25+$P126)-0.02))*(1-DCF_FCFF!$C$27)*(1-DCF_FCFF!$C$28)/((DCF_FCFF!$C$25+$P126)-MIN(DCF_FCFF!$C$26+$Q126,(DCF_FCFF!$C$25+$P126)-0.02)))*(1+(DCF_FCFF!$C$25+$P126))^(-(Inputs!$C$9+9))</f>
        <v>31461.739497428829</v>
      </c>
      <c r="AC126" s="17">
        <f>SUMPRODUCT(R126:AA126*(1+(DCF_FCFF!$C$25+$P126))^(-Scenario_DT!$I$17:$R$17))+AB126</f>
        <v>47879.320059203827</v>
      </c>
      <c r="AD126" s="68">
        <f>((AC126-DCF_FCFF!$C$48)*(1-DCF_FCFF!$C$50)+DCF_FCFF!$C$57+DCF_FCFF!$C$58)/DCF_FCFF!$C$60</f>
        <v>363.13808008173856</v>
      </c>
      <c r="AE126" s="6"/>
      <c r="AF126" s="6"/>
      <c r="AG126" s="6"/>
    </row>
    <row r="127" spans="1:33" x14ac:dyDescent="0.3">
      <c r="A127" s="6"/>
      <c r="B127" s="72">
        <v>96</v>
      </c>
      <c r="C127" s="73">
        <v>0.30470460376083103</v>
      </c>
      <c r="D127" s="73">
        <v>0.42790321368134998</v>
      </c>
      <c r="E127" s="73">
        <v>0.61098754703662805</v>
      </c>
      <c r="F127" s="73">
        <v>0.634629117418263</v>
      </c>
      <c r="G127" s="73">
        <v>0.41181089658557002</v>
      </c>
      <c r="H127" s="15">
        <f t="shared" si="11"/>
        <v>-0.51091695609960874</v>
      </c>
      <c r="I127" s="15">
        <f t="shared" si="12"/>
        <v>-0.18171495706156227</v>
      </c>
      <c r="J127" s="15">
        <f t="shared" si="13"/>
        <v>0.28189384928552724</v>
      </c>
      <c r="K127" s="15">
        <f t="shared" si="14"/>
        <v>0.3441389856351037</v>
      </c>
      <c r="L127" s="15">
        <f t="shared" si="15"/>
        <v>-0.22288913440708247</v>
      </c>
      <c r="M127" s="18">
        <f t="shared" si="16"/>
        <v>-1.0218339121992175E-2</v>
      </c>
      <c r="N127" s="18">
        <f t="shared" si="17"/>
        <v>-3.3026259769017262E-3</v>
      </c>
      <c r="O127" s="18">
        <f t="shared" si="18"/>
        <v>3.382726191426327E-3</v>
      </c>
      <c r="P127" s="18">
        <f t="shared" si="19"/>
        <v>2.0648339138106221E-3</v>
      </c>
      <c r="Q127" s="18">
        <f t="shared" si="20"/>
        <v>-8.9155653762832993E-4</v>
      </c>
      <c r="R127" s="28">
        <f>((Scenario_DT!I$11*(IF(Scenario_DT!I$18=1,1,1+$M127/Scenario_DT!$C$19)*(1+$N127)^MAX(0,Scenario_DT!I$18-3))*(Scenario_DT!I$12+$O127)-Scenario_DT!I$13)*(1-Scenario_DT!I$14)+Scenario_DT!I$13-Scenario_DT!I$15)*Scenario_DT!I$16</f>
        <v>915.75381742725551</v>
      </c>
      <c r="S127" s="28">
        <f>((Scenario_DT!J$11*(IF(Scenario_DT!J$18=1,1,1+$M127/Scenario_DT!$C$19)*(1+$N127)^MAX(0,Scenario_DT!J$18-3))*(Scenario_DT!J$12+$O127)-Scenario_DT!J$13)*(1-Scenario_DT!J$14)+Scenario_DT!J$13-Scenario_DT!J$15)*Scenario_DT!J$16</f>
        <v>1817.8213837925487</v>
      </c>
      <c r="T127" s="28">
        <f>((Scenario_DT!K$11*(IF(Scenario_DT!K$18=1,1,1+$M127/Scenario_DT!$C$19)*(1+$N127)^MAX(0,Scenario_DT!K$18-3))*(Scenario_DT!K$12+$O127)-Scenario_DT!K$13)*(1-Scenario_DT!K$14)+Scenario_DT!K$13-Scenario_DT!K$15)*Scenario_DT!K$16</f>
        <v>2081.546863193721</v>
      </c>
      <c r="U127" s="28">
        <f>((Scenario_DT!L$11*(IF(Scenario_DT!L$18=1,1,1+$M127/Scenario_DT!$C$19)*(1+$N127)^MAX(0,Scenario_DT!L$18-3))*(Scenario_DT!L$12+$O127)-Scenario_DT!L$13)*(1-Scenario_DT!L$14)+Scenario_DT!L$13-Scenario_DT!L$15)*Scenario_DT!L$16</f>
        <v>2473.4009987307136</v>
      </c>
      <c r="V127" s="28">
        <f>((Scenario_DT!M$11*(IF(Scenario_DT!M$18=1,1,1+$M127/Scenario_DT!$C$19)*(1+$N127)^MAX(0,Scenario_DT!M$18-3))*(Scenario_DT!M$12+$O127)-Scenario_DT!M$13)*(1-Scenario_DT!M$14)+Scenario_DT!M$13-Scenario_DT!M$15)*Scenario_DT!M$16</f>
        <v>2587.7139465824425</v>
      </c>
      <c r="W127" s="28">
        <f>((Scenario_DT!N$11*(IF(Scenario_DT!N$18=1,1,1+$M127/Scenario_DT!$C$19)*(1+$N127)^MAX(0,Scenario_DT!N$18-3))*(Scenario_DT!N$12+$O127)-Scenario_DT!N$13)*(1-Scenario_DT!N$14)+Scenario_DT!N$13-Scenario_DT!N$15)*Scenario_DT!N$16</f>
        <v>2707.2976485494214</v>
      </c>
      <c r="X127" s="28">
        <f>((Scenario_DT!O$11*(IF(Scenario_DT!O$18=1,1,1+$M127/Scenario_DT!$C$19)*(1+$N127)^MAX(0,Scenario_DT!O$18-3))*(Scenario_DT!O$12+$O127)-Scenario_DT!O$13)*(1-Scenario_DT!O$14)+Scenario_DT!O$13-Scenario_DT!O$15)*Scenario_DT!O$16</f>
        <v>2832.3971505104337</v>
      </c>
      <c r="Y127" s="28">
        <f>((Scenario_DT!P$11*(IF(Scenario_DT!P$18=1,1,1+$M127/Scenario_DT!$C$19)*(1+$N127)^MAX(0,Scenario_DT!P$18-3))*(Scenario_DT!P$12+$O127)-Scenario_DT!P$13)*(1-Scenario_DT!P$14)+Scenario_DT!P$13-Scenario_DT!P$15)*Scenario_DT!P$16</f>
        <v>2963.2689112963449</v>
      </c>
      <c r="Z127" s="28">
        <f>((Scenario_DT!Q$11*(IF(Scenario_DT!Q$18=1,1,1+$M127/Scenario_DT!$C$19)*(1+$N127)^MAX(0,Scenario_DT!Q$18-3))*(Scenario_DT!Q$12+$O127)-Scenario_DT!Q$13)*(1-Scenario_DT!Q$14)+Scenario_DT!Q$13-Scenario_DT!Q$15)*Scenario_DT!Q$16</f>
        <v>3100.1813344485718</v>
      </c>
      <c r="AA127" s="28">
        <f>((Scenario_DT!R$11*(IF(Scenario_DT!R$18=1,1,1+$M127/Scenario_DT!$C$19)*(1+$N127)^MAX(0,Scenario_DT!R$18-3))*(Scenario_DT!R$12+$O127)-Scenario_DT!R$13)*(1-Scenario_DT!R$14)+Scenario_DT!R$13-Scenario_DT!R$15)*Scenario_DT!R$16</f>
        <v>3243.4153247555437</v>
      </c>
      <c r="AB127" s="17">
        <f>(Scenario_DT!$R$11*(1+$M127/Scenario_DT!$C$19)*(1+$N127)^7*(Scenario_DT!$R$12+$O127)*(1+MIN(DCF_FCFF!$C$26+$Q127,(DCF_FCFF!$C$25+$P127)-0.02))*(1-DCF_FCFF!$C$27)*(1-DCF_FCFF!$C$28)/((DCF_FCFF!$C$25+$P127)-MIN(DCF_FCFF!$C$26+$Q127,(DCF_FCFF!$C$25+$P127)-0.02)))*(1+(DCF_FCFF!$C$25+$P127))^(-(Inputs!$C$9+9))</f>
        <v>25368.170752872655</v>
      </c>
      <c r="AC127" s="17">
        <f>SUMPRODUCT(R127:AA127*(1+(DCF_FCFF!$C$25+$P127))^(-Scenario_DT!$I$17:$R$17))+AB127</f>
        <v>41418.337900863306</v>
      </c>
      <c r="AD127" s="68">
        <f>((AC127-DCF_FCFF!$C$48)*(1-DCF_FCFF!$C$50)+DCF_FCFF!$C$57+DCF_FCFF!$C$58)/DCF_FCFF!$C$60</f>
        <v>301.12060823618953</v>
      </c>
      <c r="AE127" s="6"/>
      <c r="AF127" s="6"/>
      <c r="AG127" s="6"/>
    </row>
    <row r="128" spans="1:33" x14ac:dyDescent="0.3">
      <c r="A128" s="6"/>
      <c r="B128" s="72">
        <v>97</v>
      </c>
      <c r="C128" s="73">
        <v>0.408783109428697</v>
      </c>
      <c r="D128" s="73">
        <v>0.217628526696962</v>
      </c>
      <c r="E128" s="73">
        <v>0.58830624840900803</v>
      </c>
      <c r="F128" s="73">
        <v>0.31704091131723799</v>
      </c>
      <c r="G128" s="73">
        <v>3.60598342773637E-2</v>
      </c>
      <c r="H128" s="15">
        <f t="shared" si="11"/>
        <v>-0.23067638752892164</v>
      </c>
      <c r="I128" s="15">
        <f t="shared" si="12"/>
        <v>-0.78022737233851736</v>
      </c>
      <c r="J128" s="15">
        <f t="shared" si="13"/>
        <v>0.22319016873886238</v>
      </c>
      <c r="K128" s="15">
        <f t="shared" si="14"/>
        <v>-0.47598955019356254</v>
      </c>
      <c r="L128" s="15">
        <f t="shared" si="15"/>
        <v>-1.7983619490861429</v>
      </c>
      <c r="M128" s="18">
        <f t="shared" si="16"/>
        <v>-4.6135277505784328E-3</v>
      </c>
      <c r="N128" s="18">
        <f t="shared" si="17"/>
        <v>-6.3282793515007756E-3</v>
      </c>
      <c r="O128" s="18">
        <f t="shared" si="18"/>
        <v>2.6782820248663487E-3</v>
      </c>
      <c r="P128" s="18">
        <f t="shared" si="19"/>
        <v>-2.8559373011613752E-3</v>
      </c>
      <c r="Q128" s="18">
        <f t="shared" si="20"/>
        <v>-7.1934477963445714E-3</v>
      </c>
      <c r="R128" s="28">
        <f>((Scenario_DT!I$11*(IF(Scenario_DT!I$18=1,1,1+$M128/Scenario_DT!$C$19)*(1+$N128)^MAX(0,Scenario_DT!I$18-3))*(Scenario_DT!I$12+$O128)-Scenario_DT!I$13)*(1-Scenario_DT!I$14)+Scenario_DT!I$13-Scenario_DT!I$15)*Scenario_DT!I$16</f>
        <v>914.76062696218185</v>
      </c>
      <c r="S128" s="28">
        <f>((Scenario_DT!J$11*(IF(Scenario_DT!J$18=1,1,1+$M128/Scenario_DT!$C$19)*(1+$N128)^MAX(0,Scenario_DT!J$18-3))*(Scenario_DT!J$12+$O128)-Scenario_DT!J$13)*(1-Scenario_DT!J$14)+Scenario_DT!J$13-Scenario_DT!J$15)*Scenario_DT!J$16</f>
        <v>1829.1361131004187</v>
      </c>
      <c r="T128" s="28">
        <f>((Scenario_DT!K$11*(IF(Scenario_DT!K$18=1,1,1+$M128/Scenario_DT!$C$19)*(1+$N128)^MAX(0,Scenario_DT!K$18-3))*(Scenario_DT!K$12+$O128)-Scenario_DT!K$13)*(1-Scenario_DT!K$14)+Scenario_DT!K$13-Scenario_DT!K$15)*Scenario_DT!K$16</f>
        <v>2093.4632038955033</v>
      </c>
      <c r="U128" s="28">
        <f>((Scenario_DT!L$11*(IF(Scenario_DT!L$18=1,1,1+$M128/Scenario_DT!$C$19)*(1+$N128)^MAX(0,Scenario_DT!L$18-3))*(Scenario_DT!L$12+$O128)-Scenario_DT!L$13)*(1-Scenario_DT!L$14)+Scenario_DT!L$13-Scenario_DT!L$15)*Scenario_DT!L$16</f>
        <v>2478.4137485952142</v>
      </c>
      <c r="V128" s="28">
        <f>((Scenario_DT!M$11*(IF(Scenario_DT!M$18=1,1,1+$M128/Scenario_DT!$C$19)*(1+$N128)^MAX(0,Scenario_DT!M$18-3))*(Scenario_DT!M$12+$O128)-Scenario_DT!M$13)*(1-Scenario_DT!M$14)+Scenario_DT!M$13-Scenario_DT!M$15)*Scenario_DT!M$16</f>
        <v>2585.0325785595792</v>
      </c>
      <c r="W128" s="28">
        <f>((Scenario_DT!N$11*(IF(Scenario_DT!N$18=1,1,1+$M128/Scenario_DT!$C$19)*(1+$N128)^MAX(0,Scenario_DT!N$18-3))*(Scenario_DT!N$12+$O128)-Scenario_DT!N$13)*(1-Scenario_DT!N$14)+Scenario_DT!N$13-Scenario_DT!N$15)*Scenario_DT!N$16</f>
        <v>2696.2204444173676</v>
      </c>
      <c r="X128" s="28">
        <f>((Scenario_DT!O$11*(IF(Scenario_DT!O$18=1,1,1+$M128/Scenario_DT!$C$19)*(1+$N128)^MAX(0,Scenario_DT!O$18-3))*(Scenario_DT!O$12+$O128)-Scenario_DT!O$13)*(1-Scenario_DT!O$14)+Scenario_DT!O$13-Scenario_DT!O$15)*Scenario_DT!O$16</f>
        <v>2812.1748385806759</v>
      </c>
      <c r="Y128" s="28">
        <f>((Scenario_DT!P$11*(IF(Scenario_DT!P$18=1,1,1+$M128/Scenario_DT!$C$19)*(1+$N128)^MAX(0,Scenario_DT!P$18-3))*(Scenario_DT!P$12+$O128)-Scenario_DT!P$13)*(1-Scenario_DT!P$14)+Scenario_DT!P$13-Scenario_DT!P$15)*Scenario_DT!P$16</f>
        <v>2933.1018076092273</v>
      </c>
      <c r="Z128" s="28">
        <f>((Scenario_DT!Q$11*(IF(Scenario_DT!Q$18=1,1,1+$M128/Scenario_DT!$C$19)*(1+$N128)^MAX(0,Scenario_DT!Q$18-3))*(Scenario_DT!Q$12+$O128)-Scenario_DT!Q$13)*(1-Scenario_DT!Q$14)+Scenario_DT!Q$13-Scenario_DT!Q$15)*Scenario_DT!Q$16</f>
        <v>3059.2163229332123</v>
      </c>
      <c r="AA128" s="28">
        <f>((Scenario_DT!R$11*(IF(Scenario_DT!R$18=1,1,1+$M128/Scenario_DT!$C$19)*(1+$N128)^MAX(0,Scenario_DT!R$18-3))*(Scenario_DT!R$12+$O128)-Scenario_DT!R$13)*(1-Scenario_DT!R$14)+Scenario_DT!R$13-Scenario_DT!R$15)*Scenario_DT!R$16</f>
        <v>3190.7426676464397</v>
      </c>
      <c r="AB128" s="17">
        <f>(Scenario_DT!$R$11*(1+$M128/Scenario_DT!$C$19)*(1+$N128)^7*(Scenario_DT!$R$12+$O128)*(1+MIN(DCF_FCFF!$C$26+$Q128,(DCF_FCFF!$C$25+$P128)-0.02))*(1-DCF_FCFF!$C$27)*(1-DCF_FCFF!$C$28)/((DCF_FCFF!$C$25+$P128)-MIN(DCF_FCFF!$C$26+$Q128,(DCF_FCFF!$C$25+$P128)-0.02)))*(1+(DCF_FCFF!$C$25+$P128))^(-(Inputs!$C$9+9))</f>
        <v>25238.791412470036</v>
      </c>
      <c r="AC128" s="17">
        <f>SUMPRODUCT(R128:AA128*(1+(DCF_FCFF!$C$25+$P128))^(-Scenario_DT!$I$17:$R$17))+AB128</f>
        <v>41564.034937107928</v>
      </c>
      <c r="AD128" s="68">
        <f>((AC128-DCF_FCFF!$C$48)*(1-DCF_FCFF!$C$50)+DCF_FCFF!$C$57+DCF_FCFF!$C$58)/DCF_FCFF!$C$60</f>
        <v>302.51912035429166</v>
      </c>
      <c r="AE128" s="6"/>
      <c r="AF128" s="6"/>
      <c r="AG128" s="6"/>
    </row>
    <row r="129" spans="1:33" x14ac:dyDescent="0.3">
      <c r="A129" s="6"/>
      <c r="B129" s="72">
        <v>98</v>
      </c>
      <c r="C129" s="73">
        <v>0.41840004415686</v>
      </c>
      <c r="D129" s="73">
        <v>0.47413267509016999</v>
      </c>
      <c r="E129" s="73">
        <v>0.22559286820421101</v>
      </c>
      <c r="F129" s="73">
        <v>0.57245793312211601</v>
      </c>
      <c r="G129" s="73">
        <v>0.56577190043192105</v>
      </c>
      <c r="H129" s="15">
        <f t="shared" si="11"/>
        <v>-0.20598825168973234</v>
      </c>
      <c r="I129" s="15">
        <f t="shared" si="12"/>
        <v>-6.4885268160168388E-2</v>
      </c>
      <c r="J129" s="15">
        <f t="shared" si="13"/>
        <v>-0.75343969577867254</v>
      </c>
      <c r="K129" s="15">
        <f t="shared" si="14"/>
        <v>0.18263536501135819</v>
      </c>
      <c r="L129" s="15">
        <f t="shared" si="15"/>
        <v>0.16561975579216215</v>
      </c>
      <c r="M129" s="18">
        <f t="shared" si="16"/>
        <v>-4.1197650337946468E-3</v>
      </c>
      <c r="N129" s="18">
        <f t="shared" si="17"/>
        <v>-1.2734913312235005E-3</v>
      </c>
      <c r="O129" s="18">
        <f t="shared" si="18"/>
        <v>-9.0412763493440702E-3</v>
      </c>
      <c r="P129" s="18">
        <f t="shared" si="19"/>
        <v>1.0958121900681492E-3</v>
      </c>
      <c r="Q129" s="18">
        <f t="shared" si="20"/>
        <v>6.6247902316864864E-4</v>
      </c>
      <c r="R129" s="28">
        <f>((Scenario_DT!I$11*(IF(Scenario_DT!I$18=1,1,1+$M129/Scenario_DT!$C$19)*(1+$N129)^MAX(0,Scenario_DT!I$18-3))*(Scenario_DT!I$12+$O129)-Scenario_DT!I$13)*(1-Scenario_DT!I$14)+Scenario_DT!I$13-Scenario_DT!I$15)*Scenario_DT!I$16</f>
        <v>898.23731087173724</v>
      </c>
      <c r="S129" s="28">
        <f>((Scenario_DT!J$11*(IF(Scenario_DT!J$18=1,1,1+$M129/Scenario_DT!$C$19)*(1+$N129)^MAX(0,Scenario_DT!J$18-3))*(Scenario_DT!J$12+$O129)-Scenario_DT!J$13)*(1-Scenario_DT!J$14)+Scenario_DT!J$13-Scenario_DT!J$15)*Scenario_DT!J$16</f>
        <v>1794.0620073255818</v>
      </c>
      <c r="T129" s="28">
        <f>((Scenario_DT!K$11*(IF(Scenario_DT!K$18=1,1,1+$M129/Scenario_DT!$C$19)*(1+$N129)^MAX(0,Scenario_DT!K$18-3))*(Scenario_DT!K$12+$O129)-Scenario_DT!K$13)*(1-Scenario_DT!K$14)+Scenario_DT!K$13-Scenario_DT!K$15)*Scenario_DT!K$16</f>
        <v>2057.1317285039677</v>
      </c>
      <c r="U129" s="28">
        <f>((Scenario_DT!L$11*(IF(Scenario_DT!L$18=1,1,1+$M129/Scenario_DT!$C$19)*(1+$N129)^MAX(0,Scenario_DT!L$18-3))*(Scenario_DT!L$12+$O129)-Scenario_DT!L$13)*(1-Scenario_DT!L$14)+Scenario_DT!L$13-Scenario_DT!L$15)*Scenario_DT!L$16</f>
        <v>2452.5804317438306</v>
      </c>
      <c r="V129" s="28">
        <f>((Scenario_DT!M$11*(IF(Scenario_DT!M$18=1,1,1+$M129/Scenario_DT!$C$19)*(1+$N129)^MAX(0,Scenario_DT!M$18-3))*(Scenario_DT!M$12+$O129)-Scenario_DT!M$13)*(1-Scenario_DT!M$14)+Scenario_DT!M$13-Scenario_DT!M$15)*Scenario_DT!M$16</f>
        <v>2571.1859521130473</v>
      </c>
      <c r="W129" s="28">
        <f>((Scenario_DT!N$11*(IF(Scenario_DT!N$18=1,1,1+$M129/Scenario_DT!$C$19)*(1+$N129)^MAX(0,Scenario_DT!N$18-3))*(Scenario_DT!N$12+$O129)-Scenario_DT!N$13)*(1-Scenario_DT!N$14)+Scenario_DT!N$13-Scenario_DT!N$15)*Scenario_DT!N$16</f>
        <v>2695.5180042686029</v>
      </c>
      <c r="X129" s="28">
        <f>((Scenario_DT!O$11*(IF(Scenario_DT!O$18=1,1,1+$M129/Scenario_DT!$C$19)*(1+$N129)^MAX(0,Scenario_DT!O$18-3))*(Scenario_DT!O$12+$O129)-Scenario_DT!O$13)*(1-Scenario_DT!O$14)+Scenario_DT!O$13-Scenario_DT!O$15)*Scenario_DT!O$16</f>
        <v>2825.8553018179459</v>
      </c>
      <c r="Y129" s="28">
        <f>((Scenario_DT!P$11*(IF(Scenario_DT!P$18=1,1,1+$M129/Scenario_DT!$C$19)*(1+$N129)^MAX(0,Scenario_DT!P$18-3))*(Scenario_DT!P$12+$O129)-Scenario_DT!P$13)*(1-Scenario_DT!P$14)+Scenario_DT!P$13-Scenario_DT!P$15)*Scenario_DT!P$16</f>
        <v>2962.4901442638525</v>
      </c>
      <c r="Z129" s="28">
        <f>((Scenario_DT!Q$11*(IF(Scenario_DT!Q$18=1,1,1+$M129/Scenario_DT!$C$19)*(1+$N129)^MAX(0,Scenario_DT!Q$18-3))*(Scenario_DT!Q$12+$O129)-Scenario_DT!Q$13)*(1-Scenario_DT!Q$14)+Scenario_DT!Q$13-Scenario_DT!Q$15)*Scenario_DT!Q$16</f>
        <v>3105.7290793795019</v>
      </c>
      <c r="AA129" s="28">
        <f>((Scenario_DT!R$11*(IF(Scenario_DT!R$18=1,1,1+$M129/Scenario_DT!$C$19)*(1+$N129)^MAX(0,Scenario_DT!R$18-3))*(Scenario_DT!R$12+$O129)-Scenario_DT!R$13)*(1-Scenario_DT!R$14)+Scenario_DT!R$13-Scenario_DT!R$15)*Scenario_DT!R$16</f>
        <v>3255.8935978752088</v>
      </c>
      <c r="AB129" s="17">
        <f>(Scenario_DT!$R$11*(1+$M129/Scenario_DT!$C$19)*(1+$N129)^7*(Scenario_DT!$R$12+$O129)*(1+MIN(DCF_FCFF!$C$26+$Q129,(DCF_FCFF!$C$25+$P129)-0.02))*(1-DCF_FCFF!$C$27)*(1-DCF_FCFF!$C$28)/((DCF_FCFF!$C$25+$P129)-MIN(DCF_FCFF!$C$26+$Q129,(DCF_FCFF!$C$25+$P129)-0.02)))*(1+(DCF_FCFF!$C$25+$P129))^(-(Inputs!$C$9+9))</f>
        <v>26994.822641857198</v>
      </c>
      <c r="AC129" s="17">
        <f>SUMPRODUCT(R129:AA129*(1+(DCF_FCFF!$C$25+$P129))^(-Scenario_DT!$I$17:$R$17))+AB129</f>
        <v>43019.515088847838</v>
      </c>
      <c r="AD129" s="68">
        <f>((AC129-DCF_FCFF!$C$48)*(1-DCF_FCFF!$C$50)+DCF_FCFF!$C$57+DCF_FCFF!$C$58)/DCF_FCFF!$C$60</f>
        <v>316.48993734776712</v>
      </c>
      <c r="AE129" s="6"/>
      <c r="AF129" s="6"/>
      <c r="AG129" s="6"/>
    </row>
    <row r="130" spans="1:33" x14ac:dyDescent="0.3">
      <c r="A130" s="6"/>
      <c r="B130" s="72">
        <v>99</v>
      </c>
      <c r="C130" s="73">
        <v>0.70200218111037105</v>
      </c>
      <c r="D130" s="73">
        <v>0.64794848220121004</v>
      </c>
      <c r="E130" s="73">
        <v>0.65243305652103201</v>
      </c>
      <c r="F130" s="73">
        <v>0.316214151824043</v>
      </c>
      <c r="G130" s="73">
        <v>0.78743222198595397</v>
      </c>
      <c r="H130" s="15">
        <f t="shared" si="11"/>
        <v>0.53016773724986033</v>
      </c>
      <c r="I130" s="15">
        <f t="shared" si="12"/>
        <v>0.37978767015904874</v>
      </c>
      <c r="J130" s="15">
        <f t="shared" si="13"/>
        <v>0.39189758565765365</v>
      </c>
      <c r="K130" s="15">
        <f t="shared" si="14"/>
        <v>-0.47831179346051961</v>
      </c>
      <c r="L130" s="15">
        <f t="shared" si="15"/>
        <v>0.79754331690660796</v>
      </c>
      <c r="M130" s="18">
        <f t="shared" si="16"/>
        <v>1.0603354744997207E-2</v>
      </c>
      <c r="N130" s="18">
        <f t="shared" si="17"/>
        <v>4.7519171122141733E-3</v>
      </c>
      <c r="O130" s="18">
        <f t="shared" si="18"/>
        <v>4.7027710278918439E-3</v>
      </c>
      <c r="P130" s="18">
        <f t="shared" si="19"/>
        <v>-2.8698707607631175E-3</v>
      </c>
      <c r="Q130" s="18">
        <f t="shared" si="20"/>
        <v>3.190173267626432E-3</v>
      </c>
      <c r="R130" s="28">
        <f>((Scenario_DT!I$11*(IF(Scenario_DT!I$18=1,1,1+$M130/Scenario_DT!$C$19)*(1+$N130)^MAX(0,Scenario_DT!I$18-3))*(Scenario_DT!I$12+$O130)-Scenario_DT!I$13)*(1-Scenario_DT!I$14)+Scenario_DT!I$13-Scenario_DT!I$15)*Scenario_DT!I$16</f>
        <v>917.61493858814117</v>
      </c>
      <c r="S130" s="28">
        <f>((Scenario_DT!J$11*(IF(Scenario_DT!J$18=1,1,1+$M130/Scenario_DT!$C$19)*(1+$N130)^MAX(0,Scenario_DT!J$18-3))*(Scenario_DT!J$12+$O130)-Scenario_DT!J$13)*(1-Scenario_DT!J$14)+Scenario_DT!J$13-Scenario_DT!J$15)*Scenario_DT!J$16</f>
        <v>1872.0968043553512</v>
      </c>
      <c r="T130" s="28">
        <f>((Scenario_DT!K$11*(IF(Scenario_DT!K$18=1,1,1+$M130/Scenario_DT!$C$19)*(1+$N130)^MAX(0,Scenario_DT!K$18-3))*(Scenario_DT!K$12+$O130)-Scenario_DT!K$13)*(1-Scenario_DT!K$14)+Scenario_DT!K$13-Scenario_DT!K$15)*Scenario_DT!K$16</f>
        <v>2138.5019575542815</v>
      </c>
      <c r="U130" s="28">
        <f>((Scenario_DT!L$11*(IF(Scenario_DT!L$18=1,1,1+$M130/Scenario_DT!$C$19)*(1+$N130)^MAX(0,Scenario_DT!L$18-3))*(Scenario_DT!L$12+$O130)-Scenario_DT!L$13)*(1-Scenario_DT!L$14)+Scenario_DT!L$13-Scenario_DT!L$15)*Scenario_DT!L$16</f>
        <v>2554.2864731349455</v>
      </c>
      <c r="V130" s="28">
        <f>((Scenario_DT!M$11*(IF(Scenario_DT!M$18=1,1,1+$M130/Scenario_DT!$C$19)*(1+$N130)^MAX(0,Scenario_DT!M$18-3))*(Scenario_DT!M$12+$O130)-Scenario_DT!M$13)*(1-Scenario_DT!M$14)+Scenario_DT!M$13-Scenario_DT!M$15)*Scenario_DT!M$16</f>
        <v>2694.1082099127011</v>
      </c>
      <c r="W130" s="28">
        <f>((Scenario_DT!N$11*(IF(Scenario_DT!N$18=1,1,1+$M130/Scenario_DT!$C$19)*(1+$N130)^MAX(0,Scenario_DT!N$18-3))*(Scenario_DT!N$12+$O130)-Scenario_DT!N$13)*(1-Scenario_DT!N$14)+Scenario_DT!N$13-Scenario_DT!N$15)*Scenario_DT!N$16</f>
        <v>2841.5834292749319</v>
      </c>
      <c r="X130" s="28">
        <f>((Scenario_DT!O$11*(IF(Scenario_DT!O$18=1,1,1+$M130/Scenario_DT!$C$19)*(1+$N130)^MAX(0,Scenario_DT!O$18-3))*(Scenario_DT!O$12+$O130)-Scenario_DT!O$13)*(1-Scenario_DT!O$14)+Scenario_DT!O$13-Scenario_DT!O$15)*Scenario_DT!O$16</f>
        <v>2997.1338043621804</v>
      </c>
      <c r="Y130" s="28">
        <f>((Scenario_DT!P$11*(IF(Scenario_DT!P$18=1,1,1+$M130/Scenario_DT!$C$19)*(1+$N130)^MAX(0,Scenario_DT!P$18-3))*(Scenario_DT!P$12+$O130)-Scenario_DT!P$13)*(1-Scenario_DT!P$14)+Scenario_DT!P$13-Scenario_DT!P$15)*Scenario_DT!P$16</f>
        <v>3161.2042558860526</v>
      </c>
      <c r="Z130" s="28">
        <f>((Scenario_DT!Q$11*(IF(Scenario_DT!Q$18=1,1,1+$M130/Scenario_DT!$C$19)*(1+$N130)^MAX(0,Scenario_DT!Q$18-3))*(Scenario_DT!Q$12+$O130)-Scenario_DT!Q$13)*(1-Scenario_DT!Q$14)+Scenario_DT!Q$13-Scenario_DT!Q$15)*Scenario_DT!Q$16</f>
        <v>3334.2642334077264</v>
      </c>
      <c r="AA130" s="28">
        <f>((Scenario_DT!R$11*(IF(Scenario_DT!R$18=1,1,1+$M130/Scenario_DT!$C$19)*(1+$N130)^MAX(0,Scenario_DT!R$18-3))*(Scenario_DT!R$12+$O130)-Scenario_DT!R$13)*(1-Scenario_DT!R$14)+Scenario_DT!R$13-Scenario_DT!R$15)*Scenario_DT!R$16</f>
        <v>3516.8090672048147</v>
      </c>
      <c r="AB130" s="17">
        <f>(Scenario_DT!$R$11*(1+$M130/Scenario_DT!$C$19)*(1+$N130)^7*(Scenario_DT!$R$12+$O130)*(1+MIN(DCF_FCFF!$C$26+$Q130,(DCF_FCFF!$C$25+$P130)-0.02))*(1-DCF_FCFF!$C$27)*(1-DCF_FCFF!$C$28)/((DCF_FCFF!$C$25+$P130)-MIN(DCF_FCFF!$C$26+$Q130,(DCF_FCFF!$C$25+$P130)-0.02)))*(1+(DCF_FCFF!$C$25+$P130))^(-(Inputs!$C$9+9))</f>
        <v>34662.846465899755</v>
      </c>
      <c r="AC130" s="17">
        <f>SUMPRODUCT(R130:AA130*(1+(DCF_FCFF!$C$25+$P130))^(-Scenario_DT!$I$17:$R$17))+AB130</f>
        <v>51836.361458083265</v>
      </c>
      <c r="AD130" s="68">
        <f>((AC130-DCF_FCFF!$C$48)*(1-DCF_FCFF!$C$50)+DCF_FCFF!$C$57+DCF_FCFF!$C$58)/DCF_FCFF!$C$60</f>
        <v>401.12080430732425</v>
      </c>
      <c r="AE130" s="6"/>
      <c r="AF130" s="6"/>
      <c r="AG130" s="6"/>
    </row>
    <row r="131" spans="1:33" x14ac:dyDescent="0.3">
      <c r="A131" s="6"/>
      <c r="B131" s="72">
        <v>100</v>
      </c>
      <c r="C131" s="73">
        <v>0.54914438359967899</v>
      </c>
      <c r="D131" s="73">
        <v>0.43141819517989</v>
      </c>
      <c r="E131" s="73">
        <v>0.62601248094105699</v>
      </c>
      <c r="F131" s="73">
        <v>0.360657334450254</v>
      </c>
      <c r="G131" s="73">
        <v>0.51273924460675802</v>
      </c>
      <c r="H131" s="15">
        <f t="shared" si="11"/>
        <v>0.12349992610834741</v>
      </c>
      <c r="I131" s="15">
        <f t="shared" si="12"/>
        <v>-0.17276469327120006</v>
      </c>
      <c r="J131" s="15">
        <f t="shared" si="13"/>
        <v>0.32131058180333932</v>
      </c>
      <c r="K131" s="15">
        <f t="shared" si="14"/>
        <v>-0.35670231951694964</v>
      </c>
      <c r="L131" s="15">
        <f t="shared" si="15"/>
        <v>3.1937979538439749E-2</v>
      </c>
      <c r="M131" s="18">
        <f t="shared" si="16"/>
        <v>2.4699985221669483E-3</v>
      </c>
      <c r="N131" s="18">
        <f t="shared" si="17"/>
        <v>-7.0294920156569601E-4</v>
      </c>
      <c r="O131" s="18">
        <f t="shared" si="18"/>
        <v>3.855726981640072E-3</v>
      </c>
      <c r="P131" s="18">
        <f t="shared" si="19"/>
        <v>-2.1402139171016977E-3</v>
      </c>
      <c r="Q131" s="18">
        <f t="shared" si="20"/>
        <v>1.27751918153759E-4</v>
      </c>
      <c r="R131" s="28">
        <f>((Scenario_DT!I$11*(IF(Scenario_DT!I$18=1,1,1+$M131/Scenario_DT!$C$19)*(1+$N131)^MAX(0,Scenario_DT!I$18-3))*(Scenario_DT!I$12+$O131)-Scenario_DT!I$13)*(1-Scenario_DT!I$14)+Scenario_DT!I$13-Scenario_DT!I$15)*Scenario_DT!I$16</f>
        <v>916.42069763879408</v>
      </c>
      <c r="S131" s="28">
        <f>((Scenario_DT!J$11*(IF(Scenario_DT!J$18=1,1,1+$M131/Scenario_DT!$C$19)*(1+$N131)^MAX(0,Scenario_DT!J$18-3))*(Scenario_DT!J$12+$O131)-Scenario_DT!J$13)*(1-Scenario_DT!J$14)+Scenario_DT!J$13-Scenario_DT!J$15)*Scenario_DT!J$16</f>
        <v>1849.8415300067295</v>
      </c>
      <c r="T131" s="28">
        <f>((Scenario_DT!K$11*(IF(Scenario_DT!K$18=1,1,1+$M131/Scenario_DT!$C$19)*(1+$N131)^MAX(0,Scenario_DT!K$18-3))*(Scenario_DT!K$12+$O131)-Scenario_DT!K$13)*(1-Scenario_DT!K$14)+Scenario_DT!K$13-Scenario_DT!K$15)*Scenario_DT!K$16</f>
        <v>2115.1616525814306</v>
      </c>
      <c r="U131" s="28">
        <f>((Scenario_DT!L$11*(IF(Scenario_DT!L$18=1,1,1+$M131/Scenario_DT!$C$19)*(1+$N131)^MAX(0,Scenario_DT!L$18-3))*(Scenario_DT!L$12+$O131)-Scenario_DT!L$13)*(1-Scenario_DT!L$14)+Scenario_DT!L$13-Scenario_DT!L$15)*Scenario_DT!L$16</f>
        <v>2515.5626847447988</v>
      </c>
      <c r="V131" s="28">
        <f>((Scenario_DT!M$11*(IF(Scenario_DT!M$18=1,1,1+$M131/Scenario_DT!$C$19)*(1+$N131)^MAX(0,Scenario_DT!M$18-3))*(Scenario_DT!M$12+$O131)-Scenario_DT!M$13)*(1-Scenario_DT!M$14)+Scenario_DT!M$13-Scenario_DT!M$15)*Scenario_DT!M$16</f>
        <v>2638.7502054803094</v>
      </c>
      <c r="W131" s="28">
        <f>((Scenario_DT!N$11*(IF(Scenario_DT!N$18=1,1,1+$M131/Scenario_DT!$C$19)*(1+$N131)^MAX(0,Scenario_DT!N$18-3))*(Scenario_DT!N$12+$O131)-Scenario_DT!N$13)*(1-Scenario_DT!N$14)+Scenario_DT!N$13-Scenario_DT!N$15)*Scenario_DT!N$16</f>
        <v>2767.9619666272379</v>
      </c>
      <c r="X131" s="28">
        <f>((Scenario_DT!O$11*(IF(Scenario_DT!O$18=1,1,1+$M131/Scenario_DT!$C$19)*(1+$N131)^MAX(0,Scenario_DT!O$18-3))*(Scenario_DT!O$12+$O131)-Scenario_DT!O$13)*(1-Scenario_DT!O$14)+Scenario_DT!O$13-Scenario_DT!O$15)*Scenario_DT!O$16</f>
        <v>2903.494850751511</v>
      </c>
      <c r="Y131" s="28">
        <f>((Scenario_DT!P$11*(IF(Scenario_DT!P$18=1,1,1+$M131/Scenario_DT!$C$19)*(1+$N131)^MAX(0,Scenario_DT!P$18-3))*(Scenario_DT!P$12+$O131)-Scenario_DT!P$13)*(1-Scenario_DT!P$14)+Scenario_DT!P$13-Scenario_DT!P$15)*Scenario_DT!P$16</f>
        <v>3045.6603918306632</v>
      </c>
      <c r="Z131" s="28">
        <f>((Scenario_DT!Q$11*(IF(Scenario_DT!Q$18=1,1,1+$M131/Scenario_DT!$C$19)*(1+$N131)^MAX(0,Scenario_DT!Q$18-3))*(Scenario_DT!Q$12+$O131)-Scenario_DT!Q$13)*(1-Scenario_DT!Q$14)+Scenario_DT!Q$13-Scenario_DT!Q$15)*Scenario_DT!Q$16</f>
        <v>3194.7854984142482</v>
      </c>
      <c r="AA131" s="28">
        <f>((Scenario_DT!R$11*(IF(Scenario_DT!R$18=1,1,1+$M131/Scenario_DT!$C$19)*(1+$N131)^MAX(0,Scenario_DT!R$18-3))*(Scenario_DT!R$12+$O131)-Scenario_DT!R$13)*(1-Scenario_DT!R$14)+Scenario_DT!R$13-Scenario_DT!R$15)*Scenario_DT!R$16</f>
        <v>3351.2132124740297</v>
      </c>
      <c r="AB131" s="17">
        <f>(Scenario_DT!$R$11*(1+$M131/Scenario_DT!$C$19)*(1+$N131)^7*(Scenario_DT!$R$12+$O131)*(1+MIN(DCF_FCFF!$C$26+$Q131,(DCF_FCFF!$C$25+$P131)-0.02))*(1-DCF_FCFF!$C$27)*(1-DCF_FCFF!$C$28)/((DCF_FCFF!$C$25+$P131)-MIN(DCF_FCFF!$C$26+$Q131,(DCF_FCFF!$C$25+$P131)-0.02)))*(1+(DCF_FCFF!$C$25+$P131))^(-(Inputs!$C$9+9))</f>
        <v>30158.636058340489</v>
      </c>
      <c r="AC131" s="17">
        <f>SUMPRODUCT(R131:AA131*(1+(DCF_FCFF!$C$25+$P131))^(-Scenario_DT!$I$17:$R$17))+AB131</f>
        <v>46849.979673233567</v>
      </c>
      <c r="AD131" s="68">
        <f>((AC131-DCF_FCFF!$C$48)*(1-DCF_FCFF!$C$50)+DCF_FCFF!$C$57+DCF_FCFF!$C$58)/DCF_FCFF!$C$60</f>
        <v>353.25768003698852</v>
      </c>
      <c r="AE131" s="6"/>
      <c r="AF131" s="6"/>
      <c r="AG131" s="6"/>
    </row>
    <row r="132" spans="1:33" x14ac:dyDescent="0.3">
      <c r="A132" s="6"/>
      <c r="B132" s="72">
        <v>101</v>
      </c>
      <c r="C132" s="73">
        <v>0.73670568848221996</v>
      </c>
      <c r="D132" s="73">
        <v>0.88640288672370804</v>
      </c>
      <c r="E132" s="73">
        <v>0.92105719729519198</v>
      </c>
      <c r="F132" s="73">
        <v>0.50363292518309899</v>
      </c>
      <c r="G132" s="73">
        <v>0.52027511474056898</v>
      </c>
      <c r="H132" s="15">
        <f t="shared" si="11"/>
        <v>0.63322208883694375</v>
      </c>
      <c r="I132" s="15">
        <f t="shared" si="12"/>
        <v>1.2076180148600268</v>
      </c>
      <c r="J132" s="15">
        <f t="shared" si="13"/>
        <v>1.4122186001643395</v>
      </c>
      <c r="K132" s="15">
        <f t="shared" si="14"/>
        <v>9.1065188472822106E-3</v>
      </c>
      <c r="L132" s="15">
        <f t="shared" si="15"/>
        <v>5.0844073725365112E-2</v>
      </c>
      <c r="M132" s="18">
        <f t="shared" si="16"/>
        <v>1.2664441776738875E-2</v>
      </c>
      <c r="N132" s="18">
        <f t="shared" si="17"/>
        <v>1.0899511386839911E-2</v>
      </c>
      <c r="O132" s="18">
        <f t="shared" si="18"/>
        <v>1.6946623201972075E-2</v>
      </c>
      <c r="P132" s="18">
        <f t="shared" si="19"/>
        <v>5.4639113083693264E-5</v>
      </c>
      <c r="Q132" s="18">
        <f t="shared" si="20"/>
        <v>2.0337629490146044E-4</v>
      </c>
      <c r="R132" s="28">
        <f>((Scenario_DT!I$11*(IF(Scenario_DT!I$18=1,1,1+$M132/Scenario_DT!$C$19)*(1+$N132)^MAX(0,Scenario_DT!I$18-3))*(Scenario_DT!I$12+$O132)-Scenario_DT!I$13)*(1-Scenario_DT!I$14)+Scenario_DT!I$13-Scenario_DT!I$15)*Scenario_DT!I$16</f>
        <v>934.87745251376816</v>
      </c>
      <c r="S132" s="28">
        <f>((Scenario_DT!J$11*(IF(Scenario_DT!J$18=1,1,1+$M132/Scenario_DT!$C$19)*(1+$N132)^MAX(0,Scenario_DT!J$18-3))*(Scenario_DT!J$12+$O132)-Scenario_DT!J$13)*(1-Scenario_DT!J$14)+Scenario_DT!J$13-Scenario_DT!J$15)*Scenario_DT!J$16</f>
        <v>1915.6304926343041</v>
      </c>
      <c r="T132" s="28">
        <f>((Scenario_DT!K$11*(IF(Scenario_DT!K$18=1,1,1+$M132/Scenario_DT!$C$19)*(1+$N132)^MAX(0,Scenario_DT!K$18-3))*(Scenario_DT!K$12+$O132)-Scenario_DT!K$13)*(1-Scenario_DT!K$14)+Scenario_DT!K$13-Scenario_DT!K$15)*Scenario_DT!K$16</f>
        <v>2183.6872016535294</v>
      </c>
      <c r="U132" s="28">
        <f>((Scenario_DT!L$11*(IF(Scenario_DT!L$18=1,1,1+$M132/Scenario_DT!$C$19)*(1+$N132)^MAX(0,Scenario_DT!L$18-3))*(Scenario_DT!L$12+$O132)-Scenario_DT!L$13)*(1-Scenario_DT!L$14)+Scenario_DT!L$13-Scenario_DT!L$15)*Scenario_DT!L$16</f>
        <v>2618.517750438732</v>
      </c>
      <c r="V132" s="28">
        <f>((Scenario_DT!M$11*(IF(Scenario_DT!M$18=1,1,1+$M132/Scenario_DT!$C$19)*(1+$N132)^MAX(0,Scenario_DT!M$18-3))*(Scenario_DT!M$12+$O132)-Scenario_DT!M$13)*(1-Scenario_DT!M$14)+Scenario_DT!M$13-Scenario_DT!M$15)*Scenario_DT!M$16</f>
        <v>2778.8829247474164</v>
      </c>
      <c r="W132" s="28">
        <f>((Scenario_DT!N$11*(IF(Scenario_DT!N$18=1,1,1+$M132/Scenario_DT!$C$19)*(1+$N132)^MAX(0,Scenario_DT!N$18-3))*(Scenario_DT!N$12+$O132)-Scenario_DT!N$13)*(1-Scenario_DT!N$14)+Scenario_DT!N$13-Scenario_DT!N$15)*Scenario_DT!N$16</f>
        <v>2949.0765114497935</v>
      </c>
      <c r="X132" s="28">
        <f>((Scenario_DT!O$11*(IF(Scenario_DT!O$18=1,1,1+$M132/Scenario_DT!$C$19)*(1+$N132)^MAX(0,Scenario_DT!O$18-3))*(Scenario_DT!O$12+$O132)-Scenario_DT!O$13)*(1-Scenario_DT!O$14)+Scenario_DT!O$13-Scenario_DT!O$15)*Scenario_DT!O$16</f>
        <v>3129.7040072473601</v>
      </c>
      <c r="Y132" s="28">
        <f>((Scenario_DT!P$11*(IF(Scenario_DT!P$18=1,1,1+$M132/Scenario_DT!$C$19)*(1+$N132)^MAX(0,Scenario_DT!P$18-3))*(Scenario_DT!P$12+$O132)-Scenario_DT!P$13)*(1-Scenario_DT!P$14)+Scenario_DT!P$13-Scenario_DT!P$15)*Scenario_DT!P$16</f>
        <v>3321.4082110670738</v>
      </c>
      <c r="Z132" s="28">
        <f>((Scenario_DT!Q$11*(IF(Scenario_DT!Q$18=1,1,1+$M132/Scenario_DT!$C$19)*(1+$N132)^MAX(0,Scenario_DT!Q$18-3))*(Scenario_DT!Q$12+$O132)-Scenario_DT!Q$13)*(1-Scenario_DT!Q$14)+Scenario_DT!Q$13-Scenario_DT!Q$15)*Scenario_DT!Q$16</f>
        <v>3524.8715206760003</v>
      </c>
      <c r="AA132" s="28">
        <f>((Scenario_DT!R$11*(IF(Scenario_DT!R$18=1,1,1+$M132/Scenario_DT!$C$19)*(1+$N132)^MAX(0,Scenario_DT!R$18-3))*(Scenario_DT!R$12+$O132)-Scenario_DT!R$13)*(1-Scenario_DT!R$14)+Scenario_DT!R$13-Scenario_DT!R$15)*Scenario_DT!R$16</f>
        <v>3740.8183706160553</v>
      </c>
      <c r="AB132" s="17">
        <f>(Scenario_DT!$R$11*(1+$M132/Scenario_DT!$C$19)*(1+$N132)^7*(Scenario_DT!$R$12+$O132)*(1+MIN(DCF_FCFF!$C$26+$Q132,(DCF_FCFF!$C$25+$P132)-0.02))*(1-DCF_FCFF!$C$27)*(1-DCF_FCFF!$C$28)/((DCF_FCFF!$C$25+$P132)-MIN(DCF_FCFF!$C$26+$Q132,(DCF_FCFF!$C$25+$P132)-0.02)))*(1+(DCF_FCFF!$C$25+$P132))^(-(Inputs!$C$9+9))</f>
        <v>31610.317113962254</v>
      </c>
      <c r="AC132" s="17">
        <f>SUMPRODUCT(R132:AA132*(1+(DCF_FCFF!$C$25+$P132))^(-Scenario_DT!$I$17:$R$17))+AB132</f>
        <v>49210.8272358705</v>
      </c>
      <c r="AD132" s="68">
        <f>((AC132-DCF_FCFF!$C$48)*(1-DCF_FCFF!$C$50)+DCF_FCFF!$C$57+DCF_FCFF!$C$58)/DCF_FCFF!$C$60</f>
        <v>375.9189091905875</v>
      </c>
      <c r="AE132" s="6"/>
      <c r="AF132" s="6"/>
      <c r="AG132" s="6"/>
    </row>
    <row r="133" spans="1:33" x14ac:dyDescent="0.3">
      <c r="A133" s="6"/>
      <c r="B133" s="72">
        <v>102</v>
      </c>
      <c r="C133" s="73">
        <v>0.79987041076383703</v>
      </c>
      <c r="D133" s="73">
        <v>0.31445069174420098</v>
      </c>
      <c r="E133" s="73">
        <v>0.83738236234506902</v>
      </c>
      <c r="F133" s="73">
        <v>0.49414164651742298</v>
      </c>
      <c r="G133" s="73">
        <v>0.115856724335268</v>
      </c>
      <c r="H133" s="15">
        <f t="shared" si="11"/>
        <v>0.84115844204381429</v>
      </c>
      <c r="I133" s="15">
        <f t="shared" si="12"/>
        <v>-0.48327373943626856</v>
      </c>
      <c r="J133" s="15">
        <f t="shared" si="13"/>
        <v>0.98375645313607551</v>
      </c>
      <c r="K133" s="15">
        <f t="shared" si="14"/>
        <v>-1.4685242292740314E-2</v>
      </c>
      <c r="L133" s="15">
        <f t="shared" si="15"/>
        <v>-1.1959567208272655</v>
      </c>
      <c r="M133" s="18">
        <f t="shared" si="16"/>
        <v>1.6823168840876285E-2</v>
      </c>
      <c r="N133" s="18">
        <f t="shared" si="17"/>
        <v>1.6415085505576687E-5</v>
      </c>
      <c r="O133" s="18">
        <f t="shared" si="18"/>
        <v>1.1805077437632906E-2</v>
      </c>
      <c r="P133" s="18">
        <f t="shared" si="19"/>
        <v>-8.8111453756441882E-5</v>
      </c>
      <c r="Q133" s="18">
        <f t="shared" si="20"/>
        <v>-4.7838268833090619E-3</v>
      </c>
      <c r="R133" s="28">
        <f>((Scenario_DT!I$11*(IF(Scenario_DT!I$18=1,1,1+$M133/Scenario_DT!$C$19)*(1+$N133)^MAX(0,Scenario_DT!I$18-3))*(Scenario_DT!I$12+$O133)-Scenario_DT!I$13)*(1-Scenario_DT!I$14)+Scenario_DT!I$13-Scenario_DT!I$15)*Scenario_DT!I$16</f>
        <v>927.62842630091939</v>
      </c>
      <c r="S133" s="28">
        <f>((Scenario_DT!J$11*(IF(Scenario_DT!J$18=1,1,1+$M133/Scenario_DT!$C$19)*(1+$N133)^MAX(0,Scenario_DT!J$18-3))*(Scenario_DT!J$12+$O133)-Scenario_DT!J$13)*(1-Scenario_DT!J$14)+Scenario_DT!J$13-Scenario_DT!J$15)*Scenario_DT!J$16</f>
        <v>1909.5644458447741</v>
      </c>
      <c r="T133" s="28">
        <f>((Scenario_DT!K$11*(IF(Scenario_DT!K$18=1,1,1+$M133/Scenario_DT!$C$19)*(1+$N133)^MAX(0,Scenario_DT!K$18-3))*(Scenario_DT!K$12+$O133)-Scenario_DT!K$13)*(1-Scenario_DT!K$14)+Scenario_DT!K$13-Scenario_DT!K$15)*Scenario_DT!K$16</f>
        <v>2177.542194542867</v>
      </c>
      <c r="U133" s="28">
        <f>((Scenario_DT!L$11*(IF(Scenario_DT!L$18=1,1,1+$M133/Scenario_DT!$C$19)*(1+$N133)^MAX(0,Scenario_DT!L$18-3))*(Scenario_DT!L$12+$O133)-Scenario_DT!L$13)*(1-Scenario_DT!L$14)+Scenario_DT!L$13-Scenario_DT!L$15)*Scenario_DT!L$16</f>
        <v>2583.6210250114377</v>
      </c>
      <c r="V133" s="28">
        <f>((Scenario_DT!M$11*(IF(Scenario_DT!M$18=1,1,1+$M133/Scenario_DT!$C$19)*(1+$N133)^MAX(0,Scenario_DT!M$18-3))*(Scenario_DT!M$12+$O133)-Scenario_DT!M$13)*(1-Scenario_DT!M$14)+Scenario_DT!M$13-Scenario_DT!M$15)*Scenario_DT!M$16</f>
        <v>2712.1254682029539</v>
      </c>
      <c r="W133" s="28">
        <f>((Scenario_DT!N$11*(IF(Scenario_DT!N$18=1,1,1+$M133/Scenario_DT!$C$19)*(1+$N133)^MAX(0,Scenario_DT!N$18-3))*(Scenario_DT!N$12+$O133)-Scenario_DT!N$13)*(1-Scenario_DT!N$14)+Scenario_DT!N$13-Scenario_DT!N$15)*Scenario_DT!N$16</f>
        <v>2847.0143193351028</v>
      </c>
      <c r="X133" s="28">
        <f>((Scenario_DT!O$11*(IF(Scenario_DT!O$18=1,1,1+$M133/Scenario_DT!$C$19)*(1+$N133)^MAX(0,Scenario_DT!O$18-3))*(Scenario_DT!O$12+$O133)-Scenario_DT!O$13)*(1-Scenario_DT!O$14)+Scenario_DT!O$13-Scenario_DT!O$15)*Scenario_DT!O$16</f>
        <v>2988.6071174956305</v>
      </c>
      <c r="Y133" s="28">
        <f>((Scenario_DT!P$11*(IF(Scenario_DT!P$18=1,1,1+$M133/Scenario_DT!$C$19)*(1+$N133)^MAX(0,Scenario_DT!P$18-3))*(Scenario_DT!P$12+$O133)-Scenario_DT!P$13)*(1-Scenario_DT!P$14)+Scenario_DT!P$13-Scenario_DT!P$15)*Scenario_DT!P$16</f>
        <v>3137.2394150711575</v>
      </c>
      <c r="Z133" s="28">
        <f>((Scenario_DT!Q$11*(IF(Scenario_DT!Q$18=1,1,1+$M133/Scenario_DT!$C$19)*(1+$N133)^MAX(0,Scenario_DT!Q$18-3))*(Scenario_DT!Q$12+$O133)-Scenario_DT!Q$13)*(1-Scenario_DT!Q$14)+Scenario_DT!Q$13-Scenario_DT!Q$15)*Scenario_DT!Q$16</f>
        <v>3293.2635802901946</v>
      </c>
      <c r="AA133" s="28">
        <f>((Scenario_DT!R$11*(IF(Scenario_DT!R$18=1,1,1+$M133/Scenario_DT!$C$19)*(1+$N133)^MAX(0,Scenario_DT!R$18-3))*(Scenario_DT!R$12+$O133)-Scenario_DT!R$13)*(1-Scenario_DT!R$14)+Scenario_DT!R$13-Scenario_DT!R$15)*Scenario_DT!R$16</f>
        <v>3457.0496399813333</v>
      </c>
      <c r="AB133" s="17">
        <f>(Scenario_DT!$R$11*(1+$M133/Scenario_DT!$C$19)*(1+$N133)^7*(Scenario_DT!$R$12+$O133)*(1+MIN(DCF_FCFF!$C$26+$Q133,(DCF_FCFF!$C$25+$P133)-0.02))*(1-DCF_FCFF!$C$27)*(1-DCF_FCFF!$C$28)/((DCF_FCFF!$C$25+$P133)-MIN(DCF_FCFF!$C$26+$Q133,(DCF_FCFF!$C$25+$P133)-0.02)))*(1+(DCF_FCFF!$C$25+$P133))^(-(Inputs!$C$9+9))</f>
        <v>26565.200565369378</v>
      </c>
      <c r="AC133" s="17">
        <f>SUMPRODUCT(R133:AA133*(1+(DCF_FCFF!$C$25+$P133))^(-Scenario_DT!$I$17:$R$17))+AB133</f>
        <v>43585.967173595694</v>
      </c>
      <c r="AD133" s="68">
        <f>((AC133-DCF_FCFF!$C$48)*(1-DCF_FCFF!$C$50)+DCF_FCFF!$C$57+DCF_FCFF!$C$58)/DCF_FCFF!$C$60</f>
        <v>321.92717976026211</v>
      </c>
      <c r="AE133" s="6"/>
      <c r="AF133" s="6"/>
      <c r="AG133" s="6"/>
    </row>
    <row r="134" spans="1:33" x14ac:dyDescent="0.3">
      <c r="A134" s="6"/>
      <c r="B134" s="72">
        <v>103</v>
      </c>
      <c r="C134" s="73">
        <v>7.2059147072943697E-2</v>
      </c>
      <c r="D134" s="73">
        <v>0.84199321103946301</v>
      </c>
      <c r="E134" s="73">
        <v>5.5567916906877901E-2</v>
      </c>
      <c r="F134" s="73">
        <v>0.28061143613365602</v>
      </c>
      <c r="G134" s="73">
        <v>0.33413004050154599</v>
      </c>
      <c r="H134" s="15">
        <f t="shared" si="11"/>
        <v>-1.4606253185548144</v>
      </c>
      <c r="I134" s="15">
        <f t="shared" si="12"/>
        <v>1.0026835321855476</v>
      </c>
      <c r="J134" s="15">
        <f t="shared" si="13"/>
        <v>-1.5931085847704989</v>
      </c>
      <c r="K134" s="15">
        <f t="shared" si="14"/>
        <v>-0.58102608640224807</v>
      </c>
      <c r="L134" s="15">
        <f t="shared" si="15"/>
        <v>-0.42853716571300404</v>
      </c>
      <c r="M134" s="18">
        <f t="shared" si="16"/>
        <v>-2.9212506371096288E-2</v>
      </c>
      <c r="N134" s="18">
        <f t="shared" si="17"/>
        <v>1.1042940124127104E-3</v>
      </c>
      <c r="O134" s="18">
        <f t="shared" si="18"/>
        <v>-1.9117303017245988E-2</v>
      </c>
      <c r="P134" s="18">
        <f t="shared" si="19"/>
        <v>-3.4861565184134886E-3</v>
      </c>
      <c r="Q134" s="18">
        <f t="shared" si="20"/>
        <v>-1.7141486628520163E-3</v>
      </c>
      <c r="R134" s="28">
        <f>((Scenario_DT!I$11*(IF(Scenario_DT!I$18=1,1,1+$M134/Scenario_DT!$C$19)*(1+$N134)^MAX(0,Scenario_DT!I$18-3))*(Scenario_DT!I$12+$O134)-Scenario_DT!I$13)*(1-Scenario_DT!I$14)+Scenario_DT!I$13-Scenario_DT!I$15)*Scenario_DT!I$16</f>
        <v>884.03119761615039</v>
      </c>
      <c r="S134" s="28">
        <f>((Scenario_DT!J$11*(IF(Scenario_DT!J$18=1,1,1+$M134/Scenario_DT!$C$19)*(1+$N134)^MAX(0,Scenario_DT!J$18-3))*(Scenario_DT!J$12+$O134)-Scenario_DT!J$13)*(1-Scenario_DT!J$14)+Scenario_DT!J$13-Scenario_DT!J$15)*Scenario_DT!J$16</f>
        <v>1704.3416499061632</v>
      </c>
      <c r="T134" s="28">
        <f>((Scenario_DT!K$11*(IF(Scenario_DT!K$18=1,1,1+$M134/Scenario_DT!$C$19)*(1+$N134)^MAX(0,Scenario_DT!K$18-3))*(Scenario_DT!K$12+$O134)-Scenario_DT!K$13)*(1-Scenario_DT!K$14)+Scenario_DT!K$13-Scenario_DT!K$15)*Scenario_DT!K$16</f>
        <v>1963.2988436068849</v>
      </c>
      <c r="U134" s="28">
        <f>((Scenario_DT!L$11*(IF(Scenario_DT!L$18=1,1,1+$M134/Scenario_DT!$C$19)*(1+$N134)^MAX(0,Scenario_DT!L$18-3))*(Scenario_DT!L$12+$O134)-Scenario_DT!L$13)*(1-Scenario_DT!L$14)+Scenario_DT!L$13-Scenario_DT!L$15)*Scenario_DT!L$16</f>
        <v>2358.720131719052</v>
      </c>
      <c r="V134" s="28">
        <f>((Scenario_DT!M$11*(IF(Scenario_DT!M$18=1,1,1+$M134/Scenario_DT!$C$19)*(1+$N134)^MAX(0,Scenario_DT!M$18-3))*(Scenario_DT!M$12+$O134)-Scenario_DT!M$13)*(1-Scenario_DT!M$14)+Scenario_DT!M$13-Scenario_DT!M$15)*Scenario_DT!M$16</f>
        <v>2478.6892316292156</v>
      </c>
      <c r="W134" s="28">
        <f>((Scenario_DT!N$11*(IF(Scenario_DT!N$18=1,1,1+$M134/Scenario_DT!$C$19)*(1+$N134)^MAX(0,Scenario_DT!N$18-3))*(Scenario_DT!N$12+$O134)-Scenario_DT!N$13)*(1-Scenario_DT!N$14)+Scenario_DT!N$13-Scenario_DT!N$15)*Scenario_DT!N$16</f>
        <v>2604.75465050612</v>
      </c>
      <c r="X134" s="28">
        <f>((Scenario_DT!O$11*(IF(Scenario_DT!O$18=1,1,1+$M134/Scenario_DT!$C$19)*(1+$N134)^MAX(0,Scenario_DT!O$18-3))*(Scenario_DT!O$12+$O134)-Scenario_DT!O$13)*(1-Scenario_DT!O$14)+Scenario_DT!O$13-Scenario_DT!O$15)*Scenario_DT!O$16</f>
        <v>2737.228620257707</v>
      </c>
      <c r="Y134" s="28">
        <f>((Scenario_DT!P$11*(IF(Scenario_DT!P$18=1,1,1+$M134/Scenario_DT!$C$19)*(1+$N134)^MAX(0,Scenario_DT!P$18-3))*(Scenario_DT!P$12+$O134)-Scenario_DT!P$13)*(1-Scenario_DT!P$14)+Scenario_DT!P$13-Scenario_DT!P$15)*Scenario_DT!P$16</f>
        <v>2876.4393839526824</v>
      </c>
      <c r="Z134" s="28">
        <f>((Scenario_DT!Q$11*(IF(Scenario_DT!Q$18=1,1,1+$M134/Scenario_DT!$C$19)*(1+$N134)^MAX(0,Scenario_DT!Q$18-3))*(Scenario_DT!Q$12+$O134)-Scenario_DT!Q$13)*(1-Scenario_DT!Q$14)+Scenario_DT!Q$13-Scenario_DT!Q$15)*Scenario_DT!Q$16</f>
        <v>3022.7320168452256</v>
      </c>
      <c r="AA134" s="28">
        <f>((Scenario_DT!R$11*(IF(Scenario_DT!R$18=1,1,1+$M134/Scenario_DT!$C$19)*(1+$N134)^MAX(0,Scenario_DT!R$18-3))*(Scenario_DT!R$12+$O134)-Scenario_DT!R$13)*(1-Scenario_DT!R$14)+Scenario_DT!R$13-Scenario_DT!R$15)*Scenario_DT!R$16</f>
        <v>3176.4692894902792</v>
      </c>
      <c r="AB134" s="17">
        <f>(Scenario_DT!$R$11*(1+$M134/Scenario_DT!$C$19)*(1+$N134)^7*(Scenario_DT!$R$12+$O134)*(1+MIN(DCF_FCFF!$C$26+$Q134,(DCF_FCFF!$C$25+$P134)-0.02))*(1-DCF_FCFF!$C$27)*(1-DCF_FCFF!$C$28)/((DCF_FCFF!$C$25+$P134)-MIN(DCF_FCFF!$C$26+$Q134,(DCF_FCFF!$C$25+$P134)-0.02)))*(1+(DCF_FCFF!$C$25+$P134))^(-(Inputs!$C$9+9))</f>
        <v>28590.516108477317</v>
      </c>
      <c r="AC134" s="17">
        <f>SUMPRODUCT(R134:AA134*(1+(DCF_FCFF!$C$25+$P134))^(-Scenario_DT!$I$17:$R$17))+AB134</f>
        <v>44370.483014558878</v>
      </c>
      <c r="AD134" s="68">
        <f>((AC134-DCF_FCFF!$C$48)*(1-DCF_FCFF!$C$50)+DCF_FCFF!$C$57+DCF_FCFF!$C$58)/DCF_FCFF!$C$60</f>
        <v>329.45756568100239</v>
      </c>
      <c r="AE134" s="6"/>
      <c r="AF134" s="6"/>
      <c r="AG134" s="6"/>
    </row>
    <row r="135" spans="1:33" x14ac:dyDescent="0.3">
      <c r="A135" s="6"/>
      <c r="B135" s="72">
        <v>104</v>
      </c>
      <c r="C135" s="73">
        <v>0.17299444519159399</v>
      </c>
      <c r="D135" s="73">
        <v>0.31389336980198901</v>
      </c>
      <c r="E135" s="73">
        <v>0.74269256672508599</v>
      </c>
      <c r="F135" s="73">
        <v>1.46828435600708E-2</v>
      </c>
      <c r="G135" s="73">
        <v>0.82717342452068598</v>
      </c>
      <c r="H135" s="15">
        <f t="shared" si="11"/>
        <v>-0.94239803991228122</v>
      </c>
      <c r="I135" s="15">
        <f t="shared" si="12"/>
        <v>-0.48484437913141937</v>
      </c>
      <c r="J135" s="15">
        <f t="shared" si="13"/>
        <v>0.6516687805363548</v>
      </c>
      <c r="K135" s="15">
        <f t="shared" si="14"/>
        <v>-2.1785422928593028</v>
      </c>
      <c r="L135" s="15">
        <f t="shared" si="15"/>
        <v>0.94305425787072894</v>
      </c>
      <c r="M135" s="18">
        <f t="shared" si="16"/>
        <v>-1.8847960798245626E-2</v>
      </c>
      <c r="N135" s="18">
        <f t="shared" si="17"/>
        <v>-7.1286925533283474E-3</v>
      </c>
      <c r="O135" s="18">
        <f t="shared" si="18"/>
        <v>7.8200253664362576E-3</v>
      </c>
      <c r="P135" s="18">
        <f t="shared" si="19"/>
        <v>-1.3071253757155817E-2</v>
      </c>
      <c r="Q135" s="18">
        <f t="shared" si="20"/>
        <v>3.7722170314829157E-3</v>
      </c>
      <c r="R135" s="28">
        <f>((Scenario_DT!I$11*(IF(Scenario_DT!I$18=1,1,1+$M135/Scenario_DT!$C$19)*(1+$N135)^MAX(0,Scenario_DT!I$18-3))*(Scenario_DT!I$12+$O135)-Scenario_DT!I$13)*(1-Scenario_DT!I$14)+Scenario_DT!I$13-Scenario_DT!I$15)*Scenario_DT!I$16</f>
        <v>922.00993173766335</v>
      </c>
      <c r="S135" s="28">
        <f>((Scenario_DT!J$11*(IF(Scenario_DT!J$18=1,1,1+$M135/Scenario_DT!$C$19)*(1+$N135)^MAX(0,Scenario_DT!J$18-3))*(Scenario_DT!J$12+$O135)-Scenario_DT!J$13)*(1-Scenario_DT!J$14)+Scenario_DT!J$13-Scenario_DT!J$15)*Scenario_DT!J$16</f>
        <v>1810.55975784873</v>
      </c>
      <c r="T135" s="28">
        <f>((Scenario_DT!K$11*(IF(Scenario_DT!K$18=1,1,1+$M135/Scenario_DT!$C$19)*(1+$N135)^MAX(0,Scenario_DT!K$18-3))*(Scenario_DT!K$12+$O135)-Scenario_DT!K$13)*(1-Scenario_DT!K$14)+Scenario_DT!K$13-Scenario_DT!K$15)*Scenario_DT!K$16</f>
        <v>2073.7280160877453</v>
      </c>
      <c r="U135" s="28">
        <f>((Scenario_DT!L$11*(IF(Scenario_DT!L$18=1,1,1+$M135/Scenario_DT!$C$19)*(1+$N135)^MAX(0,Scenario_DT!L$18-3))*(Scenario_DT!L$12+$O135)-Scenario_DT!L$13)*(1-Scenario_DT!L$14)+Scenario_DT!L$13-Scenario_DT!L$15)*Scenario_DT!L$16</f>
        <v>2455.598775125583</v>
      </c>
      <c r="V135" s="28">
        <f>((Scenario_DT!M$11*(IF(Scenario_DT!M$18=1,1,1+$M135/Scenario_DT!$C$19)*(1+$N135)^MAX(0,Scenario_DT!M$18-3))*(Scenario_DT!M$12+$O135)-Scenario_DT!M$13)*(1-Scenario_DT!M$14)+Scenario_DT!M$13-Scenario_DT!M$15)*Scenario_DT!M$16</f>
        <v>2559.1505043362922</v>
      </c>
      <c r="W135" s="28">
        <f>((Scenario_DT!N$11*(IF(Scenario_DT!N$18=1,1,1+$M135/Scenario_DT!$C$19)*(1+$N135)^MAX(0,Scenario_DT!N$18-3))*(Scenario_DT!N$12+$O135)-Scenario_DT!N$13)*(1-Scenario_DT!N$14)+Scenario_DT!N$13-Scenario_DT!N$15)*Scenario_DT!N$16</f>
        <v>2667.0499505419129</v>
      </c>
      <c r="X135" s="28">
        <f>((Scenario_DT!O$11*(IF(Scenario_DT!O$18=1,1,1+$M135/Scenario_DT!$C$19)*(1+$N135)^MAX(0,Scenario_DT!O$18-3))*(Scenario_DT!O$12+$O135)-Scenario_DT!O$13)*(1-Scenario_DT!O$14)+Scenario_DT!O$13-Scenario_DT!O$15)*Scenario_DT!O$16</f>
        <v>2779.4812548801997</v>
      </c>
      <c r="Y135" s="28">
        <f>((Scenario_DT!P$11*(IF(Scenario_DT!P$18=1,1,1+$M135/Scenario_DT!$C$19)*(1+$N135)^MAX(0,Scenario_DT!P$18-3))*(Scenario_DT!P$12+$O135)-Scenario_DT!P$13)*(1-Scenario_DT!P$14)+Scenario_DT!P$13-Scenario_DT!P$15)*Scenario_DT!P$16</f>
        <v>2896.6363741052414</v>
      </c>
      <c r="Z135" s="28">
        <f>((Scenario_DT!Q$11*(IF(Scenario_DT!Q$18=1,1,1+$M135/Scenario_DT!$C$19)*(1+$N135)^MAX(0,Scenario_DT!Q$18-3))*(Scenario_DT!Q$12+$O135)-Scenario_DT!Q$13)*(1-Scenario_DT!Q$14)+Scenario_DT!Q$13-Scenario_DT!Q$15)*Scenario_DT!Q$16</f>
        <v>3018.7154125021589</v>
      </c>
      <c r="AA135" s="28">
        <f>((Scenario_DT!R$11*(IF(Scenario_DT!R$18=1,1,1+$M135/Scenario_DT!$C$19)*(1+$N135)^MAX(0,Scenario_DT!R$18-3))*(Scenario_DT!R$12+$O135)-Scenario_DT!R$13)*(1-Scenario_DT!R$14)+Scenario_DT!R$13-Scenario_DT!R$15)*Scenario_DT!R$16</f>
        <v>3145.9269679009503</v>
      </c>
      <c r="AB135" s="17">
        <f>(Scenario_DT!$R$11*(1+$M135/Scenario_DT!$C$19)*(1+$N135)^7*(Scenario_DT!$R$12+$O135)*(1+MIN(DCF_FCFF!$C$26+$Q135,(DCF_FCFF!$C$25+$P135)-0.02))*(1-DCF_FCFF!$C$27)*(1-DCF_FCFF!$C$28)/((DCF_FCFF!$C$25+$P135)-MIN(DCF_FCFF!$C$26+$Q135,(DCF_FCFF!$C$25+$P135)-0.02)))*(1+(DCF_FCFF!$C$25+$P135))^(-(Inputs!$C$9+9))</f>
        <v>44864.819902141222</v>
      </c>
      <c r="AC135" s="17">
        <f>SUMPRODUCT(R135:AA135*(1+(DCF_FCFF!$C$25+$P135))^(-Scenario_DT!$I$17:$R$17))+AB135</f>
        <v>61744.135703385291</v>
      </c>
      <c r="AD135" s="68">
        <f>((AC135-DCF_FCFF!$C$48)*(1-DCF_FCFF!$C$50)+DCF_FCFF!$C$57+DCF_FCFF!$C$58)/DCF_FCFF!$C$60</f>
        <v>496.22323536989433</v>
      </c>
      <c r="AE135" s="6"/>
      <c r="AF135" s="6"/>
      <c r="AG135" s="6"/>
    </row>
    <row r="136" spans="1:33" x14ac:dyDescent="0.3">
      <c r="A136" s="6"/>
      <c r="B136" s="72">
        <v>105</v>
      </c>
      <c r="C136" s="73">
        <v>0.85654802357455795</v>
      </c>
      <c r="D136" s="73">
        <v>0.37226157319154801</v>
      </c>
      <c r="E136" s="73">
        <v>0.15361289906063499</v>
      </c>
      <c r="F136" s="73">
        <v>0.60084040794508098</v>
      </c>
      <c r="G136" s="73">
        <v>0.119672555864894</v>
      </c>
      <c r="H136" s="15">
        <f t="shared" si="11"/>
        <v>1.0649380764874157</v>
      </c>
      <c r="I136" s="15">
        <f t="shared" si="12"/>
        <v>-0.32586942899819549</v>
      </c>
      <c r="J136" s="15">
        <f t="shared" si="13"/>
        <v>-1.0210604530910572</v>
      </c>
      <c r="K136" s="15">
        <f t="shared" si="14"/>
        <v>0.25552299679708057</v>
      </c>
      <c r="L136" s="15">
        <f t="shared" si="15"/>
        <v>-1.1766252582926902</v>
      </c>
      <c r="M136" s="18">
        <f t="shared" si="16"/>
        <v>2.1298761529748314E-2</v>
      </c>
      <c r="N136" s="18">
        <f t="shared" si="17"/>
        <v>2.0020626753163291E-3</v>
      </c>
      <c r="O136" s="18">
        <f t="shared" si="18"/>
        <v>-1.2252725437092687E-2</v>
      </c>
      <c r="P136" s="18">
        <f t="shared" si="19"/>
        <v>1.5331379807824834E-3</v>
      </c>
      <c r="Q136" s="18">
        <f t="shared" si="20"/>
        <v>-4.7065010331707605E-3</v>
      </c>
      <c r="R136" s="28">
        <f>((Scenario_DT!I$11*(IF(Scenario_DT!I$18=1,1,1+$M136/Scenario_DT!$C$19)*(1+$N136)^MAX(0,Scenario_DT!I$18-3))*(Scenario_DT!I$12+$O136)-Scenario_DT!I$13)*(1-Scenario_DT!I$14)+Scenario_DT!I$13-Scenario_DT!I$15)*Scenario_DT!I$16</f>
        <v>893.7095132627411</v>
      </c>
      <c r="S136" s="28">
        <f>((Scenario_DT!J$11*(IF(Scenario_DT!J$18=1,1,1+$M136/Scenario_DT!$C$19)*(1+$N136)^MAX(0,Scenario_DT!J$18-3))*(Scenario_DT!J$12+$O136)-Scenario_DT!J$13)*(1-Scenario_DT!J$14)+Scenario_DT!J$13-Scenario_DT!J$15)*Scenario_DT!J$16</f>
        <v>1844.0059068684113</v>
      </c>
      <c r="T136" s="28">
        <f>((Scenario_DT!K$11*(IF(Scenario_DT!K$18=1,1,1+$M136/Scenario_DT!$C$19)*(1+$N136)^MAX(0,Scenario_DT!K$18-3))*(Scenario_DT!K$12+$O136)-Scenario_DT!K$13)*(1-Scenario_DT!K$14)+Scenario_DT!K$13-Scenario_DT!K$15)*Scenario_DT!K$16</f>
        <v>2109.7542491310192</v>
      </c>
      <c r="U136" s="28">
        <f>((Scenario_DT!L$11*(IF(Scenario_DT!L$18=1,1,1+$M136/Scenario_DT!$C$19)*(1+$N136)^MAX(0,Scenario_DT!L$18-3))*(Scenario_DT!L$12+$O136)-Scenario_DT!L$13)*(1-Scenario_DT!L$14)+Scenario_DT!L$13-Scenario_DT!L$15)*Scenario_DT!L$16</f>
        <v>2516.6648256992471</v>
      </c>
      <c r="V136" s="28">
        <f>((Scenario_DT!M$11*(IF(Scenario_DT!M$18=1,1,1+$M136/Scenario_DT!$C$19)*(1+$N136)^MAX(0,Scenario_DT!M$18-3))*(Scenario_DT!M$12+$O136)-Scenario_DT!M$13)*(1-Scenario_DT!M$14)+Scenario_DT!M$13-Scenario_DT!M$15)*Scenario_DT!M$16</f>
        <v>2647.102557738398</v>
      </c>
      <c r="W136" s="28">
        <f>((Scenario_DT!N$11*(IF(Scenario_DT!N$18=1,1,1+$M136/Scenario_DT!$C$19)*(1+$N136)^MAX(0,Scenario_DT!N$18-3))*(Scenario_DT!N$12+$O136)-Scenario_DT!N$13)*(1-Scenario_DT!N$14)+Scenario_DT!N$13-Scenario_DT!N$15)*Scenario_DT!N$16</f>
        <v>2784.2966122967559</v>
      </c>
      <c r="X136" s="28">
        <f>((Scenario_DT!O$11*(IF(Scenario_DT!O$18=1,1,1+$M136/Scenario_DT!$C$19)*(1+$N136)^MAX(0,Scenario_DT!O$18-3))*(Scenario_DT!O$12+$O136)-Scenario_DT!O$13)*(1-Scenario_DT!O$14)+Scenario_DT!O$13-Scenario_DT!O$15)*Scenario_DT!O$16</f>
        <v>2928.5994699933476</v>
      </c>
      <c r="Y136" s="28">
        <f>((Scenario_DT!P$11*(IF(Scenario_DT!P$18=1,1,1+$M136/Scenario_DT!$C$19)*(1+$N136)^MAX(0,Scenario_DT!P$18-3))*(Scenario_DT!P$12+$O136)-Scenario_DT!P$13)*(1-Scenario_DT!P$14)+Scenario_DT!P$13-Scenario_DT!P$15)*Scenario_DT!P$16</f>
        <v>3080.382019503802</v>
      </c>
      <c r="Z136" s="28">
        <f>((Scenario_DT!Q$11*(IF(Scenario_DT!Q$18=1,1,1+$M136/Scenario_DT!$C$19)*(1+$N136)^MAX(0,Scenario_DT!Q$18-3))*(Scenario_DT!Q$12+$O136)-Scenario_DT!Q$13)*(1-Scenario_DT!Q$14)+Scenario_DT!Q$13-Scenario_DT!Q$15)*Scenario_DT!Q$16</f>
        <v>3240.034518808744</v>
      </c>
      <c r="AA136" s="28">
        <f>((Scenario_DT!R$11*(IF(Scenario_DT!R$18=1,1,1+$M136/Scenario_DT!$C$19)*(1+$N136)^MAX(0,Scenario_DT!R$18-3))*(Scenario_DT!R$12+$O136)-Scenario_DT!R$13)*(1-Scenario_DT!R$14)+Scenario_DT!R$13-Scenario_DT!R$15)*Scenario_DT!R$16</f>
        <v>3407.9676066235274</v>
      </c>
      <c r="AB136" s="17">
        <f>(Scenario_DT!$R$11*(1+$M136/Scenario_DT!$C$19)*(1+$N136)^7*(Scenario_DT!$R$12+$O136)*(1+MIN(DCF_FCFF!$C$26+$Q136,(DCF_FCFF!$C$25+$P136)-0.02))*(1-DCF_FCFF!$C$27)*(1-DCF_FCFF!$C$28)/((DCF_FCFF!$C$25+$P136)-MIN(DCF_FCFF!$C$26+$Q136,(DCF_FCFF!$C$25+$P136)-0.02)))*(1+(DCF_FCFF!$C$25+$P136))^(-(Inputs!$C$9+9))</f>
        <v>25122.97250693692</v>
      </c>
      <c r="AC136" s="17">
        <f>SUMPRODUCT(R136:AA136*(1+(DCF_FCFF!$C$25+$P136))^(-Scenario_DT!$I$17:$R$17))+AB136</f>
        <v>41624.452597859541</v>
      </c>
      <c r="AD136" s="68">
        <f>((AC136-DCF_FCFF!$C$48)*(1-DCF_FCFF!$C$50)+DCF_FCFF!$C$57+DCF_FCFF!$C$58)/DCF_FCFF!$C$60</f>
        <v>303.09905549152154</v>
      </c>
      <c r="AE136" s="6"/>
      <c r="AF136" s="6"/>
      <c r="AG136" s="6"/>
    </row>
    <row r="137" spans="1:33" x14ac:dyDescent="0.3">
      <c r="A137" s="6"/>
      <c r="B137" s="72">
        <v>106</v>
      </c>
      <c r="C137" s="73">
        <v>0.36491936107825301</v>
      </c>
      <c r="D137" s="73">
        <v>0.95842918090097196</v>
      </c>
      <c r="E137" s="73">
        <v>0.99546447258363702</v>
      </c>
      <c r="F137" s="73">
        <v>0.77210489135458604</v>
      </c>
      <c r="G137" s="73">
        <v>0.31096150992076599</v>
      </c>
      <c r="H137" s="15">
        <f t="shared" si="11"/>
        <v>-0.34534007503422287</v>
      </c>
      <c r="I137" s="15">
        <f t="shared" si="12"/>
        <v>1.7327414244617079</v>
      </c>
      <c r="J137" s="15">
        <f t="shared" si="13"/>
        <v>2.6093645537186037</v>
      </c>
      <c r="K137" s="15">
        <f t="shared" si="14"/>
        <v>0.74579672720381396</v>
      </c>
      <c r="L137" s="15">
        <f t="shared" si="15"/>
        <v>-0.49312676558918472</v>
      </c>
      <c r="M137" s="18">
        <f t="shared" si="16"/>
        <v>-6.9068015006844572E-3</v>
      </c>
      <c r="N137" s="18">
        <f t="shared" si="17"/>
        <v>1.0623424434050899E-2</v>
      </c>
      <c r="O137" s="18">
        <f t="shared" si="18"/>
        <v>3.1312374644623248E-2</v>
      </c>
      <c r="P137" s="18">
        <f t="shared" si="19"/>
        <v>4.4747803632228834E-3</v>
      </c>
      <c r="Q137" s="18">
        <f t="shared" si="20"/>
        <v>-1.9725070623567388E-3</v>
      </c>
      <c r="R137" s="28">
        <f>((Scenario_DT!I$11*(IF(Scenario_DT!I$18=1,1,1+$M137/Scenario_DT!$C$19)*(1+$N137)^MAX(0,Scenario_DT!I$18-3))*(Scenario_DT!I$12+$O137)-Scenario_DT!I$13)*(1-Scenario_DT!I$14)+Scenario_DT!I$13-Scenario_DT!I$15)*Scenario_DT!I$16</f>
        <v>955.13161605682706</v>
      </c>
      <c r="S137" s="28">
        <f>((Scenario_DT!J$11*(IF(Scenario_DT!J$18=1,1,1+$M137/Scenario_DT!$C$19)*(1+$N137)^MAX(0,Scenario_DT!J$18-3))*(Scenario_DT!J$12+$O137)-Scenario_DT!J$13)*(1-Scenario_DT!J$14)+Scenario_DT!J$13-Scenario_DT!J$15)*Scenario_DT!J$16</f>
        <v>1911.9540760076598</v>
      </c>
      <c r="T137" s="28">
        <f>((Scenario_DT!K$11*(IF(Scenario_DT!K$18=1,1,1+$M137/Scenario_DT!$C$19)*(1+$N137)^MAX(0,Scenario_DT!K$18-3))*(Scenario_DT!K$12+$O137)-Scenario_DT!K$13)*(1-Scenario_DT!K$14)+Scenario_DT!K$13-Scenario_DT!K$15)*Scenario_DT!K$16</f>
        <v>2179.2117699038959</v>
      </c>
      <c r="U137" s="28">
        <f>((Scenario_DT!L$11*(IF(Scenario_DT!L$18=1,1,1+$M137/Scenario_DT!$C$19)*(1+$N137)^MAX(0,Scenario_DT!L$18-3))*(Scenario_DT!L$12+$O137)-Scenario_DT!L$13)*(1-Scenario_DT!L$14)+Scenario_DT!L$13-Scenario_DT!L$15)*Scenario_DT!L$16</f>
        <v>2612.9956056883284</v>
      </c>
      <c r="V137" s="28">
        <f>((Scenario_DT!M$11*(IF(Scenario_DT!M$18=1,1,1+$M137/Scenario_DT!$C$19)*(1+$N137)^MAX(0,Scenario_DT!M$18-3))*(Scenario_DT!M$12+$O137)-Scenario_DT!M$13)*(1-Scenario_DT!M$14)+Scenario_DT!M$13-Scenario_DT!M$15)*Scenario_DT!M$16</f>
        <v>2772.2590980710465</v>
      </c>
      <c r="W137" s="28">
        <f>((Scenario_DT!N$11*(IF(Scenario_DT!N$18=1,1,1+$M137/Scenario_DT!$C$19)*(1+$N137)^MAX(0,Scenario_DT!N$18-3))*(Scenario_DT!N$12+$O137)-Scenario_DT!N$13)*(1-Scenario_DT!N$14)+Scenario_DT!N$13-Scenario_DT!N$15)*Scenario_DT!N$16</f>
        <v>2941.236687735553</v>
      </c>
      <c r="X137" s="28">
        <f>((Scenario_DT!O$11*(IF(Scenario_DT!O$18=1,1,1+$M137/Scenario_DT!$C$19)*(1+$N137)^MAX(0,Scenario_DT!O$18-3))*(Scenario_DT!O$12+$O137)-Scenario_DT!O$13)*(1-Scenario_DT!O$14)+Scenario_DT!O$13-Scenario_DT!O$15)*Scenario_DT!O$16</f>
        <v>3120.5239961495554</v>
      </c>
      <c r="Y137" s="28">
        <f>((Scenario_DT!P$11*(IF(Scenario_DT!P$18=1,1,1+$M137/Scenario_DT!$C$19)*(1+$N137)^MAX(0,Scenario_DT!P$18-3))*(Scenario_DT!P$12+$O137)-Scenario_DT!P$13)*(1-Scenario_DT!P$14)+Scenario_DT!P$13-Scenario_DT!P$15)*Scenario_DT!P$16</f>
        <v>3310.7531658635357</v>
      </c>
      <c r="Z137" s="28">
        <f>((Scenario_DT!Q$11*(IF(Scenario_DT!Q$18=1,1,1+$M137/Scenario_DT!$C$19)*(1+$N137)^MAX(0,Scenario_DT!Q$18-3))*(Scenario_DT!Q$12+$O137)-Scenario_DT!Q$13)*(1-Scenario_DT!Q$14)+Scenario_DT!Q$13-Scenario_DT!Q$15)*Scenario_DT!Q$16</f>
        <v>3512.5950984653387</v>
      </c>
      <c r="AA137" s="28">
        <f>((Scenario_DT!R$11*(IF(Scenario_DT!R$18=1,1,1+$M137/Scenario_DT!$C$19)*(1+$N137)^MAX(0,Scenario_DT!R$18-3))*(Scenario_DT!R$12+$O137)-Scenario_DT!R$13)*(1-Scenario_DT!R$14)+Scenario_DT!R$13-Scenario_DT!R$15)*Scenario_DT!R$16</f>
        <v>3726.7618295983902</v>
      </c>
      <c r="AB137" s="17">
        <f>(Scenario_DT!$R$11*(1+$M137/Scenario_DT!$C$19)*(1+$N137)^7*(Scenario_DT!$R$12+$O137)*(1+MIN(DCF_FCFF!$C$26+$Q137,(DCF_FCFF!$C$25+$P137)-0.02))*(1-DCF_FCFF!$C$27)*(1-DCF_FCFF!$C$28)/((DCF_FCFF!$C$25+$P137)-MIN(DCF_FCFF!$C$26+$Q137,(DCF_FCFF!$C$25+$P137)-0.02)))*(1+(DCF_FCFF!$C$25+$P137))^(-(Inputs!$C$9+9))</f>
        <v>26735.720685173728</v>
      </c>
      <c r="AC137" s="17">
        <f>SUMPRODUCT(R137:AA137*(1+(DCF_FCFF!$C$25+$P137))^(-Scenario_DT!$I$17:$R$17))+AB137</f>
        <v>43983.308386704462</v>
      </c>
      <c r="AD137" s="68">
        <f>((AC137-DCF_FCFF!$C$48)*(1-DCF_FCFF!$C$50)+DCF_FCFF!$C$57+DCF_FCFF!$C$58)/DCF_FCFF!$C$60</f>
        <v>325.7411660696406</v>
      </c>
      <c r="AE137" s="6"/>
      <c r="AF137" s="6"/>
      <c r="AG137" s="6"/>
    </row>
    <row r="138" spans="1:33" x14ac:dyDescent="0.3">
      <c r="A138" s="6"/>
      <c r="B138" s="72">
        <v>107</v>
      </c>
      <c r="C138" s="73">
        <v>0.68766504916609295</v>
      </c>
      <c r="D138" s="73">
        <v>0.70540636548401303</v>
      </c>
      <c r="E138" s="73">
        <v>0.38784169516365002</v>
      </c>
      <c r="F138" s="73">
        <v>0.64088863458615897</v>
      </c>
      <c r="G138" s="73">
        <v>1.0727644975676199E-2</v>
      </c>
      <c r="H138" s="15">
        <f t="shared" si="11"/>
        <v>0.48924267283682954</v>
      </c>
      <c r="I138" s="15">
        <f t="shared" si="12"/>
        <v>0.54001415737679337</v>
      </c>
      <c r="J138" s="15">
        <f t="shared" si="13"/>
        <v>-0.28494877092251192</v>
      </c>
      <c r="K138" s="15">
        <f t="shared" si="14"/>
        <v>0.36083508820328691</v>
      </c>
      <c r="L138" s="15">
        <f t="shared" si="15"/>
        <v>-2.2998752270943532</v>
      </c>
      <c r="M138" s="18">
        <f t="shared" si="16"/>
        <v>9.7848534567365909E-3</v>
      </c>
      <c r="N138" s="18">
        <f t="shared" si="17"/>
        <v>5.6982985208797248E-3</v>
      </c>
      <c r="O138" s="18">
        <f t="shared" si="18"/>
        <v>-3.419385251070143E-3</v>
      </c>
      <c r="P138" s="18">
        <f t="shared" si="19"/>
        <v>2.1650105292197216E-3</v>
      </c>
      <c r="Q138" s="18">
        <f t="shared" si="20"/>
        <v>-9.1995009083774126E-3</v>
      </c>
      <c r="R138" s="28">
        <f>((Scenario_DT!I$11*(IF(Scenario_DT!I$18=1,1,1+$M138/Scenario_DT!$C$19)*(1+$N138)^MAX(0,Scenario_DT!I$18-3))*(Scenario_DT!I$12+$O138)-Scenario_DT!I$13)*(1-Scenario_DT!I$14)+Scenario_DT!I$13-Scenario_DT!I$15)*Scenario_DT!I$16</f>
        <v>906.16357231237748</v>
      </c>
      <c r="S138" s="28">
        <f>((Scenario_DT!J$11*(IF(Scenario_DT!J$18=1,1,1+$M138/Scenario_DT!$C$19)*(1+$N138)^MAX(0,Scenario_DT!J$18-3))*(Scenario_DT!J$12+$O138)-Scenario_DT!J$13)*(1-Scenario_DT!J$14)+Scenario_DT!J$13-Scenario_DT!J$15)*Scenario_DT!J$16</f>
        <v>1844.6187783039818</v>
      </c>
      <c r="T138" s="28">
        <f>((Scenario_DT!K$11*(IF(Scenario_DT!K$18=1,1,1+$M138/Scenario_DT!$C$19)*(1+$N138)^MAX(0,Scenario_DT!K$18-3))*(Scenario_DT!K$12+$O138)-Scenario_DT!K$13)*(1-Scenario_DT!K$14)+Scenario_DT!K$13-Scenario_DT!K$15)*Scenario_DT!K$16</f>
        <v>2109.9978898354102</v>
      </c>
      <c r="U138" s="28">
        <f>((Scenario_DT!L$11*(IF(Scenario_DT!L$18=1,1,1+$M138/Scenario_DT!$C$19)*(1+$N138)^MAX(0,Scenario_DT!L$18-3))*(Scenario_DT!L$12+$O138)-Scenario_DT!L$13)*(1-Scenario_DT!L$14)+Scenario_DT!L$13-Scenario_DT!L$15)*Scenario_DT!L$16</f>
        <v>2526.2708412049278</v>
      </c>
      <c r="V138" s="28">
        <f>((Scenario_DT!M$11*(IF(Scenario_DT!M$18=1,1,1+$M138/Scenario_DT!$C$19)*(1+$N138)^MAX(0,Scenario_DT!M$18-3))*(Scenario_DT!M$12+$O138)-Scenario_DT!M$13)*(1-Scenario_DT!M$14)+Scenario_DT!M$13-Scenario_DT!M$15)*Scenario_DT!M$16</f>
        <v>2667.0791371483456</v>
      </c>
      <c r="W138" s="28">
        <f>((Scenario_DT!N$11*(IF(Scenario_DT!N$18=1,1,1+$M138/Scenario_DT!$C$19)*(1+$N138)^MAX(0,Scenario_DT!N$18-3))*(Scenario_DT!N$12+$O138)-Scenario_DT!N$13)*(1-Scenario_DT!N$14)+Scenario_DT!N$13-Scenario_DT!N$15)*Scenario_DT!N$16</f>
        <v>2815.736642669327</v>
      </c>
      <c r="X138" s="28">
        <f>((Scenario_DT!O$11*(IF(Scenario_DT!O$18=1,1,1+$M138/Scenario_DT!$C$19)*(1+$N138)^MAX(0,Scenario_DT!O$18-3))*(Scenario_DT!O$12+$O138)-Scenario_DT!O$13)*(1-Scenario_DT!O$14)+Scenario_DT!O$13-Scenario_DT!O$15)*Scenario_DT!O$16</f>
        <v>2972.6837141542992</v>
      </c>
      <c r="Y138" s="28">
        <f>((Scenario_DT!P$11*(IF(Scenario_DT!P$18=1,1,1+$M138/Scenario_DT!$C$19)*(1+$N138)^MAX(0,Scenario_DT!P$18-3))*(Scenario_DT!P$12+$O138)-Scenario_DT!P$13)*(1-Scenario_DT!P$14)+Scenario_DT!P$13-Scenario_DT!P$15)*Scenario_DT!P$16</f>
        <v>3138.385426347962</v>
      </c>
      <c r="Z138" s="28">
        <f>((Scenario_DT!Q$11*(IF(Scenario_DT!Q$18=1,1,1+$M138/Scenario_DT!$C$19)*(1+$N138)^MAX(0,Scenario_DT!Q$18-3))*(Scenario_DT!Q$12+$O138)-Scenario_DT!Q$13)*(1-Scenario_DT!Q$14)+Scenario_DT!Q$13-Scenario_DT!Q$15)*Scenario_DT!Q$16</f>
        <v>3313.332959332894</v>
      </c>
      <c r="AA138" s="28">
        <f>((Scenario_DT!R$11*(IF(Scenario_DT!R$18=1,1,1+$M138/Scenario_DT!$C$19)*(1+$N138)^MAX(0,Scenario_DT!R$18-3))*(Scenario_DT!R$12+$O138)-Scenario_DT!R$13)*(1-Scenario_DT!R$14)+Scenario_DT!R$13-Scenario_DT!R$15)*Scenario_DT!R$16</f>
        <v>3498.045063299629</v>
      </c>
      <c r="AB138" s="17">
        <f>(Scenario_DT!$R$11*(1+$M138/Scenario_DT!$C$19)*(1+$N138)^7*(Scenario_DT!$R$12+$O138)*(1+MIN(DCF_FCFF!$C$26+$Q138,(DCF_FCFF!$C$25+$P138)-0.02))*(1-DCF_FCFF!$C$27)*(1-DCF_FCFF!$C$28)/((DCF_FCFF!$C$25+$P138)-MIN(DCF_FCFF!$C$26+$Q138,(DCF_FCFF!$C$25+$P138)-0.02)))*(1+(DCF_FCFF!$C$25+$P138))^(-(Inputs!$C$9+9))</f>
        <v>23411.033316495825</v>
      </c>
      <c r="AC138" s="17">
        <f>SUMPRODUCT(R138:AA138*(1+(DCF_FCFF!$C$25+$P138))^(-Scenario_DT!$I$17:$R$17))+AB138</f>
        <v>40057.378255816715</v>
      </c>
      <c r="AD138" s="68">
        <f>((AC138-DCF_FCFF!$C$48)*(1-DCF_FCFF!$C$50)+DCF_FCFF!$C$57+DCF_FCFF!$C$58)/DCF_FCFF!$C$60</f>
        <v>288.05707170240595</v>
      </c>
      <c r="AE138" s="6"/>
      <c r="AF138" s="6"/>
      <c r="AG138" s="6"/>
    </row>
    <row r="139" spans="1:33" x14ac:dyDescent="0.3">
      <c r="A139" s="6"/>
      <c r="B139" s="72">
        <v>108</v>
      </c>
      <c r="C139" s="73">
        <v>0.20905765860224201</v>
      </c>
      <c r="D139" s="73">
        <v>0.52508830296726094</v>
      </c>
      <c r="E139" s="73">
        <v>0.16375130425829601</v>
      </c>
      <c r="F139" s="73">
        <v>0.165906867876534</v>
      </c>
      <c r="G139" s="73">
        <v>0.83630429055023803</v>
      </c>
      <c r="H139" s="15">
        <f t="shared" si="11"/>
        <v>-0.80969530479118956</v>
      </c>
      <c r="I139" s="15">
        <f t="shared" si="12"/>
        <v>6.2928557804995885E-2</v>
      </c>
      <c r="J139" s="15">
        <f t="shared" si="13"/>
        <v>-0.9791566008819016</v>
      </c>
      <c r="K139" s="15">
        <f t="shared" si="14"/>
        <v>-0.97046706115708847</v>
      </c>
      <c r="L139" s="15">
        <f t="shared" si="15"/>
        <v>0.97938169359822169</v>
      </c>
      <c r="M139" s="18">
        <f t="shared" si="16"/>
        <v>-1.6193906095823791E-2</v>
      </c>
      <c r="N139" s="18">
        <f t="shared" si="17"/>
        <v>-2.802799381703607E-3</v>
      </c>
      <c r="O139" s="18">
        <f t="shared" si="18"/>
        <v>-1.174987921058282E-2</v>
      </c>
      <c r="P139" s="18">
        <f t="shared" si="19"/>
        <v>-5.8228023669425312E-3</v>
      </c>
      <c r="Q139" s="18">
        <f t="shared" si="20"/>
        <v>3.9175267743928868E-3</v>
      </c>
      <c r="R139" s="28">
        <f>((Scenario_DT!I$11*(IF(Scenario_DT!I$18=1,1,1+$M139/Scenario_DT!$C$19)*(1+$N139)^MAX(0,Scenario_DT!I$18-3))*(Scenario_DT!I$12+$O139)-Scenario_DT!I$13)*(1-Scenario_DT!I$14)+Scenario_DT!I$13-Scenario_DT!I$15)*Scenario_DT!I$16</f>
        <v>894.41847232759744</v>
      </c>
      <c r="S139" s="28">
        <f>((Scenario_DT!J$11*(IF(Scenario_DT!J$18=1,1,1+$M139/Scenario_DT!$C$19)*(1+$N139)^MAX(0,Scenario_DT!J$18-3))*(Scenario_DT!J$12+$O139)-Scenario_DT!J$13)*(1-Scenario_DT!J$14)+Scenario_DT!J$13-Scenario_DT!J$15)*Scenario_DT!J$16</f>
        <v>1757.2171856699833</v>
      </c>
      <c r="T139" s="28">
        <f>((Scenario_DT!K$11*(IF(Scenario_DT!K$18=1,1,1+$M139/Scenario_DT!$C$19)*(1+$N139)^MAX(0,Scenario_DT!K$18-3))*(Scenario_DT!K$12+$O139)-Scenario_DT!K$13)*(1-Scenario_DT!K$14)+Scenario_DT!K$13-Scenario_DT!K$15)*Scenario_DT!K$16</f>
        <v>2018.5378785971457</v>
      </c>
      <c r="U139" s="28">
        <f>((Scenario_DT!L$11*(IF(Scenario_DT!L$18=1,1,1+$M139/Scenario_DT!$C$19)*(1+$N139)^MAX(0,Scenario_DT!L$18-3))*(Scenario_DT!L$12+$O139)-Scenario_DT!L$13)*(1-Scenario_DT!L$14)+Scenario_DT!L$13-Scenario_DT!L$15)*Scenario_DT!L$16</f>
        <v>2407.9358483845672</v>
      </c>
      <c r="V139" s="28">
        <f>((Scenario_DT!M$11*(IF(Scenario_DT!M$18=1,1,1+$M139/Scenario_DT!$C$19)*(1+$N139)^MAX(0,Scenario_DT!M$18-3))*(Scenario_DT!M$12+$O139)-Scenario_DT!M$13)*(1-Scenario_DT!M$14)+Scenario_DT!M$13-Scenario_DT!M$15)*Scenario_DT!M$16</f>
        <v>2520.4751401049798</v>
      </c>
      <c r="W139" s="28">
        <f>((Scenario_DT!N$11*(IF(Scenario_DT!N$18=1,1,1+$M139/Scenario_DT!$C$19)*(1+$N139)^MAX(0,Scenario_DT!N$18-3))*(Scenario_DT!N$12+$O139)-Scenario_DT!N$13)*(1-Scenario_DT!N$14)+Scenario_DT!N$13-Scenario_DT!N$15)*Scenario_DT!N$16</f>
        <v>2638.2625378118314</v>
      </c>
      <c r="X139" s="28">
        <f>((Scenario_DT!O$11*(IF(Scenario_DT!O$18=1,1,1+$M139/Scenario_DT!$C$19)*(1+$N139)^MAX(0,Scenario_DT!O$18-3))*(Scenario_DT!O$12+$O139)-Scenario_DT!O$13)*(1-Scenario_DT!O$14)+Scenario_DT!O$13-Scenario_DT!O$15)*Scenario_DT!O$16</f>
        <v>2761.5448514839377</v>
      </c>
      <c r="Y139" s="28">
        <f>((Scenario_DT!P$11*(IF(Scenario_DT!P$18=1,1,1+$M139/Scenario_DT!$C$19)*(1+$N139)^MAX(0,Scenario_DT!P$18-3))*(Scenario_DT!P$12+$O139)-Scenario_DT!P$13)*(1-Scenario_DT!P$14)+Scenario_DT!P$13-Scenario_DT!P$15)*Scenario_DT!P$16</f>
        <v>2890.5805187450273</v>
      </c>
      <c r="Z139" s="28">
        <f>((Scenario_DT!Q$11*(IF(Scenario_DT!Q$18=1,1,1+$M139/Scenario_DT!$C$19)*(1+$N139)^MAX(0,Scenario_DT!Q$18-3))*(Scenario_DT!Q$12+$O139)-Scenario_DT!Q$13)*(1-Scenario_DT!Q$14)+Scenario_DT!Q$13-Scenario_DT!Q$15)*Scenario_DT!Q$16</f>
        <v>3025.6401528523693</v>
      </c>
      <c r="AA139" s="28">
        <f>((Scenario_DT!R$11*(IF(Scenario_DT!R$18=1,1,1+$M139/Scenario_DT!$C$19)*(1+$N139)^MAX(0,Scenario_DT!R$18-3))*(Scenario_DT!R$12+$O139)-Scenario_DT!R$13)*(1-Scenario_DT!R$14)+Scenario_DT!R$13-Scenario_DT!R$15)*Scenario_DT!R$16</f>
        <v>3167.0071165122567</v>
      </c>
      <c r="AB139" s="17">
        <f>(Scenario_DT!$R$11*(1+$M139/Scenario_DT!$C$19)*(1+$N139)^7*(Scenario_DT!$R$12+$O139)*(1+MIN(DCF_FCFF!$C$26+$Q139,(DCF_FCFF!$C$25+$P139)-0.02))*(1-DCF_FCFF!$C$27)*(1-DCF_FCFF!$C$28)/((DCF_FCFF!$C$25+$P139)-MIN(DCF_FCFF!$C$26+$Q139,(DCF_FCFF!$C$25+$P139)-0.02)))*(1+(DCF_FCFF!$C$25+$P139))^(-(Inputs!$C$9+9))</f>
        <v>34983.738976487126</v>
      </c>
      <c r="AC139" s="17">
        <f>SUMPRODUCT(R139:AA139*(1+(DCF_FCFF!$C$25+$P139))^(-Scenario_DT!$I$17:$R$17))+AB139</f>
        <v>51139.604471382358</v>
      </c>
      <c r="AD139" s="68">
        <f>((AC139-DCF_FCFF!$C$48)*(1-DCF_FCFF!$C$50)+DCF_FCFF!$C$57+DCF_FCFF!$C$58)/DCF_FCFF!$C$60</f>
        <v>394.43279531009597</v>
      </c>
      <c r="AE139" s="6"/>
      <c r="AF139" s="6"/>
      <c r="AG139" s="6"/>
    </row>
    <row r="140" spans="1:33" x14ac:dyDescent="0.3">
      <c r="A140" s="6"/>
      <c r="B140" s="72">
        <v>109</v>
      </c>
      <c r="C140" s="73">
        <v>0.98913300268360604</v>
      </c>
      <c r="D140" s="73">
        <v>0.55596942802844795</v>
      </c>
      <c r="E140" s="73">
        <v>0.83906973088171299</v>
      </c>
      <c r="F140" s="73">
        <v>0.990321664326273</v>
      </c>
      <c r="G140" s="73">
        <v>0.141595888568775</v>
      </c>
      <c r="H140" s="15">
        <f t="shared" si="11"/>
        <v>2.2949848134429507</v>
      </c>
      <c r="I140" s="15">
        <f t="shared" si="12"/>
        <v>0.14075797448132493</v>
      </c>
      <c r="J140" s="15">
        <f t="shared" si="13"/>
        <v>0.99064176108375845</v>
      </c>
      <c r="K140" s="15">
        <f t="shared" si="14"/>
        <v>2.338589835857293</v>
      </c>
      <c r="L140" s="15">
        <f t="shared" si="15"/>
        <v>-1.073176846205727</v>
      </c>
      <c r="M140" s="18">
        <f t="shared" si="16"/>
        <v>4.5899696268859015E-2</v>
      </c>
      <c r="N140" s="18">
        <f t="shared" si="17"/>
        <v>1.0155139107260356E-2</v>
      </c>
      <c r="O140" s="18">
        <f t="shared" si="18"/>
        <v>1.1887701133005102E-2</v>
      </c>
      <c r="P140" s="18">
        <f t="shared" si="19"/>
        <v>1.4031539015143759E-2</v>
      </c>
      <c r="Q140" s="18">
        <f t="shared" si="20"/>
        <v>-4.2927073848229077E-3</v>
      </c>
      <c r="R140" s="28">
        <f>((Scenario_DT!I$11*(IF(Scenario_DT!I$18=1,1,1+$M140/Scenario_DT!$C$19)*(1+$N140)^MAX(0,Scenario_DT!I$18-3))*(Scenario_DT!I$12+$O140)-Scenario_DT!I$13)*(1-Scenario_DT!I$14)+Scenario_DT!I$13-Scenario_DT!I$15)*Scenario_DT!I$16</f>
        <v>927.74491681972586</v>
      </c>
      <c r="S140" s="28">
        <f>((Scenario_DT!J$11*(IF(Scenario_DT!J$18=1,1,1+$M140/Scenario_DT!$C$19)*(1+$N140)^MAX(0,Scenario_DT!J$18-3))*(Scenario_DT!J$12+$O140)-Scenario_DT!J$13)*(1-Scenario_DT!J$14)+Scenario_DT!J$13-Scenario_DT!J$15)*Scenario_DT!J$16</f>
        <v>1980.6425667086669</v>
      </c>
      <c r="T140" s="28">
        <f>((Scenario_DT!K$11*(IF(Scenario_DT!K$18=1,1,1+$M140/Scenario_DT!$C$19)*(1+$N140)^MAX(0,Scenario_DT!K$18-3))*(Scenario_DT!K$12+$O140)-Scenario_DT!K$13)*(1-Scenario_DT!K$14)+Scenario_DT!K$13-Scenario_DT!K$15)*Scenario_DT!K$16</f>
        <v>2252.1910712980734</v>
      </c>
      <c r="U140" s="28">
        <f>((Scenario_DT!L$11*(IF(Scenario_DT!L$18=1,1,1+$M140/Scenario_DT!$C$19)*(1+$N140)^MAX(0,Scenario_DT!L$18-3))*(Scenario_DT!L$12+$O140)-Scenario_DT!L$13)*(1-Scenario_DT!L$14)+Scenario_DT!L$13-Scenario_DT!L$15)*Scenario_DT!L$16</f>
        <v>2690.0516659713981</v>
      </c>
      <c r="V140" s="28">
        <f>((Scenario_DT!M$11*(IF(Scenario_DT!M$18=1,1,1+$M140/Scenario_DT!$C$19)*(1+$N140)^MAX(0,Scenario_DT!M$18-3))*(Scenario_DT!M$12+$O140)-Scenario_DT!M$13)*(1-Scenario_DT!M$14)+Scenario_DT!M$13-Scenario_DT!M$15)*Scenario_DT!M$16</f>
        <v>2852.6964958825624</v>
      </c>
      <c r="W140" s="28">
        <f>((Scenario_DT!N$11*(IF(Scenario_DT!N$18=1,1,1+$M140/Scenario_DT!$C$19)*(1+$N140)^MAX(0,Scenario_DT!N$18-3))*(Scenario_DT!N$12+$O140)-Scenario_DT!N$13)*(1-Scenario_DT!N$14)+Scenario_DT!N$13-Scenario_DT!N$15)*Scenario_DT!N$16</f>
        <v>3025.1814654128498</v>
      </c>
      <c r="X140" s="28">
        <f>((Scenario_DT!O$11*(IF(Scenario_DT!O$18=1,1,1+$M140/Scenario_DT!$C$19)*(1+$N140)^MAX(0,Scenario_DT!O$18-3))*(Scenario_DT!O$12+$O140)-Scenario_DT!O$13)*(1-Scenario_DT!O$14)+Scenario_DT!O$13-Scenario_DT!O$15)*Scenario_DT!O$16</f>
        <v>3208.1050060550738</v>
      </c>
      <c r="Y140" s="28">
        <f>((Scenario_DT!P$11*(IF(Scenario_DT!P$18=1,1,1+$M140/Scenario_DT!$C$19)*(1+$N140)^MAX(0,Scenario_DT!P$18-3))*(Scenario_DT!P$12+$O140)-Scenario_DT!P$13)*(1-Scenario_DT!P$14)+Scenario_DT!P$13-Scenario_DT!P$15)*Scenario_DT!P$16</f>
        <v>3402.1019451013003</v>
      </c>
      <c r="Z140" s="28">
        <f>((Scenario_DT!Q$11*(IF(Scenario_DT!Q$18=1,1,1+$M140/Scenario_DT!$C$19)*(1+$N140)^MAX(0,Scenario_DT!Q$18-3))*(Scenario_DT!Q$12+$O140)-Scenario_DT!Q$13)*(1-Scenario_DT!Q$14)+Scenario_DT!Q$13-Scenario_DT!Q$15)*Scenario_DT!Q$16</f>
        <v>3607.8457179110187</v>
      </c>
      <c r="AA140" s="28">
        <f>((Scenario_DT!R$11*(IF(Scenario_DT!R$18=1,1,1+$M140/Scenario_DT!$C$19)*(1+$N140)^MAX(0,Scenario_DT!R$18-3))*(Scenario_DT!R$12+$O140)-Scenario_DT!R$13)*(1-Scenario_DT!R$14)+Scenario_DT!R$13-Scenario_DT!R$15)*Scenario_DT!R$16</f>
        <v>3826.0507145787151</v>
      </c>
      <c r="AB140" s="17">
        <f>(Scenario_DT!$R$11*(1+$M140/Scenario_DT!$C$19)*(1+$N140)^7*(Scenario_DT!$R$12+$O140)*(1+MIN(DCF_FCFF!$C$26+$Q140,(DCF_FCFF!$C$25+$P140)-0.02))*(1-DCF_FCFF!$C$27)*(1-DCF_FCFF!$C$28)/((DCF_FCFF!$C$25+$P140)-MIN(DCF_FCFF!$C$26+$Q140,(DCF_FCFF!$C$25+$P140)-0.02)))*(1+(DCF_FCFF!$C$25+$P140))^(-(Inputs!$C$9+9))</f>
        <v>20859.463395159237</v>
      </c>
      <c r="AC140" s="17">
        <f>SUMPRODUCT(R140:AA140*(1+(DCF_FCFF!$C$25+$P140))^(-Scenario_DT!$I$17:$R$17))+AB140</f>
        <v>37866.700452254008</v>
      </c>
      <c r="AD140" s="68">
        <f>((AC140-DCF_FCFF!$C$48)*(1-DCF_FCFF!$C$50)+DCF_FCFF!$C$57+DCF_FCFF!$C$58)/DCF_FCFF!$C$60</f>
        <v>267.02926266725234</v>
      </c>
      <c r="AE140" s="6"/>
      <c r="AF140" s="6"/>
      <c r="AG140" s="6"/>
    </row>
    <row r="141" spans="1:33" x14ac:dyDescent="0.3">
      <c r="A141" s="6"/>
      <c r="B141" s="72">
        <v>110</v>
      </c>
      <c r="C141" s="73">
        <v>0.44824561325435103</v>
      </c>
      <c r="D141" s="73">
        <v>0.39257271584191999</v>
      </c>
      <c r="E141" s="73">
        <v>8.0049283646184993E-2</v>
      </c>
      <c r="F141" s="73">
        <v>0.75533017279474501</v>
      </c>
      <c r="G141" s="73">
        <v>0.43377902732259299</v>
      </c>
      <c r="H141" s="15">
        <f t="shared" si="11"/>
        <v>-0.13009504982101625</v>
      </c>
      <c r="I141" s="15">
        <f t="shared" si="12"/>
        <v>-0.2726198759600722</v>
      </c>
      <c r="J141" s="15">
        <f t="shared" si="13"/>
        <v>-1.404740132156745</v>
      </c>
      <c r="K141" s="15">
        <f t="shared" si="14"/>
        <v>0.69135949107185368</v>
      </c>
      <c r="L141" s="15">
        <f t="shared" si="15"/>
        <v>-0.16676106577586955</v>
      </c>
      <c r="M141" s="18">
        <f t="shared" si="16"/>
        <v>-2.601900996420325E-3</v>
      </c>
      <c r="N141" s="18">
        <f t="shared" si="17"/>
        <v>-2.4091461045479459E-3</v>
      </c>
      <c r="O141" s="18">
        <f t="shared" si="18"/>
        <v>-1.6856881585880942E-2</v>
      </c>
      <c r="P141" s="18">
        <f t="shared" si="19"/>
        <v>4.1481569464311219E-3</v>
      </c>
      <c r="Q141" s="18">
        <f t="shared" si="20"/>
        <v>-6.6704426310347823E-4</v>
      </c>
      <c r="R141" s="28">
        <f>((Scenario_DT!I$11*(IF(Scenario_DT!I$18=1,1,1+$M141/Scenario_DT!$C$19)*(1+$N141)^MAX(0,Scenario_DT!I$18-3))*(Scenario_DT!I$12+$O141)-Scenario_DT!I$13)*(1-Scenario_DT!I$14)+Scenario_DT!I$13-Scenario_DT!I$15)*Scenario_DT!I$16</f>
        <v>887.2181485758598</v>
      </c>
      <c r="S141" s="28">
        <f>((Scenario_DT!J$11*(IF(Scenario_DT!J$18=1,1,1+$M141/Scenario_DT!$C$19)*(1+$N141)^MAX(0,Scenario_DT!J$18-3))*(Scenario_DT!J$12+$O141)-Scenario_DT!J$13)*(1-Scenario_DT!J$14)+Scenario_DT!J$13-Scenario_DT!J$15)*Scenario_DT!J$16</f>
        <v>1773.4322975185214</v>
      </c>
      <c r="T141" s="28">
        <f>((Scenario_DT!K$11*(IF(Scenario_DT!K$18=1,1,1+$M141/Scenario_DT!$C$19)*(1+$N141)^MAX(0,Scenario_DT!K$18-3))*(Scenario_DT!K$12+$O141)-Scenario_DT!K$13)*(1-Scenario_DT!K$14)+Scenario_DT!K$13-Scenario_DT!K$15)*Scenario_DT!K$16</f>
        <v>2035.8042008899979</v>
      </c>
      <c r="U141" s="28">
        <f>((Scenario_DT!L$11*(IF(Scenario_DT!L$18=1,1,1+$M141/Scenario_DT!$C$19)*(1+$N141)^MAX(0,Scenario_DT!L$18-3))*(Scenario_DT!L$12+$O141)-Scenario_DT!L$13)*(1-Scenario_DT!L$14)+Scenario_DT!L$13-Scenario_DT!L$15)*Scenario_DT!L$16</f>
        <v>2427.181883476836</v>
      </c>
      <c r="V141" s="28">
        <f>((Scenario_DT!M$11*(IF(Scenario_DT!M$18=1,1,1+$M141/Scenario_DT!$C$19)*(1+$N141)^MAX(0,Scenario_DT!M$18-3))*(Scenario_DT!M$12+$O141)-Scenario_DT!M$13)*(1-Scenario_DT!M$14)+Scenario_DT!M$13-Scenario_DT!M$15)*Scenario_DT!M$16</f>
        <v>2541.6370535398146</v>
      </c>
      <c r="W141" s="28">
        <f>((Scenario_DT!N$11*(IF(Scenario_DT!N$18=1,1,1+$M141/Scenario_DT!$C$19)*(1+$N141)^MAX(0,Scenario_DT!N$18-3))*(Scenario_DT!N$12+$O141)-Scenario_DT!N$13)*(1-Scenario_DT!N$14)+Scenario_DT!N$13-Scenario_DT!N$15)*Scenario_DT!N$16</f>
        <v>2661.4784405705855</v>
      </c>
      <c r="X141" s="28">
        <f>((Scenario_DT!O$11*(IF(Scenario_DT!O$18=1,1,1+$M141/Scenario_DT!$C$19)*(1+$N141)^MAX(0,Scenario_DT!O$18-3))*(Scenario_DT!O$12+$O141)-Scenario_DT!O$13)*(1-Scenario_DT!O$14)+Scenario_DT!O$13-Scenario_DT!O$15)*Scenario_DT!O$16</f>
        <v>2786.9616301056021</v>
      </c>
      <c r="Y141" s="28">
        <f>((Scenario_DT!P$11*(IF(Scenario_DT!P$18=1,1,1+$M141/Scenario_DT!$C$19)*(1+$N141)^MAX(0,Scenario_DT!P$18-3))*(Scenario_DT!P$12+$O141)-Scenario_DT!P$13)*(1-Scenario_DT!P$14)+Scenario_DT!P$13-Scenario_DT!P$15)*Scenario_DT!P$16</f>
        <v>2918.354356342677</v>
      </c>
      <c r="Z141" s="28">
        <f>((Scenario_DT!Q$11*(IF(Scenario_DT!Q$18=1,1,1+$M141/Scenario_DT!$C$19)*(1+$N141)^MAX(0,Scenario_DT!Q$18-3))*(Scenario_DT!Q$12+$O141)-Scenario_DT!Q$13)*(1-Scenario_DT!Q$14)+Scenario_DT!Q$13-Scenario_DT!Q$15)*Scenario_DT!Q$16</f>
        <v>3055.9370797769734</v>
      </c>
      <c r="AA141" s="28">
        <f>((Scenario_DT!R$11*(IF(Scenario_DT!R$18=1,1,1+$M141/Scenario_DT!$C$19)*(1+$N141)^MAX(0,Scenario_DT!R$18-3))*(Scenario_DT!R$12+$O141)-Scenario_DT!R$13)*(1-Scenario_DT!R$14)+Scenario_DT!R$13-Scenario_DT!R$15)*Scenario_DT!R$16</f>
        <v>3200.0035923024948</v>
      </c>
      <c r="AB141" s="17">
        <f>(Scenario_DT!$R$11*(1+$M141/Scenario_DT!$C$19)*(1+$N141)^7*(Scenario_DT!$R$12+$O141)*(1+MIN(DCF_FCFF!$C$26+$Q141,(DCF_FCFF!$C$25+$P141)-0.02))*(1-DCF_FCFF!$C$27)*(1-DCF_FCFF!$C$28)/((DCF_FCFF!$C$25+$P141)-MIN(DCF_FCFF!$C$26+$Q141,(DCF_FCFF!$C$25+$P141)-0.02)))*(1+(DCF_FCFF!$C$25+$P141))^(-(Inputs!$C$9+9))</f>
        <v>23761.408302210952</v>
      </c>
      <c r="AC141" s="17">
        <f>SUMPRODUCT(R141:AA141*(1+(DCF_FCFF!$C$25+$P141))^(-Scenario_DT!$I$17:$R$17))+AB141</f>
        <v>39377.778320831836</v>
      </c>
      <c r="AD141" s="68">
        <f>((AC141-DCF_FCFF!$C$48)*(1-DCF_FCFF!$C$50)+DCF_FCFF!$C$57+DCF_FCFF!$C$58)/DCF_FCFF!$C$60</f>
        <v>281.53374927227765</v>
      </c>
      <c r="AE141" s="6"/>
      <c r="AF141" s="6"/>
      <c r="AG141" s="6"/>
    </row>
    <row r="142" spans="1:33" x14ac:dyDescent="0.3">
      <c r="A142" s="6"/>
      <c r="B142" s="72">
        <v>111</v>
      </c>
      <c r="C142" s="73">
        <v>0.469326934190401</v>
      </c>
      <c r="D142" s="73">
        <v>0.15067297381323999</v>
      </c>
      <c r="E142" s="73">
        <v>0.18092665223086801</v>
      </c>
      <c r="F142" s="73">
        <v>0.90710362215621498</v>
      </c>
      <c r="G142" s="73">
        <v>4.4649088974278897E-2</v>
      </c>
      <c r="H142" s="15">
        <f t="shared" si="11"/>
        <v>-7.6961882463077169E-2</v>
      </c>
      <c r="I142" s="15">
        <f t="shared" si="12"/>
        <v>-1.0335513613682203</v>
      </c>
      <c r="J142" s="15">
        <f t="shared" si="13"/>
        <v>-0.91183932727685979</v>
      </c>
      <c r="K142" s="15">
        <f t="shared" si="14"/>
        <v>1.3231281773134931</v>
      </c>
      <c r="L142" s="15">
        <f t="shared" si="15"/>
        <v>-1.6991114948918922</v>
      </c>
      <c r="M142" s="18">
        <f t="shared" si="16"/>
        <v>-1.5392376492615433E-3</v>
      </c>
      <c r="N142" s="18">
        <f t="shared" si="17"/>
        <v>-7.4685014103392624E-3</v>
      </c>
      <c r="O142" s="18">
        <f t="shared" si="18"/>
        <v>-1.0942071927322317E-2</v>
      </c>
      <c r="P142" s="18">
        <f t="shared" si="19"/>
        <v>7.9387690638809578E-3</v>
      </c>
      <c r="Q142" s="18">
        <f t="shared" si="20"/>
        <v>-6.7964459795675685E-3</v>
      </c>
      <c r="R142" s="28">
        <f>((Scenario_DT!I$11*(IF(Scenario_DT!I$18=1,1,1+$M142/Scenario_DT!$C$19)*(1+$N142)^MAX(0,Scenario_DT!I$18-3))*(Scenario_DT!I$12+$O142)-Scenario_DT!I$13)*(1-Scenario_DT!I$14)+Scenario_DT!I$13-Scenario_DT!I$15)*Scenario_DT!I$16</f>
        <v>895.55739366364787</v>
      </c>
      <c r="S142" s="28">
        <f>((Scenario_DT!J$11*(IF(Scenario_DT!J$18=1,1,1+$M142/Scenario_DT!$C$19)*(1+$N142)^MAX(0,Scenario_DT!J$18-3))*(Scenario_DT!J$12+$O142)-Scenario_DT!J$13)*(1-Scenario_DT!J$14)+Scenario_DT!J$13-Scenario_DT!J$15)*Scenario_DT!J$16</f>
        <v>1794.2710592872836</v>
      </c>
      <c r="T142" s="28">
        <f>((Scenario_DT!K$11*(IF(Scenario_DT!K$18=1,1,1+$M142/Scenario_DT!$C$19)*(1+$N142)^MAX(0,Scenario_DT!K$18-3))*(Scenario_DT!K$12+$O142)-Scenario_DT!K$13)*(1-Scenario_DT!K$14)+Scenario_DT!K$13-Scenario_DT!K$15)*Scenario_DT!K$16</f>
        <v>2057.4361176886491</v>
      </c>
      <c r="U142" s="28">
        <f>((Scenario_DT!L$11*(IF(Scenario_DT!L$18=1,1,1+$M142/Scenario_DT!$C$19)*(1+$N142)^MAX(0,Scenario_DT!L$18-3))*(Scenario_DT!L$12+$O142)-Scenario_DT!L$13)*(1-Scenario_DT!L$14)+Scenario_DT!L$13-Scenario_DT!L$15)*Scenario_DT!L$16</f>
        <v>2437.5834037790346</v>
      </c>
      <c r="V142" s="28">
        <f>((Scenario_DT!M$11*(IF(Scenario_DT!M$18=1,1,1+$M142/Scenario_DT!$C$19)*(1+$N142)^MAX(0,Scenario_DT!M$18-3))*(Scenario_DT!M$12+$O142)-Scenario_DT!M$13)*(1-Scenario_DT!M$14)+Scenario_DT!M$13-Scenario_DT!M$15)*Scenario_DT!M$16</f>
        <v>2539.4934627711823</v>
      </c>
      <c r="W142" s="28">
        <f>((Scenario_DT!N$11*(IF(Scenario_DT!N$18=1,1,1+$M142/Scenario_DT!$C$19)*(1+$N142)^MAX(0,Scenario_DT!N$18-3))*(Scenario_DT!N$12+$O142)-Scenario_DT!N$13)*(1-Scenario_DT!N$14)+Scenario_DT!N$13-Scenario_DT!N$15)*Scenario_DT!N$16</f>
        <v>2645.6445234670896</v>
      </c>
      <c r="X142" s="28">
        <f>((Scenario_DT!O$11*(IF(Scenario_DT!O$18=1,1,1+$M142/Scenario_DT!$C$19)*(1+$N142)^MAX(0,Scenario_DT!O$18-3))*(Scenario_DT!O$12+$O142)-Scenario_DT!O$13)*(1-Scenario_DT!O$14)+Scenario_DT!O$13-Scenario_DT!O$15)*Scenario_DT!O$16</f>
        <v>2756.2146335460184</v>
      </c>
      <c r="Y142" s="28">
        <f>((Scenario_DT!P$11*(IF(Scenario_DT!P$18=1,1,1+$M142/Scenario_DT!$C$19)*(1+$N142)^MAX(0,Scenario_DT!P$18-3))*(Scenario_DT!P$12+$O142)-Scenario_DT!P$13)*(1-Scenario_DT!P$14)+Scenario_DT!P$13-Scenario_DT!P$15)*Scenario_DT!P$16</f>
        <v>2871.389331623112</v>
      </c>
      <c r="Z142" s="28">
        <f>((Scenario_DT!Q$11*(IF(Scenario_DT!Q$18=1,1,1+$M142/Scenario_DT!$C$19)*(1+$N142)^MAX(0,Scenario_DT!Q$18-3))*(Scenario_DT!Q$12+$O142)-Scenario_DT!Q$13)*(1-Scenario_DT!Q$14)+Scenario_DT!Q$13-Scenario_DT!Q$15)*Scenario_DT!Q$16</f>
        <v>2991.3619625940264</v>
      </c>
      <c r="AA142" s="28">
        <f>((Scenario_DT!R$11*(IF(Scenario_DT!R$18=1,1,1+$M142/Scenario_DT!$C$19)*(1+$N142)^MAX(0,Scenario_DT!R$18-3))*(Scenario_DT!R$12+$O142)-Scenario_DT!R$13)*(1-Scenario_DT!R$14)+Scenario_DT!R$13-Scenario_DT!R$15)*Scenario_DT!R$16</f>
        <v>3116.3340062576058</v>
      </c>
      <c r="AB142" s="17">
        <f>(Scenario_DT!$R$11*(1+$M142/Scenario_DT!$C$19)*(1+$N142)^7*(Scenario_DT!$R$12+$O142)*(1+MIN(DCF_FCFF!$C$26+$Q142,(DCF_FCFF!$C$25+$P142)-0.02))*(1-DCF_FCFF!$C$27)*(1-DCF_FCFF!$C$28)/((DCF_FCFF!$C$25+$P142)-MIN(DCF_FCFF!$C$26+$Q142,(DCF_FCFF!$C$25+$P142)-0.02)))*(1+(DCF_FCFF!$C$25+$P142))^(-(Inputs!$C$9+9))</f>
        <v>18876.351948229676</v>
      </c>
      <c r="AC142" s="17">
        <f>SUMPRODUCT(R142:AA142*(1+(DCF_FCFF!$C$25+$P142))^(-Scenario_DT!$I$17:$R$17))+AB142</f>
        <v>34181.771926198053</v>
      </c>
      <c r="AD142" s="68">
        <f>((AC142-DCF_FCFF!$C$48)*(1-DCF_FCFF!$C$50)+DCF_FCFF!$C$57+DCF_FCFF!$C$58)/DCF_FCFF!$C$60</f>
        <v>231.65848690639913</v>
      </c>
      <c r="AE142" s="6"/>
      <c r="AF142" s="6"/>
      <c r="AG142" s="6"/>
    </row>
    <row r="143" spans="1:33" x14ac:dyDescent="0.3">
      <c r="A143" s="6"/>
      <c r="B143" s="72">
        <v>112</v>
      </c>
      <c r="C143" s="73">
        <v>0.23285228494370599</v>
      </c>
      <c r="D143" s="73">
        <v>0.29205933031452802</v>
      </c>
      <c r="E143" s="73">
        <v>0.49019754240158597</v>
      </c>
      <c r="F143" s="73">
        <v>0.58644517301479604</v>
      </c>
      <c r="G143" s="73">
        <v>0.49328997585066697</v>
      </c>
      <c r="H143" s="15">
        <f t="shared" si="11"/>
        <v>-0.72948576880787708</v>
      </c>
      <c r="I143" s="15">
        <f t="shared" si="12"/>
        <v>-0.54737859081870366</v>
      </c>
      <c r="J143" s="15">
        <f t="shared" si="13"/>
        <v>-2.4573590326590958E-2</v>
      </c>
      <c r="K143" s="15">
        <f t="shared" si="14"/>
        <v>0.21841002665836826</v>
      </c>
      <c r="L143" s="15">
        <f t="shared" si="15"/>
        <v>-1.6820329366869485E-2</v>
      </c>
      <c r="M143" s="18">
        <f t="shared" si="16"/>
        <v>-1.4589715376157542E-2</v>
      </c>
      <c r="N143" s="18">
        <f t="shared" si="17"/>
        <v>-6.7102931963253067E-3</v>
      </c>
      <c r="O143" s="18">
        <f t="shared" si="18"/>
        <v>-2.9488308391909153E-4</v>
      </c>
      <c r="P143" s="18">
        <f t="shared" si="19"/>
        <v>1.3104601599502096E-3</v>
      </c>
      <c r="Q143" s="18">
        <f t="shared" si="20"/>
        <v>-6.7281317467477947E-5</v>
      </c>
      <c r="R143" s="28">
        <f>((Scenario_DT!I$11*(IF(Scenario_DT!I$18=1,1,1+$M143/Scenario_DT!$C$19)*(1+$N143)^MAX(0,Scenario_DT!I$18-3))*(Scenario_DT!I$12+$O143)-Scenario_DT!I$13)*(1-Scenario_DT!I$14)+Scenario_DT!I$13-Scenario_DT!I$15)*Scenario_DT!I$16</f>
        <v>910.56878412024935</v>
      </c>
      <c r="S143" s="28">
        <f>((Scenario_DT!J$11*(IF(Scenario_DT!J$18=1,1,1+$M143/Scenario_DT!$C$19)*(1+$N143)^MAX(0,Scenario_DT!J$18-3))*(Scenario_DT!J$12+$O143)-Scenario_DT!J$13)*(1-Scenario_DT!J$14)+Scenario_DT!J$13-Scenario_DT!J$15)*Scenario_DT!J$16</f>
        <v>1796.0458413408674</v>
      </c>
      <c r="T143" s="28">
        <f>((Scenario_DT!K$11*(IF(Scenario_DT!K$18=1,1,1+$M143/Scenario_DT!$C$19)*(1+$N143)^MAX(0,Scenario_DT!K$18-3))*(Scenario_DT!K$12+$O143)-Scenario_DT!K$13)*(1-Scenario_DT!K$14)+Scenario_DT!K$13-Scenario_DT!K$15)*Scenario_DT!K$16</f>
        <v>2058.831632142907</v>
      </c>
      <c r="U143" s="28">
        <f>((Scenario_DT!L$11*(IF(Scenario_DT!L$18=1,1,1+$M143/Scenario_DT!$C$19)*(1+$N143)^MAX(0,Scenario_DT!L$18-3))*(Scenario_DT!L$12+$O143)-Scenario_DT!L$13)*(1-Scenario_DT!L$14)+Scenario_DT!L$13-Scenario_DT!L$15)*Scenario_DT!L$16</f>
        <v>2440.9301799822852</v>
      </c>
      <c r="V143" s="28">
        <f>((Scenario_DT!M$11*(IF(Scenario_DT!M$18=1,1,1+$M143/Scenario_DT!$C$19)*(1+$N143)^MAX(0,Scenario_DT!M$18-3))*(Scenario_DT!M$12+$O143)-Scenario_DT!M$13)*(1-Scenario_DT!M$14)+Scenario_DT!M$13-Scenario_DT!M$15)*Scenario_DT!M$16</f>
        <v>2544.9380369953515</v>
      </c>
      <c r="W143" s="28">
        <f>((Scenario_DT!N$11*(IF(Scenario_DT!N$18=1,1,1+$M143/Scenario_DT!$C$19)*(1+$N143)^MAX(0,Scenario_DT!N$18-3))*(Scenario_DT!N$12+$O143)-Scenario_DT!N$13)*(1-Scenario_DT!N$14)+Scenario_DT!N$13-Scenario_DT!N$15)*Scenario_DT!N$16</f>
        <v>2653.3593834914354</v>
      </c>
      <c r="X143" s="28">
        <f>((Scenario_DT!O$11*(IF(Scenario_DT!O$18=1,1,1+$M143/Scenario_DT!$C$19)*(1+$N143)^MAX(0,Scenario_DT!O$18-3))*(Scenario_DT!O$12+$O143)-Scenario_DT!O$13)*(1-Scenario_DT!O$14)+Scenario_DT!O$13-Scenario_DT!O$15)*Scenario_DT!O$16</f>
        <v>2766.3831491444034</v>
      </c>
      <c r="Y143" s="28">
        <f>((Scenario_DT!P$11*(IF(Scenario_DT!P$18=1,1,1+$M143/Scenario_DT!$C$19)*(1+$N143)^MAX(0,Scenario_DT!P$18-3))*(Scenario_DT!P$12+$O143)-Scenario_DT!P$13)*(1-Scenario_DT!P$14)+Scenario_DT!P$13-Scenario_DT!P$15)*Scenario_DT!P$16</f>
        <v>2884.2063684029604</v>
      </c>
      <c r="Z143" s="28">
        <f>((Scenario_DT!Q$11*(IF(Scenario_DT!Q$18=1,1,1+$M143/Scenario_DT!$C$19)*(1+$N143)^MAX(0,Scenario_DT!Q$18-3))*(Scenario_DT!Q$12+$O143)-Scenario_DT!Q$13)*(1-Scenario_DT!Q$14)+Scenario_DT!Q$13-Scenario_DT!Q$15)*Scenario_DT!Q$16</f>
        <v>3007.0345283746801</v>
      </c>
      <c r="AA143" s="28">
        <f>((Scenario_DT!R$11*(IF(Scenario_DT!R$18=1,1,1+$M143/Scenario_DT!$C$19)*(1+$N143)^MAX(0,Scenario_DT!R$18-3))*(Scenario_DT!R$12+$O143)-Scenario_DT!R$13)*(1-Scenario_DT!R$14)+Scenario_DT!R$13-Scenario_DT!R$15)*Scenario_DT!R$16</f>
        <v>3135.081931645987</v>
      </c>
      <c r="AB143" s="17">
        <f>(Scenario_DT!$R$11*(1+$M143/Scenario_DT!$C$19)*(1+$N143)^7*(Scenario_DT!$R$12+$O143)*(1+MIN(DCF_FCFF!$C$26+$Q143,(DCF_FCFF!$C$25+$P143)-0.02))*(1-DCF_FCFF!$C$27)*(1-DCF_FCFF!$C$28)/((DCF_FCFF!$C$25+$P143)-MIN(DCF_FCFF!$C$26+$Q143,(DCF_FCFF!$C$25+$P143)-0.02)))*(1+(DCF_FCFF!$C$25+$P143))^(-(Inputs!$C$9+9))</f>
        <v>25462.116702800507</v>
      </c>
      <c r="AC143" s="17">
        <f>SUMPRODUCT(R143:AA143*(1+(DCF_FCFF!$C$25+$P143))^(-Scenario_DT!$I$17:$R$17))+AB143</f>
        <v>41251.216202322961</v>
      </c>
      <c r="AD143" s="68">
        <f>((AC143-DCF_FCFF!$C$48)*(1-DCF_FCFF!$C$50)+DCF_FCFF!$C$57+DCF_FCFF!$C$58)/DCF_FCFF!$C$60</f>
        <v>299.51644574510044</v>
      </c>
      <c r="AE143" s="6"/>
      <c r="AF143" s="6"/>
      <c r="AG143" s="6"/>
    </row>
    <row r="144" spans="1:33" x14ac:dyDescent="0.3">
      <c r="A144" s="6"/>
      <c r="B144" s="72">
        <v>113</v>
      </c>
      <c r="C144" s="73">
        <v>8.4115334556881999E-2</v>
      </c>
      <c r="D144" s="73">
        <v>0.24366745405571399</v>
      </c>
      <c r="E144" s="73">
        <v>0.84358838476254105</v>
      </c>
      <c r="F144" s="73">
        <v>0.63758870047845895</v>
      </c>
      <c r="G144" s="73">
        <v>0.64914905013427404</v>
      </c>
      <c r="H144" s="15">
        <f t="shared" si="11"/>
        <v>-1.3779113212274814</v>
      </c>
      <c r="I144" s="15">
        <f t="shared" si="12"/>
        <v>-0.69455390483379809</v>
      </c>
      <c r="J144" s="15">
        <f t="shared" si="13"/>
        <v>1.0093157469219318</v>
      </c>
      <c r="K144" s="15">
        <f t="shared" si="14"/>
        <v>0.35202088593270092</v>
      </c>
      <c r="L144" s="15">
        <f t="shared" si="15"/>
        <v>0.38302409362613266</v>
      </c>
      <c r="M144" s="18">
        <f t="shared" si="16"/>
        <v>-2.755822642454963E-2</v>
      </c>
      <c r="N144" s="18">
        <f t="shared" si="17"/>
        <v>-1.0323655891979915E-2</v>
      </c>
      <c r="O144" s="18">
        <f t="shared" si="18"/>
        <v>1.2111788963063181E-2</v>
      </c>
      <c r="P144" s="18">
        <f t="shared" si="19"/>
        <v>2.1121253155962057E-3</v>
      </c>
      <c r="Q144" s="18">
        <f t="shared" si="20"/>
        <v>1.5320963745045306E-3</v>
      </c>
      <c r="R144" s="28">
        <f>((Scenario_DT!I$11*(IF(Scenario_DT!I$18=1,1,1+$M144/Scenario_DT!$C$19)*(1+$N144)^MAX(0,Scenario_DT!I$18-3))*(Scenario_DT!I$12+$O144)-Scenario_DT!I$13)*(1-Scenario_DT!I$14)+Scenario_DT!I$13-Scenario_DT!I$15)*Scenario_DT!I$16</f>
        <v>928.06085654457263</v>
      </c>
      <c r="S144" s="28">
        <f>((Scenario_DT!J$11*(IF(Scenario_DT!J$18=1,1,1+$M144/Scenario_DT!$C$19)*(1+$N144)^MAX(0,Scenario_DT!J$18-3))*(Scenario_DT!J$12+$O144)-Scenario_DT!J$13)*(1-Scenario_DT!J$14)+Scenario_DT!J$13-Scenario_DT!J$15)*Scenario_DT!J$16</f>
        <v>1802.4095884413282</v>
      </c>
      <c r="T144" s="28">
        <f>((Scenario_DT!K$11*(IF(Scenario_DT!K$18=1,1,1+$M144/Scenario_DT!$C$19)*(1+$N144)^MAX(0,Scenario_DT!K$18-3))*(Scenario_DT!K$12+$O144)-Scenario_DT!K$13)*(1-Scenario_DT!K$14)+Scenario_DT!K$13-Scenario_DT!K$15)*Scenario_DT!K$16</f>
        <v>2064.9856048078454</v>
      </c>
      <c r="U144" s="28">
        <f>((Scenario_DT!L$11*(IF(Scenario_DT!L$18=1,1,1+$M144/Scenario_DT!$C$19)*(1+$N144)^MAX(0,Scenario_DT!L$18-3))*(Scenario_DT!L$12+$O144)-Scenario_DT!L$13)*(1-Scenario_DT!L$14)+Scenario_DT!L$13-Scenario_DT!L$15)*Scenario_DT!L$16</f>
        <v>2438.4559330734223</v>
      </c>
      <c r="V144" s="28">
        <f>((Scenario_DT!M$11*(IF(Scenario_DT!M$18=1,1,1+$M144/Scenario_DT!$C$19)*(1+$N144)^MAX(0,Scenario_DT!M$18-3))*(Scenario_DT!M$12+$O144)-Scenario_DT!M$13)*(1-Scenario_DT!M$14)+Scenario_DT!M$13-Scenario_DT!M$15)*Scenario_DT!M$16</f>
        <v>2533.0419100079212</v>
      </c>
      <c r="W144" s="28">
        <f>((Scenario_DT!N$11*(IF(Scenario_DT!N$18=1,1,1+$M144/Scenario_DT!$C$19)*(1+$N144)^MAX(0,Scenario_DT!N$18-3))*(Scenario_DT!N$12+$O144)-Scenario_DT!N$13)*(1-Scenario_DT!N$14)+Scenario_DT!N$13-Scenario_DT!N$15)*Scenario_DT!N$16</f>
        <v>2631.2718667480726</v>
      </c>
      <c r="X144" s="28">
        <f>((Scenario_DT!O$11*(IF(Scenario_DT!O$18=1,1,1+$M144/Scenario_DT!$C$19)*(1+$N144)^MAX(0,Scenario_DT!O$18-3))*(Scenario_DT!O$12+$O144)-Scenario_DT!O$13)*(1-Scenario_DT!O$14)+Scenario_DT!O$13-Scenario_DT!O$15)*Scenario_DT!O$16</f>
        <v>2733.2873936575111</v>
      </c>
      <c r="Y144" s="28">
        <f>((Scenario_DT!P$11*(IF(Scenario_DT!P$18=1,1,1+$M144/Scenario_DT!$C$19)*(1+$N144)^MAX(0,Scenario_DT!P$18-3))*(Scenario_DT!P$12+$O144)-Scenario_DT!P$13)*(1-Scenario_DT!P$14)+Scenario_DT!P$13-Scenario_DT!P$15)*Scenario_DT!P$16</f>
        <v>2839.2355930247763</v>
      </c>
      <c r="Z144" s="28">
        <f>((Scenario_DT!Q$11*(IF(Scenario_DT!Q$18=1,1,1+$M144/Scenario_DT!$C$19)*(1+$N144)^MAX(0,Scenario_DT!Q$18-3))*(Scenario_DT!Q$12+$O144)-Scenario_DT!Q$13)*(1-Scenario_DT!Q$14)+Scenario_DT!Q$13-Scenario_DT!Q$15)*Scenario_DT!Q$16</f>
        <v>2949.2692936662643</v>
      </c>
      <c r="AA144" s="28">
        <f>((Scenario_DT!R$11*(IF(Scenario_DT!R$18=1,1,1+$M144/Scenario_DT!$C$19)*(1+$N144)^MAX(0,Scenario_DT!R$18-3))*(Scenario_DT!R$12+$O144)-Scenario_DT!R$13)*(1-Scenario_DT!R$14)+Scenario_DT!R$13-Scenario_DT!R$15)*Scenario_DT!R$16</f>
        <v>3063.5472738822737</v>
      </c>
      <c r="AB144" s="17">
        <f>(Scenario_DT!$R$11*(1+$M144/Scenario_DT!$C$19)*(1+$N144)^7*(Scenario_DT!$R$12+$O144)*(1+MIN(DCF_FCFF!$C$26+$Q144,(DCF_FCFF!$C$25+$P144)-0.02))*(1-DCF_FCFF!$C$27)*(1-DCF_FCFF!$C$28)/((DCF_FCFF!$C$25+$P144)-MIN(DCF_FCFF!$C$26+$Q144,(DCF_FCFF!$C$25+$P144)-0.02)))*(1+(DCF_FCFF!$C$25+$P144))^(-(Inputs!$C$9+9))</f>
        <v>25139.231655551303</v>
      </c>
      <c r="AC144" s="17">
        <f>SUMPRODUCT(R144:AA144*(1+(DCF_FCFF!$C$25+$P144))^(-Scenario_DT!$I$17:$R$17))+AB144</f>
        <v>40774.667823069081</v>
      </c>
      <c r="AD144" s="68">
        <f>((AC144-DCF_FCFF!$C$48)*(1-DCF_FCFF!$C$50)+DCF_FCFF!$C$57+DCF_FCFF!$C$58)/DCF_FCFF!$C$60</f>
        <v>294.94216818649926</v>
      </c>
      <c r="AE144" s="6"/>
      <c r="AF144" s="6"/>
      <c r="AG144" s="6"/>
    </row>
    <row r="145" spans="1:33" x14ac:dyDescent="0.3">
      <c r="A145" s="6"/>
      <c r="B145" s="72">
        <v>114</v>
      </c>
      <c r="C145" s="73">
        <v>0.67020325535135505</v>
      </c>
      <c r="D145" s="73">
        <v>0.76290301903952895</v>
      </c>
      <c r="E145" s="73">
        <v>5.8108481721447301E-2</v>
      </c>
      <c r="F145" s="73">
        <v>0.366608384932612</v>
      </c>
      <c r="G145" s="73">
        <v>0.53952743526167901</v>
      </c>
      <c r="H145" s="15">
        <f t="shared" si="11"/>
        <v>0.4404744832985607</v>
      </c>
      <c r="I145" s="15">
        <f t="shared" si="12"/>
        <v>0.7156719061485769</v>
      </c>
      <c r="J145" s="15">
        <f t="shared" si="13"/>
        <v>-1.570852287434382</v>
      </c>
      <c r="K145" s="15">
        <f t="shared" si="14"/>
        <v>-0.34084965126436073</v>
      </c>
      <c r="L145" s="15">
        <f t="shared" si="15"/>
        <v>9.9243257966898729E-2</v>
      </c>
      <c r="M145" s="18">
        <f t="shared" si="16"/>
        <v>8.8094896659712141E-3</v>
      </c>
      <c r="N145" s="18">
        <f t="shared" si="17"/>
        <v>6.7202183451902445E-3</v>
      </c>
      <c r="O145" s="18">
        <f t="shared" si="18"/>
        <v>-1.8850227449212584E-2</v>
      </c>
      <c r="P145" s="18">
        <f t="shared" si="19"/>
        <v>-2.0450979075861643E-3</v>
      </c>
      <c r="Q145" s="18">
        <f t="shared" si="20"/>
        <v>3.9697303186759494E-4</v>
      </c>
      <c r="R145" s="28">
        <f>((Scenario_DT!I$11*(IF(Scenario_DT!I$18=1,1,1+$M145/Scenario_DT!$C$19)*(1+$N145)^MAX(0,Scenario_DT!I$18-3))*(Scenario_DT!I$12+$O145)-Scenario_DT!I$13)*(1-Scenario_DT!I$14)+Scenario_DT!I$13-Scenario_DT!I$15)*Scenario_DT!I$16</f>
        <v>884.40774542535462</v>
      </c>
      <c r="S145" s="28">
        <f>((Scenario_DT!J$11*(IF(Scenario_DT!J$18=1,1,1+$M145/Scenario_DT!$C$19)*(1+$N145)^MAX(0,Scenario_DT!J$18-3))*(Scenario_DT!J$12+$O145)-Scenario_DT!J$13)*(1-Scenario_DT!J$14)+Scenario_DT!J$13-Scenario_DT!J$15)*Scenario_DT!J$16</f>
        <v>1793.8886910051742</v>
      </c>
      <c r="T145" s="28">
        <f>((Scenario_DT!K$11*(IF(Scenario_DT!K$18=1,1,1+$M145/Scenario_DT!$C$19)*(1+$N145)^MAX(0,Scenario_DT!K$18-3))*(Scenario_DT!K$12+$O145)-Scenario_DT!K$13)*(1-Scenario_DT!K$14)+Scenario_DT!K$13-Scenario_DT!K$15)*Scenario_DT!K$16</f>
        <v>2057.3917353934116</v>
      </c>
      <c r="U145" s="28">
        <f>((Scenario_DT!L$11*(IF(Scenario_DT!L$18=1,1,1+$M145/Scenario_DT!$C$19)*(1+$N145)^MAX(0,Scenario_DT!L$18-3))*(Scenario_DT!L$12+$O145)-Scenario_DT!L$13)*(1-Scenario_DT!L$14)+Scenario_DT!L$13-Scenario_DT!L$15)*Scenario_DT!L$16</f>
        <v>2472.6236360606927</v>
      </c>
      <c r="V145" s="28">
        <f>((Scenario_DT!M$11*(IF(Scenario_DT!M$18=1,1,1+$M145/Scenario_DT!$C$19)*(1+$N145)^MAX(0,Scenario_DT!M$18-3))*(Scenario_DT!M$12+$O145)-Scenario_DT!M$13)*(1-Scenario_DT!M$14)+Scenario_DT!M$13-Scenario_DT!M$15)*Scenario_DT!M$16</f>
        <v>2613.0998603475036</v>
      </c>
      <c r="W145" s="28">
        <f>((Scenario_DT!N$11*(IF(Scenario_DT!N$18=1,1,1+$M145/Scenario_DT!$C$19)*(1+$N145)^MAX(0,Scenario_DT!N$18-3))*(Scenario_DT!N$12+$O145)-Scenario_DT!N$13)*(1-Scenario_DT!N$14)+Scenario_DT!N$13-Scenario_DT!N$15)*Scenario_DT!N$16</f>
        <v>2761.5591164400103</v>
      </c>
      <c r="X145" s="28">
        <f>((Scenario_DT!O$11*(IF(Scenario_DT!O$18=1,1,1+$M145/Scenario_DT!$C$19)*(1+$N145)^MAX(0,Scenario_DT!O$18-3))*(Scenario_DT!O$12+$O145)-Scenario_DT!O$13)*(1-Scenario_DT!O$14)+Scenario_DT!O$13-Scenario_DT!O$15)*Scenario_DT!O$16</f>
        <v>2918.457948615046</v>
      </c>
      <c r="Y145" s="28">
        <f>((Scenario_DT!P$11*(IF(Scenario_DT!P$18=1,1,1+$M145/Scenario_DT!$C$19)*(1+$N145)^MAX(0,Scenario_DT!P$18-3))*(Scenario_DT!P$12+$O145)-Scenario_DT!P$13)*(1-Scenario_DT!P$14)+Scenario_DT!P$13-Scenario_DT!P$15)*Scenario_DT!P$16</f>
        <v>3084.2790219240637</v>
      </c>
      <c r="Z145" s="28">
        <f>((Scenario_DT!Q$11*(IF(Scenario_DT!Q$18=1,1,1+$M145/Scenario_DT!$C$19)*(1+$N145)^MAX(0,Scenario_DT!Q$18-3))*(Scenario_DT!Q$12+$O145)-Scenario_DT!Q$13)*(1-Scenario_DT!Q$14)+Scenario_DT!Q$13-Scenario_DT!Q$15)*Scenario_DT!Q$16</f>
        <v>3259.5326159938913</v>
      </c>
      <c r="AA145" s="28">
        <f>((Scenario_DT!R$11*(IF(Scenario_DT!R$18=1,1,1+$M145/Scenario_DT!$C$19)*(1+$N145)^MAX(0,Scenario_DT!R$18-3))*(Scenario_DT!R$12+$O145)-Scenario_DT!R$13)*(1-Scenario_DT!R$14)+Scenario_DT!R$13-Scenario_DT!R$15)*Scenario_DT!R$16</f>
        <v>3444.7582042133586</v>
      </c>
      <c r="AB145" s="17">
        <f>(Scenario_DT!$R$11*(1+$M145/Scenario_DT!$C$19)*(1+$N145)^7*(Scenario_DT!$R$12+$O145)*(1+MIN(DCF_FCFF!$C$26+$Q145,(DCF_FCFF!$C$25+$P145)-0.02))*(1-DCF_FCFF!$C$27)*(1-DCF_FCFF!$C$28)/((DCF_FCFF!$C$25+$P145)-MIN(DCF_FCFF!$C$26+$Q145,(DCF_FCFF!$C$25+$P145)-0.02)))*(1+(DCF_FCFF!$C$25+$P145))^(-(Inputs!$C$9+9))</f>
        <v>31088.281037402419</v>
      </c>
      <c r="AC145" s="17">
        <f>SUMPRODUCT(R145:AA145*(1+(DCF_FCFF!$C$25+$P145))^(-Scenario_DT!$I$17:$R$17))+AB145</f>
        <v>47692.335212476202</v>
      </c>
      <c r="AD145" s="68">
        <f>((AC145-DCF_FCFF!$C$48)*(1-DCF_FCFF!$C$50)+DCF_FCFF!$C$57+DCF_FCFF!$C$58)/DCF_FCFF!$C$60</f>
        <v>361.34325583005653</v>
      </c>
      <c r="AE145" s="6"/>
      <c r="AF145" s="6"/>
      <c r="AG145" s="6"/>
    </row>
    <row r="146" spans="1:33" x14ac:dyDescent="0.3">
      <c r="A146" s="6"/>
      <c r="B146" s="72">
        <v>115</v>
      </c>
      <c r="C146" s="73">
        <v>0.33845648329732603</v>
      </c>
      <c r="D146" s="73">
        <v>0.84447887328718696</v>
      </c>
      <c r="E146" s="73">
        <v>0.482572508587294</v>
      </c>
      <c r="F146" s="73">
        <v>0.76862758945937903</v>
      </c>
      <c r="G146" s="73">
        <v>0.85201551688116905</v>
      </c>
      <c r="H146" s="15">
        <f t="shared" si="11"/>
        <v>-0.41667934183306021</v>
      </c>
      <c r="I146" s="15">
        <f t="shared" si="12"/>
        <v>1.0130374915154665</v>
      </c>
      <c r="J146" s="15">
        <f t="shared" si="13"/>
        <v>-4.3698145886990621E-2</v>
      </c>
      <c r="K146" s="15">
        <f t="shared" si="14"/>
        <v>0.73433462323751519</v>
      </c>
      <c r="L146" s="15">
        <f t="shared" si="15"/>
        <v>1.0451168521883785</v>
      </c>
      <c r="M146" s="18">
        <f t="shared" si="16"/>
        <v>-8.3335868366612043E-3</v>
      </c>
      <c r="N146" s="18">
        <f t="shared" si="17"/>
        <v>5.3518122537754122E-3</v>
      </c>
      <c r="O146" s="18">
        <f t="shared" si="18"/>
        <v>-5.2437775064388746E-4</v>
      </c>
      <c r="P146" s="18">
        <f t="shared" si="19"/>
        <v>4.4060077394250914E-3</v>
      </c>
      <c r="Q146" s="18">
        <f t="shared" si="20"/>
        <v>4.1804674087535139E-3</v>
      </c>
      <c r="R146" s="28">
        <f>((Scenario_DT!I$11*(IF(Scenario_DT!I$18=1,1,1+$M146/Scenario_DT!$C$19)*(1+$N146)^MAX(0,Scenario_DT!I$18-3))*(Scenario_DT!I$12+$O146)-Scenario_DT!I$13)*(1-Scenario_DT!I$14)+Scenario_DT!I$13-Scenario_DT!I$15)*Scenario_DT!I$16</f>
        <v>910.24522133756739</v>
      </c>
      <c r="S146" s="28">
        <f>((Scenario_DT!J$11*(IF(Scenario_DT!J$18=1,1,1+$M146/Scenario_DT!$C$19)*(1+$N146)^MAX(0,Scenario_DT!J$18-3))*(Scenario_DT!J$12+$O146)-Scenario_DT!J$13)*(1-Scenario_DT!J$14)+Scenario_DT!J$13-Scenario_DT!J$15)*Scenario_DT!J$16</f>
        <v>1810.3241609609317</v>
      </c>
      <c r="T146" s="28">
        <f>((Scenario_DT!K$11*(IF(Scenario_DT!K$18=1,1,1+$M146/Scenario_DT!$C$19)*(1+$N146)^MAX(0,Scenario_DT!K$18-3))*(Scenario_DT!K$12+$O146)-Scenario_DT!K$13)*(1-Scenario_DT!K$14)+Scenario_DT!K$13-Scenario_DT!K$15)*Scenario_DT!K$16</f>
        <v>2073.8413693436887</v>
      </c>
      <c r="U146" s="28">
        <f>((Scenario_DT!L$11*(IF(Scenario_DT!L$18=1,1,1+$M146/Scenario_DT!$C$19)*(1+$N146)^MAX(0,Scenario_DT!L$18-3))*(Scenario_DT!L$12+$O146)-Scenario_DT!L$13)*(1-Scenario_DT!L$14)+Scenario_DT!L$13-Scenario_DT!L$15)*Scenario_DT!L$16</f>
        <v>2486.7990490500188</v>
      </c>
      <c r="V146" s="28">
        <f>((Scenario_DT!M$11*(IF(Scenario_DT!M$18=1,1,1+$M146/Scenario_DT!$C$19)*(1+$N146)^MAX(0,Scenario_DT!M$18-3))*(Scenario_DT!M$12+$O146)-Scenario_DT!M$13)*(1-Scenario_DT!M$14)+Scenario_DT!M$13-Scenario_DT!M$15)*Scenario_DT!M$16</f>
        <v>2624.4867241629063</v>
      </c>
      <c r="W146" s="28">
        <f>((Scenario_DT!N$11*(IF(Scenario_DT!N$18=1,1,1+$M146/Scenario_DT!$C$19)*(1+$N146)^MAX(0,Scenario_DT!N$18-3))*(Scenario_DT!N$12+$O146)-Scenario_DT!N$13)*(1-Scenario_DT!N$14)+Scenario_DT!N$13-Scenario_DT!N$15)*Scenario_DT!N$16</f>
        <v>2769.7982448115358</v>
      </c>
      <c r="X146" s="28">
        <f>((Scenario_DT!O$11*(IF(Scenario_DT!O$18=1,1,1+$M146/Scenario_DT!$C$19)*(1+$N146)^MAX(0,Scenario_DT!O$18-3))*(Scenario_DT!O$12+$O146)-Scenario_DT!O$13)*(1-Scenario_DT!O$14)+Scenario_DT!O$13-Scenario_DT!O$15)*Scenario_DT!O$16</f>
        <v>2923.1585330078128</v>
      </c>
      <c r="Y146" s="28">
        <f>((Scenario_DT!P$11*(IF(Scenario_DT!P$18=1,1,1+$M146/Scenario_DT!$C$19)*(1+$N146)^MAX(0,Scenario_DT!P$18-3))*(Scenario_DT!P$12+$O146)-Scenario_DT!P$13)*(1-Scenario_DT!P$14)+Scenario_DT!P$13-Scenario_DT!P$15)*Scenario_DT!P$16</f>
        <v>3085.0162083332775</v>
      </c>
      <c r="Z146" s="28">
        <f>((Scenario_DT!Q$11*(IF(Scenario_DT!Q$18=1,1,1+$M146/Scenario_DT!$C$19)*(1+$N146)^MAX(0,Scenario_DT!Q$18-3))*(Scenario_DT!Q$12+$O146)-Scenario_DT!Q$13)*(1-Scenario_DT!Q$14)+Scenario_DT!Q$13-Scenario_DT!Q$15)*Scenario_DT!Q$16</f>
        <v>3255.8449090548552</v>
      </c>
      <c r="AA146" s="28">
        <f>((Scenario_DT!R$11*(IF(Scenario_DT!R$18=1,1,1+$M146/Scenario_DT!$C$19)*(1+$N146)^MAX(0,Scenario_DT!R$18-3))*(Scenario_DT!R$12+$O146)-Scenario_DT!R$13)*(1-Scenario_DT!R$14)+Scenario_DT!R$13-Scenario_DT!R$15)*Scenario_DT!R$16</f>
        <v>3436.1446868589856</v>
      </c>
      <c r="AB146" s="17">
        <f>(Scenario_DT!$R$11*(1+$M146/Scenario_DT!$C$19)*(1+$N146)^7*(Scenario_DT!$R$12+$O146)*(1+MIN(DCF_FCFF!$C$26+$Q146,(DCF_FCFF!$C$25+$P146)-0.02))*(1-DCF_FCFF!$C$27)*(1-DCF_FCFF!$C$28)/((DCF_FCFF!$C$25+$P146)-MIN(DCF_FCFF!$C$26+$Q146,(DCF_FCFF!$C$25+$P146)-0.02)))*(1+(DCF_FCFF!$C$25+$P146))^(-(Inputs!$C$9+9))</f>
        <v>27878.862122422222</v>
      </c>
      <c r="AC146" s="17">
        <f>SUMPRODUCT(R146:AA146*(1+(DCF_FCFF!$C$25+$P146))^(-Scenario_DT!$I$17:$R$17))+AB146</f>
        <v>44108.840278274547</v>
      </c>
      <c r="AD146" s="68">
        <f>((AC146-DCF_FCFF!$C$48)*(1-DCF_FCFF!$C$50)+DCF_FCFF!$C$57+DCF_FCFF!$C$58)/DCF_FCFF!$C$60</f>
        <v>326.94611763278897</v>
      </c>
      <c r="AE146" s="6"/>
      <c r="AF146" s="6"/>
      <c r="AG146" s="6"/>
    </row>
    <row r="147" spans="1:33" x14ac:dyDescent="0.3">
      <c r="A147" s="6"/>
      <c r="B147" s="72">
        <v>116</v>
      </c>
      <c r="C147" s="73">
        <v>0.50479148290349796</v>
      </c>
      <c r="D147" s="73">
        <v>0.90955224387135003</v>
      </c>
      <c r="E147" s="73">
        <v>0.58712394053698103</v>
      </c>
      <c r="F147" s="73">
        <v>0.85027429883372196</v>
      </c>
      <c r="G147" s="73">
        <v>0.340590795591524</v>
      </c>
      <c r="H147" s="15">
        <f t="shared" si="11"/>
        <v>1.2010755292145701E-2</v>
      </c>
      <c r="I147" s="15">
        <f t="shared" si="12"/>
        <v>1.3380028361507832</v>
      </c>
      <c r="J147" s="15">
        <f t="shared" si="13"/>
        <v>0.22015284621253081</v>
      </c>
      <c r="K147" s="15">
        <f t="shared" si="14"/>
        <v>1.0376105541119172</v>
      </c>
      <c r="L147" s="15">
        <f t="shared" si="15"/>
        <v>-0.41085127674692351</v>
      </c>
      <c r="M147" s="18">
        <f t="shared" si="16"/>
        <v>2.4021510584291403E-4</v>
      </c>
      <c r="N147" s="18">
        <f t="shared" si="17"/>
        <v>9.3179985927062323E-3</v>
      </c>
      <c r="O147" s="18">
        <f t="shared" si="18"/>
        <v>2.6418341545503699E-3</v>
      </c>
      <c r="P147" s="18">
        <f t="shared" si="19"/>
        <v>6.2256633246715034E-3</v>
      </c>
      <c r="Q147" s="18">
        <f t="shared" si="20"/>
        <v>-1.643405106987694E-3</v>
      </c>
      <c r="R147" s="28">
        <f>((Scenario_DT!I$11*(IF(Scenario_DT!I$18=1,1,1+$M147/Scenario_DT!$C$19)*(1+$N147)^MAX(0,Scenario_DT!I$18-3))*(Scenario_DT!I$12+$O147)-Scenario_DT!I$13)*(1-Scenario_DT!I$14)+Scenario_DT!I$13-Scenario_DT!I$15)*Scenario_DT!I$16</f>
        <v>914.70923938742624</v>
      </c>
      <c r="S147" s="28">
        <f>((Scenario_DT!J$11*(IF(Scenario_DT!J$18=1,1,1+$M147/Scenario_DT!$C$19)*(1+$N147)^MAX(0,Scenario_DT!J$18-3))*(Scenario_DT!J$12+$O147)-Scenario_DT!J$13)*(1-Scenario_DT!J$14)+Scenario_DT!J$13-Scenario_DT!J$15)*Scenario_DT!J$16</f>
        <v>1840.6965825242382</v>
      </c>
      <c r="T147" s="28">
        <f>((Scenario_DT!K$11*(IF(Scenario_DT!K$18=1,1,1+$M147/Scenario_DT!$C$19)*(1+$N147)^MAX(0,Scenario_DT!K$18-3))*(Scenario_DT!K$12+$O147)-Scenario_DT!K$13)*(1-Scenario_DT!K$14)+Scenario_DT!K$13-Scenario_DT!K$15)*Scenario_DT!K$16</f>
        <v>2105.6086740993346</v>
      </c>
      <c r="U147" s="28">
        <f>((Scenario_DT!L$11*(IF(Scenario_DT!L$18=1,1,1+$M147/Scenario_DT!$C$19)*(1+$N147)^MAX(0,Scenario_DT!L$18-3))*(Scenario_DT!L$12+$O147)-Scenario_DT!L$13)*(1-Scenario_DT!L$14)+Scenario_DT!L$13-Scenario_DT!L$15)*Scenario_DT!L$16</f>
        <v>2530.720314164595</v>
      </c>
      <c r="V147" s="28">
        <f>((Scenario_DT!M$11*(IF(Scenario_DT!M$18=1,1,1+$M147/Scenario_DT!$C$19)*(1+$N147)^MAX(0,Scenario_DT!M$18-3))*(Scenario_DT!M$12+$O147)-Scenario_DT!M$13)*(1-Scenario_DT!M$14)+Scenario_DT!M$13-Scenario_DT!M$15)*Scenario_DT!M$16</f>
        <v>2681.4603129328134</v>
      </c>
      <c r="W147" s="28">
        <f>((Scenario_DT!N$11*(IF(Scenario_DT!N$18=1,1,1+$M147/Scenario_DT!$C$19)*(1+$N147)^MAX(0,Scenario_DT!N$18-3))*(Scenario_DT!N$12+$O147)-Scenario_DT!N$13)*(1-Scenario_DT!N$14)+Scenario_DT!N$13-Scenario_DT!N$15)*Scenario_DT!N$16</f>
        <v>2841.1843939138621</v>
      </c>
      <c r="X147" s="28">
        <f>((Scenario_DT!O$11*(IF(Scenario_DT!O$18=1,1,1+$M147/Scenario_DT!$C$19)*(1+$N147)^MAX(0,Scenario_DT!O$18-3))*(Scenario_DT!O$12+$O147)-Scenario_DT!O$13)*(1-Scenario_DT!O$14)+Scenario_DT!O$13-Scenario_DT!O$15)*Scenario_DT!O$16</f>
        <v>3010.4310540575475</v>
      </c>
      <c r="Y147" s="28">
        <f>((Scenario_DT!P$11*(IF(Scenario_DT!P$18=1,1,1+$M147/Scenario_DT!$C$19)*(1+$N147)^MAX(0,Scenario_DT!P$18-3))*(Scenario_DT!P$12+$O147)-Scenario_DT!P$13)*(1-Scenario_DT!P$14)+Scenario_DT!P$13-Scenario_DT!P$15)*Scenario_DT!P$16</f>
        <v>3189.771071822272</v>
      </c>
      <c r="Z147" s="28">
        <f>((Scenario_DT!Q$11*(IF(Scenario_DT!Q$18=1,1,1+$M147/Scenario_DT!$C$19)*(1+$N147)^MAX(0,Scenario_DT!Q$18-3))*(Scenario_DT!Q$12+$O147)-Scenario_DT!Q$13)*(1-Scenario_DT!Q$14)+Scenario_DT!Q$13-Scenario_DT!Q$15)*Scenario_DT!Q$16</f>
        <v>3379.8094412525697</v>
      </c>
      <c r="AA147" s="28">
        <f>((Scenario_DT!R$11*(IF(Scenario_DT!R$18=1,1,1+$M147/Scenario_DT!$C$19)*(1+$N147)^MAX(0,Scenario_DT!R$18-3))*(Scenario_DT!R$12+$O147)-Scenario_DT!R$13)*(1-Scenario_DT!R$14)+Scenario_DT!R$13-Scenario_DT!R$15)*Scenario_DT!R$16</f>
        <v>3581.1874218700013</v>
      </c>
      <c r="AB147" s="17">
        <f>(Scenario_DT!$R$11*(1+$M147/Scenario_DT!$C$19)*(1+$N147)^7*(Scenario_DT!$R$12+$O147)*(1+MIN(DCF_FCFF!$C$26+$Q147,(DCF_FCFF!$C$25+$P147)-0.02))*(1-DCF_FCFF!$C$27)*(1-DCF_FCFF!$C$28)/((DCF_FCFF!$C$25+$P147)-MIN(DCF_FCFF!$C$26+$Q147,(DCF_FCFF!$C$25+$P147)-0.02)))*(1+(DCF_FCFF!$C$25+$P147))^(-(Inputs!$C$9+9))</f>
        <v>24703.368183868206</v>
      </c>
      <c r="AC147" s="17">
        <f>SUMPRODUCT(R147:AA147*(1+(DCF_FCFF!$C$25+$P147))^(-Scenario_DT!$I$17:$R$17))+AB147</f>
        <v>41214.588185802102</v>
      </c>
      <c r="AD147" s="68">
        <f>((AC147-DCF_FCFF!$C$48)*(1-DCF_FCFF!$C$50)+DCF_FCFF!$C$57+DCF_FCFF!$C$58)/DCF_FCFF!$C$60</f>
        <v>299.16486189489456</v>
      </c>
      <c r="AE147" s="6"/>
      <c r="AF147" s="6"/>
      <c r="AG147" s="6"/>
    </row>
    <row r="148" spans="1:33" x14ac:dyDescent="0.3">
      <c r="A148" s="6"/>
      <c r="B148" s="72">
        <v>117</v>
      </c>
      <c r="C148" s="73">
        <v>0.498816958531485</v>
      </c>
      <c r="D148" s="73">
        <v>0.53141104100457803</v>
      </c>
      <c r="E148" s="73">
        <v>0.104979715896071</v>
      </c>
      <c r="F148" s="73">
        <v>0.39855250670154102</v>
      </c>
      <c r="G148" s="73">
        <v>0.91733767255167598</v>
      </c>
      <c r="H148" s="15">
        <f t="shared" si="11"/>
        <v>-2.9654495413416106E-3</v>
      </c>
      <c r="I148" s="15">
        <f t="shared" si="12"/>
        <v>7.8817332000903947E-2</v>
      </c>
      <c r="J148" s="15">
        <f t="shared" si="13"/>
        <v>-1.2536769980879363</v>
      </c>
      <c r="K148" s="15">
        <f t="shared" si="14"/>
        <v>-0.25709554909755977</v>
      </c>
      <c r="L148" s="15">
        <f t="shared" si="15"/>
        <v>1.3873841520050723</v>
      </c>
      <c r="M148" s="18">
        <f t="shared" si="16"/>
        <v>-5.9308990826832211E-5</v>
      </c>
      <c r="N148" s="18">
        <f t="shared" si="17"/>
        <v>5.3420069600499352E-4</v>
      </c>
      <c r="O148" s="18">
        <f t="shared" si="18"/>
        <v>-1.5044123977055237E-2</v>
      </c>
      <c r="P148" s="18">
        <f t="shared" si="19"/>
        <v>-1.5425732945853587E-3</v>
      </c>
      <c r="Q148" s="18">
        <f t="shared" si="20"/>
        <v>5.5495366080202894E-3</v>
      </c>
      <c r="R148" s="28">
        <f>((Scenario_DT!I$11*(IF(Scenario_DT!I$18=1,1,1+$M148/Scenario_DT!$C$19)*(1+$N148)^MAX(0,Scenario_DT!I$18-3))*(Scenario_DT!I$12+$O148)-Scenario_DT!I$13)*(1-Scenario_DT!I$14)+Scenario_DT!I$13-Scenario_DT!I$15)*Scenario_DT!I$16</f>
        <v>889.77394172177719</v>
      </c>
      <c r="S148" s="28">
        <f>((Scenario_DT!J$11*(IF(Scenario_DT!J$18=1,1,1+$M148/Scenario_DT!$C$19)*(1+$N148)^MAX(0,Scenario_DT!J$18-3))*(Scenario_DT!J$12+$O148)-Scenario_DT!J$13)*(1-Scenario_DT!J$14)+Scenario_DT!J$13-Scenario_DT!J$15)*Scenario_DT!J$16</f>
        <v>1785.0166116133146</v>
      </c>
      <c r="T148" s="28">
        <f>((Scenario_DT!K$11*(IF(Scenario_DT!K$18=1,1,1+$M148/Scenario_DT!$C$19)*(1+$N148)^MAX(0,Scenario_DT!K$18-3))*(Scenario_DT!K$12+$O148)-Scenario_DT!K$13)*(1-Scenario_DT!K$14)+Scenario_DT!K$13-Scenario_DT!K$15)*Scenario_DT!K$16</f>
        <v>2047.8957984373833</v>
      </c>
      <c r="U148" s="28">
        <f>((Scenario_DT!L$11*(IF(Scenario_DT!L$18=1,1,1+$M148/Scenario_DT!$C$19)*(1+$N148)^MAX(0,Scenario_DT!L$18-3))*(Scenario_DT!L$12+$O148)-Scenario_DT!L$13)*(1-Scenario_DT!L$14)+Scenario_DT!L$13-Scenario_DT!L$15)*Scenario_DT!L$16</f>
        <v>2447.2384015480711</v>
      </c>
      <c r="V148" s="28">
        <f>((Scenario_DT!M$11*(IF(Scenario_DT!M$18=1,1,1+$M148/Scenario_DT!$C$19)*(1+$N148)^MAX(0,Scenario_DT!M$18-3))*(Scenario_DT!M$12+$O148)-Scenario_DT!M$13)*(1-Scenario_DT!M$14)+Scenario_DT!M$13-Scenario_DT!M$15)*Scenario_DT!M$16</f>
        <v>2570.2610394168601</v>
      </c>
      <c r="W148" s="28">
        <f>((Scenario_DT!N$11*(IF(Scenario_DT!N$18=1,1,1+$M148/Scenario_DT!$C$19)*(1+$N148)^MAX(0,Scenario_DT!N$18-3))*(Scenario_DT!N$12+$O148)-Scenario_DT!N$13)*(1-Scenario_DT!N$14)+Scenario_DT!N$13-Scenario_DT!N$15)*Scenario_DT!N$16</f>
        <v>2699.4616357415389</v>
      </c>
      <c r="X148" s="28">
        <f>((Scenario_DT!O$11*(IF(Scenario_DT!O$18=1,1,1+$M148/Scenario_DT!$C$19)*(1+$N148)^MAX(0,Scenario_DT!O$18-3))*(Scenario_DT!O$12+$O148)-Scenario_DT!O$13)*(1-Scenario_DT!O$14)+Scenario_DT!O$13-Scenario_DT!O$15)*Scenario_DT!O$16</f>
        <v>2835.1528283339658</v>
      </c>
      <c r="Y148" s="28">
        <f>((Scenario_DT!P$11*(IF(Scenario_DT!P$18=1,1,1+$M148/Scenario_DT!$C$19)*(1+$N148)^MAX(0,Scenario_DT!P$18-3))*(Scenario_DT!P$12+$O148)-Scenario_DT!P$13)*(1-Scenario_DT!P$14)+Scenario_DT!P$13-Scenario_DT!P$15)*Scenario_DT!P$16</f>
        <v>2977.6630962809509</v>
      </c>
      <c r="Z148" s="28">
        <f>((Scenario_DT!Q$11*(IF(Scenario_DT!Q$18=1,1,1+$M148/Scenario_DT!$C$19)*(1+$N148)^MAX(0,Scenario_DT!Q$18-3))*(Scenario_DT!Q$12+$O148)-Scenario_DT!Q$13)*(1-Scenario_DT!Q$14)+Scenario_DT!Q$13-Scenario_DT!Q$15)*Scenario_DT!Q$16</f>
        <v>3127.337562638173</v>
      </c>
      <c r="AA148" s="28">
        <f>((Scenario_DT!R$11*(IF(Scenario_DT!R$18=1,1,1+$M148/Scenario_DT!$C$19)*(1+$N148)^MAX(0,Scenario_DT!R$18-3))*(Scenario_DT!R$12+$O148)-Scenario_DT!R$13)*(1-Scenario_DT!R$14)+Scenario_DT!R$13-Scenario_DT!R$15)*Scenario_DT!R$16</f>
        <v>3284.5388377894897</v>
      </c>
      <c r="AB148" s="17">
        <f>(Scenario_DT!$R$11*(1+$M148/Scenario_DT!$C$19)*(1+$N148)^7*(Scenario_DT!$R$12+$O148)*(1+MIN(DCF_FCFF!$C$26+$Q148,(DCF_FCFF!$C$25+$P148)-0.02))*(1-DCF_FCFF!$C$27)*(1-DCF_FCFF!$C$28)/((DCF_FCFF!$C$25+$P148)-MIN(DCF_FCFF!$C$26+$Q148,(DCF_FCFF!$C$25+$P148)-0.02)))*(1+(DCF_FCFF!$C$25+$P148))^(-(Inputs!$C$9+9))</f>
        <v>32856.928323848624</v>
      </c>
      <c r="AC148" s="17">
        <f>SUMPRODUCT(R148:AA148*(1+(DCF_FCFF!$C$25+$P148))^(-Scenario_DT!$I$17:$R$17))+AB148</f>
        <v>49072.659555512393</v>
      </c>
      <c r="AD148" s="68">
        <f>((AC148-DCF_FCFF!$C$48)*(1-DCF_FCFF!$C$50)+DCF_FCFF!$C$57+DCF_FCFF!$C$58)/DCF_FCFF!$C$60</f>
        <v>374.5926696163902</v>
      </c>
      <c r="AE148" s="6"/>
      <c r="AF148" s="6"/>
      <c r="AG148" s="6"/>
    </row>
    <row r="149" spans="1:33" x14ac:dyDescent="0.3">
      <c r="A149" s="6"/>
      <c r="B149" s="72">
        <v>118</v>
      </c>
      <c r="C149" s="73">
        <v>0.63083224036474195</v>
      </c>
      <c r="D149" s="73">
        <v>0.17750658243696801</v>
      </c>
      <c r="E149" s="73">
        <v>0.33885563560960502</v>
      </c>
      <c r="F149" s="73">
        <v>0.1916030096627</v>
      </c>
      <c r="G149" s="73">
        <v>2.4823131798572502E-2</v>
      </c>
      <c r="H149" s="15">
        <f t="shared" si="11"/>
        <v>0.33405836192676897</v>
      </c>
      <c r="I149" s="15">
        <f t="shared" si="12"/>
        <v>-0.92490915346321834</v>
      </c>
      <c r="J149" s="15">
        <f t="shared" si="13"/>
        <v>-0.41558832508484117</v>
      </c>
      <c r="K149" s="15">
        <f t="shared" si="14"/>
        <v>-0.87200432276259232</v>
      </c>
      <c r="L149" s="15">
        <f t="shared" si="15"/>
        <v>-1.9629992292141802</v>
      </c>
      <c r="M149" s="18">
        <f t="shared" si="16"/>
        <v>6.6811672385353798E-3</v>
      </c>
      <c r="N149" s="18">
        <f t="shared" si="17"/>
        <v>-5.0717251370281796E-3</v>
      </c>
      <c r="O149" s="18">
        <f t="shared" si="18"/>
        <v>-4.9870599010180938E-3</v>
      </c>
      <c r="P149" s="18">
        <f t="shared" si="19"/>
        <v>-5.2320259365755536E-3</v>
      </c>
      <c r="Q149" s="18">
        <f t="shared" si="20"/>
        <v>-7.8519969168567207E-3</v>
      </c>
      <c r="R149" s="28">
        <f>((Scenario_DT!I$11*(IF(Scenario_DT!I$18=1,1,1+$M149/Scenario_DT!$C$19)*(1+$N149)^MAX(0,Scenario_DT!I$18-3))*(Scenario_DT!I$12+$O149)-Scenario_DT!I$13)*(1-Scenario_DT!I$14)+Scenario_DT!I$13-Scenario_DT!I$15)*Scenario_DT!I$16</f>
        <v>903.95331976352134</v>
      </c>
      <c r="S149" s="28">
        <f>((Scenario_DT!J$11*(IF(Scenario_DT!J$18=1,1,1+$M149/Scenario_DT!$C$19)*(1+$N149)^MAX(0,Scenario_DT!J$18-3))*(Scenario_DT!J$12+$O149)-Scenario_DT!J$13)*(1-Scenario_DT!J$14)+Scenario_DT!J$13-Scenario_DT!J$15)*Scenario_DT!J$16</f>
        <v>1832.3101009892484</v>
      </c>
      <c r="T149" s="28">
        <f>((Scenario_DT!K$11*(IF(Scenario_DT!K$18=1,1,1+$M149/Scenario_DT!$C$19)*(1+$N149)^MAX(0,Scenario_DT!K$18-3))*(Scenario_DT!K$12+$O149)-Scenario_DT!K$13)*(1-Scenario_DT!K$14)+Scenario_DT!K$13-Scenario_DT!K$15)*Scenario_DT!K$16</f>
        <v>2097.1365364064245</v>
      </c>
      <c r="U149" s="28">
        <f>((Scenario_DT!L$11*(IF(Scenario_DT!L$18=1,1,1+$M149/Scenario_DT!$C$19)*(1+$N149)^MAX(0,Scenario_DT!L$18-3))*(Scenario_DT!L$12+$O149)-Scenario_DT!L$13)*(1-Scenario_DT!L$14)+Scenario_DT!L$13-Scenario_DT!L$15)*Scenario_DT!L$16</f>
        <v>2485.4496615299699</v>
      </c>
      <c r="V149" s="28">
        <f>((Scenario_DT!M$11*(IF(Scenario_DT!M$18=1,1,1+$M149/Scenario_DT!$C$19)*(1+$N149)^MAX(0,Scenario_DT!M$18-3))*(Scenario_DT!M$12+$O149)-Scenario_DT!M$13)*(1-Scenario_DT!M$14)+Scenario_DT!M$13-Scenario_DT!M$15)*Scenario_DT!M$16</f>
        <v>2595.6750574276753</v>
      </c>
      <c r="W149" s="28">
        <f>((Scenario_DT!N$11*(IF(Scenario_DT!N$18=1,1,1+$M149/Scenario_DT!$C$19)*(1+$N149)^MAX(0,Scenario_DT!N$18-3))*(Scenario_DT!N$12+$O149)-Scenario_DT!N$13)*(1-Scenario_DT!N$14)+Scenario_DT!N$13-Scenario_DT!N$15)*Scenario_DT!N$16</f>
        <v>2710.773347447921</v>
      </c>
      <c r="X149" s="28">
        <f>((Scenario_DT!O$11*(IF(Scenario_DT!O$18=1,1,1+$M149/Scenario_DT!$C$19)*(1+$N149)^MAX(0,Scenario_DT!O$18-3))*(Scenario_DT!O$12+$O149)-Scenario_DT!O$13)*(1-Scenario_DT!O$14)+Scenario_DT!O$13-Scenario_DT!O$15)*Scenario_DT!O$16</f>
        <v>2830.9617871384544</v>
      </c>
      <c r="Y149" s="28">
        <f>((Scenario_DT!P$11*(IF(Scenario_DT!P$18=1,1,1+$M149/Scenario_DT!$C$19)*(1+$N149)^MAX(0,Scenario_DT!P$18-3))*(Scenario_DT!P$12+$O149)-Scenario_DT!P$13)*(1-Scenario_DT!P$14)+Scenario_DT!P$13-Scenario_DT!P$15)*Scenario_DT!P$16</f>
        <v>2956.4673374049921</v>
      </c>
      <c r="Z149" s="28">
        <f>((Scenario_DT!Q$11*(IF(Scenario_DT!Q$18=1,1,1+$M149/Scenario_DT!$C$19)*(1+$N149)^MAX(0,Scenario_DT!Q$18-3))*(Scenario_DT!Q$12+$O149)-Scenario_DT!Q$13)*(1-Scenario_DT!Q$14)+Scenario_DT!Q$13-Scenario_DT!Q$15)*Scenario_DT!Q$16</f>
        <v>3087.5270982961879</v>
      </c>
      <c r="AA149" s="28">
        <f>((Scenario_DT!R$11*(IF(Scenario_DT!R$18=1,1,1+$M149/Scenario_DT!$C$19)*(1+$N149)^MAX(0,Scenario_DT!R$18-3))*(Scenario_DT!R$12+$O149)-Scenario_DT!R$13)*(1-Scenario_DT!R$14)+Scenario_DT!R$13-Scenario_DT!R$15)*Scenario_DT!R$16</f>
        <v>3224.388762180502</v>
      </c>
      <c r="AB149" s="17">
        <f>(Scenario_DT!$R$11*(1+$M149/Scenario_DT!$C$19)*(1+$N149)^7*(Scenario_DT!$R$12+$O149)*(1+MIN(DCF_FCFF!$C$26+$Q149,(DCF_FCFF!$C$25+$P149)-0.02))*(1-DCF_FCFF!$C$27)*(1-DCF_FCFF!$C$28)/((DCF_FCFF!$C$25+$P149)-MIN(DCF_FCFF!$C$26+$Q149,(DCF_FCFF!$C$25+$P149)-0.02)))*(1+(DCF_FCFF!$C$25+$P149))^(-(Inputs!$C$9+9))</f>
        <v>26862.741688306069</v>
      </c>
      <c r="AC149" s="17">
        <f>SUMPRODUCT(R149:AA149*(1+(DCF_FCFF!$C$25+$P149))^(-Scenario_DT!$I$17:$R$17))+AB149</f>
        <v>43426.750287933755</v>
      </c>
      <c r="AD149" s="68">
        <f>((AC149-DCF_FCFF!$C$48)*(1-DCF_FCFF!$C$50)+DCF_FCFF!$C$57+DCF_FCFF!$C$58)/DCF_FCFF!$C$60</f>
        <v>320.39889373781449</v>
      </c>
      <c r="AE149" s="6"/>
      <c r="AF149" s="6"/>
      <c r="AG149" s="6"/>
    </row>
    <row r="150" spans="1:33" x14ac:dyDescent="0.3">
      <c r="A150" s="6"/>
      <c r="B150" s="72">
        <v>119</v>
      </c>
      <c r="C150" s="73">
        <v>0.92746045850402703</v>
      </c>
      <c r="D150" s="73">
        <v>0.44820732825687198</v>
      </c>
      <c r="E150" s="73">
        <v>0.30753507242078598</v>
      </c>
      <c r="F150" s="73">
        <v>0.59847719155773704</v>
      </c>
      <c r="G150" s="73">
        <v>7.31445629301564E-3</v>
      </c>
      <c r="H150" s="15">
        <f t="shared" si="11"/>
        <v>1.4571351294599657</v>
      </c>
      <c r="I150" s="15">
        <f t="shared" si="12"/>
        <v>-0.1301918322346004</v>
      </c>
      <c r="J150" s="15">
        <f t="shared" si="13"/>
        <v>-0.50284941988711018</v>
      </c>
      <c r="K150" s="15">
        <f t="shared" si="14"/>
        <v>0.24940745782338125</v>
      </c>
      <c r="L150" s="15">
        <f t="shared" si="15"/>
        <v>-2.4414376900185073</v>
      </c>
      <c r="M150" s="18">
        <f t="shared" si="16"/>
        <v>2.9142702589199314E-2</v>
      </c>
      <c r="N150" s="18">
        <f t="shared" si="17"/>
        <v>4.9265450451966173E-3</v>
      </c>
      <c r="O150" s="18">
        <f t="shared" si="18"/>
        <v>-6.0341930386453224E-3</v>
      </c>
      <c r="P150" s="18">
        <f t="shared" si="19"/>
        <v>1.4964447469402876E-3</v>
      </c>
      <c r="Q150" s="18">
        <f t="shared" si="20"/>
        <v>-9.7657507600740299E-3</v>
      </c>
      <c r="R150" s="28">
        <f>((Scenario_DT!I$11*(IF(Scenario_DT!I$18=1,1,1+$M150/Scenario_DT!$C$19)*(1+$N150)^MAX(0,Scenario_DT!I$18-3))*(Scenario_DT!I$12+$O150)-Scenario_DT!I$13)*(1-Scenario_DT!I$14)+Scenario_DT!I$13-Scenario_DT!I$15)*Scenario_DT!I$16</f>
        <v>902.47697472821108</v>
      </c>
      <c r="S150" s="28">
        <f>((Scenario_DT!J$11*(IF(Scenario_DT!J$18=1,1,1+$M150/Scenario_DT!$C$19)*(1+$N150)^MAX(0,Scenario_DT!J$18-3))*(Scenario_DT!J$12+$O150)-Scenario_DT!J$13)*(1-Scenario_DT!J$14)+Scenario_DT!J$13-Scenario_DT!J$15)*Scenario_DT!J$16</f>
        <v>1882.4086847547878</v>
      </c>
      <c r="T150" s="28">
        <f>((Scenario_DT!K$11*(IF(Scenario_DT!K$18=1,1,1+$M150/Scenario_DT!$C$19)*(1+$N150)^MAX(0,Scenario_DT!K$18-3))*(Scenario_DT!K$12+$O150)-Scenario_DT!K$13)*(1-Scenario_DT!K$14)+Scenario_DT!K$13-Scenario_DT!K$15)*Scenario_DT!K$16</f>
        <v>2149.8188172101668</v>
      </c>
      <c r="U150" s="28">
        <f>((Scenario_DT!L$11*(IF(Scenario_DT!L$18=1,1,1+$M150/Scenario_DT!$C$19)*(1+$N150)^MAX(0,Scenario_DT!L$18-3))*(Scenario_DT!L$12+$O150)-Scenario_DT!L$13)*(1-Scenario_DT!L$14)+Scenario_DT!L$13-Scenario_DT!L$15)*Scenario_DT!L$16</f>
        <v>2566.8085250987519</v>
      </c>
      <c r="V150" s="28">
        <f>((Scenario_DT!M$11*(IF(Scenario_DT!M$18=1,1,1+$M150/Scenario_DT!$C$19)*(1+$N150)^MAX(0,Scenario_DT!M$18-3))*(Scenario_DT!M$12+$O150)-Scenario_DT!M$13)*(1-Scenario_DT!M$14)+Scenario_DT!M$13-Scenario_DT!M$15)*Scenario_DT!M$16</f>
        <v>2707.7925858723829</v>
      </c>
      <c r="W150" s="28">
        <f>((Scenario_DT!N$11*(IF(Scenario_DT!N$18=1,1,1+$M150/Scenario_DT!$C$19)*(1+$N150)^MAX(0,Scenario_DT!N$18-3))*(Scenario_DT!N$12+$O150)-Scenario_DT!N$13)*(1-Scenario_DT!N$14)+Scenario_DT!N$13-Scenario_DT!N$15)*Scenario_DT!N$16</f>
        <v>2856.5201825930171</v>
      </c>
      <c r="X150" s="28">
        <f>((Scenario_DT!O$11*(IF(Scenario_DT!O$18=1,1,1+$M150/Scenario_DT!$C$19)*(1+$N150)^MAX(0,Scenario_DT!O$18-3))*(Scenario_DT!O$12+$O150)-Scenario_DT!O$13)*(1-Scenario_DT!O$14)+Scenario_DT!O$13-Scenario_DT!O$15)*Scenario_DT!O$16</f>
        <v>3013.4193824854974</v>
      </c>
      <c r="Y150" s="28">
        <f>((Scenario_DT!P$11*(IF(Scenario_DT!P$18=1,1,1+$M150/Scenario_DT!$C$19)*(1+$N150)^MAX(0,Scenario_DT!P$18-3))*(Scenario_DT!P$12+$O150)-Scenario_DT!P$13)*(1-Scenario_DT!P$14)+Scenario_DT!P$13-Scenario_DT!P$15)*Scenario_DT!P$16</f>
        <v>3178.9419315177661</v>
      </c>
      <c r="Z150" s="28">
        <f>((Scenario_DT!Q$11*(IF(Scenario_DT!Q$18=1,1,1+$M150/Scenario_DT!$C$19)*(1+$N150)^MAX(0,Scenario_DT!Q$18-3))*(Scenario_DT!Q$12+$O150)-Scenario_DT!Q$13)*(1-Scenario_DT!Q$14)+Scenario_DT!Q$13-Scenario_DT!Q$15)*Scenario_DT!Q$16</f>
        <v>3353.5645637791158</v>
      </c>
      <c r="AA150" s="28">
        <f>((Scenario_DT!R$11*(IF(Scenario_DT!R$18=1,1,1+$M150/Scenario_DT!$C$19)*(1+$N150)^MAX(0,Scenario_DT!R$18-3))*(Scenario_DT!R$12+$O150)-Scenario_DT!R$13)*(1-Scenario_DT!R$14)+Scenario_DT!R$13-Scenario_DT!R$15)*Scenario_DT!R$16</f>
        <v>3537.7903832341763</v>
      </c>
      <c r="AB150" s="17">
        <f>(Scenario_DT!$R$11*(1+$M150/Scenario_DT!$C$19)*(1+$N150)^7*(Scenario_DT!$R$12+$O150)*(1+MIN(DCF_FCFF!$C$26+$Q150,(DCF_FCFF!$C$25+$P150)-0.02))*(1-DCF_FCFF!$C$27)*(1-DCF_FCFF!$C$28)/((DCF_FCFF!$C$25+$P150)-MIN(DCF_FCFF!$C$26+$Q150,(DCF_FCFF!$C$25+$P150)-0.02)))*(1+(DCF_FCFF!$C$25+$P150))^(-(Inputs!$C$9+9))</f>
        <v>23838.96913641534</v>
      </c>
      <c r="AC150" s="17">
        <f>SUMPRODUCT(R150:AA150*(1+(DCF_FCFF!$C$25+$P150))^(-Scenario_DT!$I$17:$R$17))+AB150</f>
        <v>40767.526267820635</v>
      </c>
      <c r="AD150" s="68">
        <f>((AC150-DCF_FCFF!$C$48)*(1-DCF_FCFF!$C$50)+DCF_FCFF!$C$57+DCF_FCFF!$C$58)/DCF_FCFF!$C$60</f>
        <v>294.87361805113284</v>
      </c>
      <c r="AE150" s="6"/>
      <c r="AF150" s="6"/>
      <c r="AG150" s="6"/>
    </row>
    <row r="151" spans="1:33" x14ac:dyDescent="0.3">
      <c r="A151" s="6"/>
      <c r="B151" s="72">
        <v>120</v>
      </c>
      <c r="C151" s="73">
        <v>0.278022106600814</v>
      </c>
      <c r="D151" s="73">
        <v>0.70303346569889302</v>
      </c>
      <c r="E151" s="73">
        <v>0.63376977306926296</v>
      </c>
      <c r="F151" s="73">
        <v>0.98180594754253603</v>
      </c>
      <c r="G151" s="73">
        <v>0.62035770965804404</v>
      </c>
      <c r="H151" s="15">
        <f t="shared" si="11"/>
        <v>-0.58872731219704411</v>
      </c>
      <c r="I151" s="15">
        <f t="shared" si="12"/>
        <v>0.53314520531977871</v>
      </c>
      <c r="J151" s="15">
        <f t="shared" si="13"/>
        <v>0.34185441859200277</v>
      </c>
      <c r="K151" s="15">
        <f t="shared" si="14"/>
        <v>2.0925638669162492</v>
      </c>
      <c r="L151" s="15">
        <f t="shared" si="15"/>
        <v>0.30642039640786201</v>
      </c>
      <c r="M151" s="18">
        <f t="shared" si="16"/>
        <v>-1.1774546243940882E-2</v>
      </c>
      <c r="N151" s="18">
        <f t="shared" si="17"/>
        <v>1.338829084914214E-3</v>
      </c>
      <c r="O151" s="18">
        <f t="shared" si="18"/>
        <v>4.1022530231040336E-3</v>
      </c>
      <c r="P151" s="18">
        <f t="shared" si="19"/>
        <v>1.2555383201497496E-2</v>
      </c>
      <c r="Q151" s="18">
        <f t="shared" si="20"/>
        <v>1.225681585631448E-3</v>
      </c>
      <c r="R151" s="28">
        <f>((Scenario_DT!I$11*(IF(Scenario_DT!I$18=1,1,1+$M151/Scenario_DT!$C$19)*(1+$N151)^MAX(0,Scenario_DT!I$18-3))*(Scenario_DT!I$12+$O151)-Scenario_DT!I$13)*(1-Scenario_DT!I$14)+Scenario_DT!I$13-Scenario_DT!I$15)*Scenario_DT!I$16</f>
        <v>916.76827282700231</v>
      </c>
      <c r="S151" s="28">
        <f>((Scenario_DT!J$11*(IF(Scenario_DT!J$18=1,1,1+$M151/Scenario_DT!$C$19)*(1+$N151)^MAX(0,Scenario_DT!J$18-3))*(Scenario_DT!J$12+$O151)-Scenario_DT!J$13)*(1-Scenario_DT!J$14)+Scenario_DT!J$13-Scenario_DT!J$15)*Scenario_DT!J$16</f>
        <v>1816.2830217249916</v>
      </c>
      <c r="T151" s="28">
        <f>((Scenario_DT!K$11*(IF(Scenario_DT!K$18=1,1,1+$M151/Scenario_DT!$C$19)*(1+$N151)^MAX(0,Scenario_DT!K$18-3))*(Scenario_DT!K$12+$O151)-Scenario_DT!K$13)*(1-Scenario_DT!K$14)+Scenario_DT!K$13-Scenario_DT!K$15)*Scenario_DT!K$16</f>
        <v>2079.8997020891297</v>
      </c>
      <c r="U151" s="28">
        <f>((Scenario_DT!L$11*(IF(Scenario_DT!L$18=1,1,1+$M151/Scenario_DT!$C$19)*(1+$N151)^MAX(0,Scenario_DT!L$18-3))*(Scenario_DT!L$12+$O151)-Scenario_DT!L$13)*(1-Scenario_DT!L$14)+Scenario_DT!L$13-Scenario_DT!L$15)*Scenario_DT!L$16</f>
        <v>2483.2465428922865</v>
      </c>
      <c r="V151" s="28">
        <f>((Scenario_DT!M$11*(IF(Scenario_DT!M$18=1,1,1+$M151/Scenario_DT!$C$19)*(1+$N151)^MAX(0,Scenario_DT!M$18-3))*(Scenario_DT!M$12+$O151)-Scenario_DT!M$13)*(1-Scenario_DT!M$14)+Scenario_DT!M$13-Scenario_DT!M$15)*Scenario_DT!M$16</f>
        <v>2610.202037286861</v>
      </c>
      <c r="W151" s="28">
        <f>((Scenario_DT!N$11*(IF(Scenario_DT!N$18=1,1,1+$M151/Scenario_DT!$C$19)*(1+$N151)^MAX(0,Scenario_DT!N$18-3))*(Scenario_DT!N$12+$O151)-Scenario_DT!N$13)*(1-Scenario_DT!N$14)+Scenario_DT!N$13-Scenario_DT!N$15)*Scenario_DT!N$16</f>
        <v>2743.642920892109</v>
      </c>
      <c r="X151" s="28">
        <f>((Scenario_DT!O$11*(IF(Scenario_DT!O$18=1,1,1+$M151/Scenario_DT!$C$19)*(1+$N151)^MAX(0,Scenario_DT!O$18-3))*(Scenario_DT!O$12+$O151)-Scenario_DT!O$13)*(1-Scenario_DT!O$14)+Scenario_DT!O$13-Scenario_DT!O$15)*Scenario_DT!O$16</f>
        <v>2883.902957237492</v>
      </c>
      <c r="Y151" s="28">
        <f>((Scenario_DT!P$11*(IF(Scenario_DT!P$18=1,1,1+$M151/Scenario_DT!$C$19)*(1+$N151)^MAX(0,Scenario_DT!P$18-3))*(Scenario_DT!P$12+$O151)-Scenario_DT!P$13)*(1-Scenario_DT!P$14)+Scenario_DT!P$13-Scenario_DT!P$15)*Scenario_DT!P$16</f>
        <v>3031.333106196525</v>
      </c>
      <c r="Z151" s="28">
        <f>((Scenario_DT!Q$11*(IF(Scenario_DT!Q$18=1,1,1+$M151/Scenario_DT!$C$19)*(1+$N151)^MAX(0,Scenario_DT!Q$18-3))*(Scenario_DT!Q$12+$O151)-Scenario_DT!Q$13)*(1-Scenario_DT!Q$14)+Scenario_DT!Q$13-Scenario_DT!Q$15)*Scenario_DT!Q$16</f>
        <v>3186.3024099442541</v>
      </c>
      <c r="AA151" s="28">
        <f>((Scenario_DT!R$11*(IF(Scenario_DT!R$18=1,1,1+$M151/Scenario_DT!$C$19)*(1+$N151)^MAX(0,Scenario_DT!R$18-3))*(Scenario_DT!R$12+$O151)-Scenario_DT!R$13)*(1-Scenario_DT!R$14)+Scenario_DT!R$13-Scenario_DT!R$15)*Scenario_DT!R$16</f>
        <v>3349.1989245482646</v>
      </c>
      <c r="AB151" s="17">
        <f>(Scenario_DT!$R$11*(1+$M151/Scenario_DT!$C$19)*(1+$N151)^7*(Scenario_DT!$R$12+$O151)*(1+MIN(DCF_FCFF!$C$26+$Q151,(DCF_FCFF!$C$25+$P151)-0.02))*(1-DCF_FCFF!$C$27)*(1-DCF_FCFF!$C$28)/((DCF_FCFF!$C$25+$P151)-MIN(DCF_FCFF!$C$26+$Q151,(DCF_FCFF!$C$25+$P151)-0.02)))*(1+(DCF_FCFF!$C$25+$P151))^(-(Inputs!$C$9+9))</f>
        <v>20719.177392590791</v>
      </c>
      <c r="AC151" s="17">
        <f>SUMPRODUCT(R151:AA151*(1+(DCF_FCFF!$C$25+$P151))^(-Scenario_DT!$I$17:$R$17))+AB151</f>
        <v>36278.19121813144</v>
      </c>
      <c r="AD151" s="68">
        <f>((AC151-DCF_FCFF!$C$48)*(1-DCF_FCFF!$C$50)+DCF_FCFF!$C$57+DCF_FCFF!$C$58)/DCF_FCFF!$C$60</f>
        <v>251.78153031182137</v>
      </c>
      <c r="AE151" s="6"/>
      <c r="AF151" s="6"/>
      <c r="AG151" s="6"/>
    </row>
    <row r="152" spans="1:33" x14ac:dyDescent="0.3">
      <c r="A152" s="6"/>
      <c r="B152" s="72">
        <v>121</v>
      </c>
      <c r="C152" s="73">
        <v>0.477505873627733</v>
      </c>
      <c r="D152" s="73">
        <v>0.76143256318400798</v>
      </c>
      <c r="E152" s="73">
        <v>0.90332787196405295</v>
      </c>
      <c r="F152" s="73">
        <v>0.72069594671835202</v>
      </c>
      <c r="G152" s="73">
        <v>0.96321122354938005</v>
      </c>
      <c r="H152" s="15">
        <f t="shared" si="11"/>
        <v>-5.6414322707804804E-2</v>
      </c>
      <c r="I152" s="15">
        <f t="shared" si="12"/>
        <v>0.71091828629924059</v>
      </c>
      <c r="J152" s="15">
        <f t="shared" si="13"/>
        <v>1.3007493735686912</v>
      </c>
      <c r="K152" s="15">
        <f t="shared" si="14"/>
        <v>0.58491018986868526</v>
      </c>
      <c r="L152" s="15">
        <f t="shared" si="15"/>
        <v>1.789231423750747</v>
      </c>
      <c r="M152" s="18">
        <f t="shared" si="16"/>
        <v>-1.128286454156096E-3</v>
      </c>
      <c r="N152" s="18">
        <f t="shared" si="17"/>
        <v>4.6997290767691081E-3</v>
      </c>
      <c r="O152" s="18">
        <f t="shared" si="18"/>
        <v>1.5608992482824295E-2</v>
      </c>
      <c r="P152" s="18">
        <f t="shared" si="19"/>
        <v>3.5094611392121116E-3</v>
      </c>
      <c r="Q152" s="18">
        <f t="shared" si="20"/>
        <v>7.1569256950029881E-3</v>
      </c>
      <c r="R152" s="28">
        <f>((Scenario_DT!I$11*(IF(Scenario_DT!I$18=1,1,1+$M152/Scenario_DT!$C$19)*(1+$N152)^MAX(0,Scenario_DT!I$18-3))*(Scenario_DT!I$12+$O152)-Scenario_DT!I$13)*(1-Scenario_DT!I$14)+Scenario_DT!I$13-Scenario_DT!I$15)*Scenario_DT!I$16</f>
        <v>932.9915371508306</v>
      </c>
      <c r="S152" s="28">
        <f>((Scenario_DT!J$11*(IF(Scenario_DT!J$18=1,1,1+$M152/Scenario_DT!$C$19)*(1+$N152)^MAX(0,Scenario_DT!J$18-3))*(Scenario_DT!J$12+$O152)-Scenario_DT!J$13)*(1-Scenario_DT!J$14)+Scenario_DT!J$13-Scenario_DT!J$15)*Scenario_DT!J$16</f>
        <v>1877.6553776757451</v>
      </c>
      <c r="T152" s="28">
        <f>((Scenario_DT!K$11*(IF(Scenario_DT!K$18=1,1,1+$M152/Scenario_DT!$C$19)*(1+$N152)^MAX(0,Scenario_DT!K$18-3))*(Scenario_DT!K$12+$O152)-Scenario_DT!K$13)*(1-Scenario_DT!K$14)+Scenario_DT!K$13-Scenario_DT!K$15)*Scenario_DT!K$16</f>
        <v>2143.8635623382829</v>
      </c>
      <c r="U152" s="28">
        <f>((Scenario_DT!L$11*(IF(Scenario_DT!L$18=1,1,1+$M152/Scenario_DT!$C$19)*(1+$N152)^MAX(0,Scenario_DT!L$18-3))*(Scenario_DT!L$12+$O152)-Scenario_DT!L$13)*(1-Scenario_DT!L$14)+Scenario_DT!L$13-Scenario_DT!L$15)*Scenario_DT!L$16</f>
        <v>2559.8725074307199</v>
      </c>
      <c r="V152" s="28">
        <f>((Scenario_DT!M$11*(IF(Scenario_DT!M$18=1,1,1+$M152/Scenario_DT!$C$19)*(1+$N152)^MAX(0,Scenario_DT!M$18-3))*(Scenario_DT!M$12+$O152)-Scenario_DT!M$13)*(1-Scenario_DT!M$14)+Scenario_DT!M$13-Scenario_DT!M$15)*Scenario_DT!M$16</f>
        <v>2699.8602183606677</v>
      </c>
      <c r="W152" s="28">
        <f>((Scenario_DT!N$11*(IF(Scenario_DT!N$18=1,1,1+$M152/Scenario_DT!$C$19)*(1+$N152)^MAX(0,Scenario_DT!N$18-3))*(Scenario_DT!N$12+$O152)-Scenario_DT!N$13)*(1-Scenario_DT!N$14)+Scenario_DT!N$13-Scenario_DT!N$15)*Scenario_DT!N$16</f>
        <v>2847.5027819775732</v>
      </c>
      <c r="X152" s="28">
        <f>((Scenario_DT!O$11*(IF(Scenario_DT!O$18=1,1,1+$M152/Scenario_DT!$C$19)*(1+$N152)^MAX(0,Scenario_DT!O$18-3))*(Scenario_DT!O$12+$O152)-Scenario_DT!O$13)*(1-Scenario_DT!O$14)+Scenario_DT!O$13-Scenario_DT!O$15)*Scenario_DT!O$16</f>
        <v>3003.2215206491992</v>
      </c>
      <c r="Y152" s="28">
        <f>((Scenario_DT!P$11*(IF(Scenario_DT!P$18=1,1,1+$M152/Scenario_DT!$C$19)*(1+$N152)^MAX(0,Scenario_DT!P$18-3))*(Scenario_DT!P$12+$O152)-Scenario_DT!P$13)*(1-Scenario_DT!P$14)+Scenario_DT!P$13-Scenario_DT!P$15)*Scenario_DT!P$16</f>
        <v>3167.4609616170933</v>
      </c>
      <c r="Z152" s="28">
        <f>((Scenario_DT!Q$11*(IF(Scenario_DT!Q$18=1,1,1+$M152/Scenario_DT!$C$19)*(1+$N152)^MAX(0,Scenario_DT!Q$18-3))*(Scenario_DT!Q$12+$O152)-Scenario_DT!Q$13)*(1-Scenario_DT!Q$14)+Scenario_DT!Q$13-Scenario_DT!Q$15)*Scenario_DT!Q$16</f>
        <v>3340.6901146412606</v>
      </c>
      <c r="AA152" s="28">
        <f>((Scenario_DT!R$11*(IF(Scenario_DT!R$18=1,1,1+$M152/Scenario_DT!$C$19)*(1+$N152)^MAX(0,Scenario_DT!R$18-3))*(Scenario_DT!R$12+$O152)-Scenario_DT!R$13)*(1-Scenario_DT!R$14)+Scenario_DT!R$13-Scenario_DT!R$15)*Scenario_DT!R$16</f>
        <v>3523.4038199627134</v>
      </c>
      <c r="AB152" s="17">
        <f>(Scenario_DT!$R$11*(1+$M152/Scenario_DT!$C$19)*(1+$N152)^7*(Scenario_DT!$R$12+$O152)*(1+MIN(DCF_FCFF!$C$26+$Q152,(DCF_FCFF!$C$25+$P152)-0.02))*(1-DCF_FCFF!$C$27)*(1-DCF_FCFF!$C$28)/((DCF_FCFF!$C$25+$P152)-MIN(DCF_FCFF!$C$26+$Q152,(DCF_FCFF!$C$25+$P152)-0.02)))*(1+(DCF_FCFF!$C$25+$P152))^(-(Inputs!$C$9+9))</f>
        <v>31278.847214969152</v>
      </c>
      <c r="AC152" s="17">
        <f>SUMPRODUCT(R152:AA152*(1+(DCF_FCFF!$C$25+$P152))^(-Scenario_DT!$I$17:$R$17))+AB152</f>
        <v>48042.838654237203</v>
      </c>
      <c r="AD152" s="68">
        <f>((AC152-DCF_FCFF!$C$48)*(1-DCF_FCFF!$C$50)+DCF_FCFF!$C$57+DCF_FCFF!$C$58)/DCF_FCFF!$C$60</f>
        <v>364.70765721648041</v>
      </c>
      <c r="AE152" s="6"/>
      <c r="AF152" s="6"/>
      <c r="AG152" s="6"/>
    </row>
    <row r="153" spans="1:33" x14ac:dyDescent="0.3">
      <c r="A153" s="6"/>
      <c r="B153" s="72">
        <v>122</v>
      </c>
      <c r="C153" s="73">
        <v>0.78200517073817699</v>
      </c>
      <c r="D153" s="73">
        <v>0.86680143826192702</v>
      </c>
      <c r="E153" s="73">
        <v>0.114104071183637</v>
      </c>
      <c r="F153" s="73">
        <v>0.73241350299378805</v>
      </c>
      <c r="G153" s="73">
        <v>0.44008869952736901</v>
      </c>
      <c r="H153" s="15">
        <f t="shared" si="11"/>
        <v>0.77898311962308187</v>
      </c>
      <c r="I153" s="15">
        <f t="shared" si="12"/>
        <v>1.1113978822906259</v>
      </c>
      <c r="J153" s="15">
        <f t="shared" si="13"/>
        <v>-1.2049874614445741</v>
      </c>
      <c r="K153" s="15">
        <f t="shared" si="14"/>
        <v>0.62012879775669549</v>
      </c>
      <c r="L153" s="15">
        <f t="shared" si="15"/>
        <v>-0.15074433436049708</v>
      </c>
      <c r="M153" s="18">
        <f t="shared" si="16"/>
        <v>1.5579662392461637E-2</v>
      </c>
      <c r="N153" s="18">
        <f t="shared" si="17"/>
        <v>1.0815922876699602E-2</v>
      </c>
      <c r="O153" s="18">
        <f t="shared" si="18"/>
        <v>-1.445984953733489E-2</v>
      </c>
      <c r="P153" s="18">
        <f t="shared" si="19"/>
        <v>3.7207727865401731E-3</v>
      </c>
      <c r="Q153" s="18">
        <f t="shared" si="20"/>
        <v>-6.029773374419884E-4</v>
      </c>
      <c r="R153" s="28">
        <f>((Scenario_DT!I$11*(IF(Scenario_DT!I$18=1,1,1+$M153/Scenario_DT!$C$19)*(1+$N153)^MAX(0,Scenario_DT!I$18-3))*(Scenario_DT!I$12+$O153)-Scenario_DT!I$13)*(1-Scenario_DT!I$14)+Scenario_DT!I$13-Scenario_DT!I$15)*Scenario_DT!I$16</f>
        <v>890.59770580424572</v>
      </c>
      <c r="S153" s="28">
        <f>((Scenario_DT!J$11*(IF(Scenario_DT!J$18=1,1,1+$M153/Scenario_DT!$C$19)*(1+$N153)^MAX(0,Scenario_DT!J$18-3))*(Scenario_DT!J$12+$O153)-Scenario_DT!J$13)*(1-Scenario_DT!J$14)+Scenario_DT!J$13-Scenario_DT!J$15)*Scenario_DT!J$16</f>
        <v>1823.5602299646857</v>
      </c>
      <c r="T153" s="28">
        <f>((Scenario_DT!K$11*(IF(Scenario_DT!K$18=1,1,1+$M153/Scenario_DT!$C$19)*(1+$N153)^MAX(0,Scenario_DT!K$18-3))*(Scenario_DT!K$12+$O153)-Scenario_DT!K$13)*(1-Scenario_DT!K$14)+Scenario_DT!K$13-Scenario_DT!K$15)*Scenario_DT!K$16</f>
        <v>2088.3713693127224</v>
      </c>
      <c r="U153" s="28">
        <f>((Scenario_DT!L$11*(IF(Scenario_DT!L$18=1,1,1+$M153/Scenario_DT!$C$19)*(1+$N153)^MAX(0,Scenario_DT!L$18-3))*(Scenario_DT!L$12+$O153)-Scenario_DT!L$13)*(1-Scenario_DT!L$14)+Scenario_DT!L$13-Scenario_DT!L$15)*Scenario_DT!L$16</f>
        <v>2516.0010595520939</v>
      </c>
      <c r="V153" s="28">
        <f>((Scenario_DT!M$11*(IF(Scenario_DT!M$18=1,1,1+$M153/Scenario_DT!$C$19)*(1+$N153)^MAX(0,Scenario_DT!M$18-3))*(Scenario_DT!M$12+$O153)-Scenario_DT!M$13)*(1-Scenario_DT!M$14)+Scenario_DT!M$13-Scenario_DT!M$15)*Scenario_DT!M$16</f>
        <v>2669.8448430923904</v>
      </c>
      <c r="W153" s="28">
        <f>((Scenario_DT!N$11*(IF(Scenario_DT!N$18=1,1,1+$M153/Scenario_DT!$C$19)*(1+$N153)^MAX(0,Scenario_DT!N$18-3))*(Scenario_DT!N$12+$O153)-Scenario_DT!N$13)*(1-Scenario_DT!N$14)+Scenario_DT!N$13-Scenario_DT!N$15)*Scenario_DT!N$16</f>
        <v>2833.102695593012</v>
      </c>
      <c r="X153" s="28">
        <f>((Scenario_DT!O$11*(IF(Scenario_DT!O$18=1,1,1+$M153/Scenario_DT!$C$19)*(1+$N153)^MAX(0,Scenario_DT!O$18-3))*(Scenario_DT!O$12+$O153)-Scenario_DT!O$13)*(1-Scenario_DT!O$14)+Scenario_DT!O$13-Scenario_DT!O$15)*Scenario_DT!O$16</f>
        <v>3006.3538177348241</v>
      </c>
      <c r="Y153" s="28">
        <f>((Scenario_DT!P$11*(IF(Scenario_DT!P$18=1,1,1+$M153/Scenario_DT!$C$19)*(1+$N153)^MAX(0,Scenario_DT!P$18-3))*(Scenario_DT!P$12+$O153)-Scenario_DT!P$13)*(1-Scenario_DT!P$14)+Scenario_DT!P$13-Scenario_DT!P$15)*Scenario_DT!P$16</f>
        <v>3190.213045329157</v>
      </c>
      <c r="Z153" s="28">
        <f>((Scenario_DT!Q$11*(IF(Scenario_DT!Q$18=1,1,1+$M153/Scenario_DT!$C$19)*(1+$N153)^MAX(0,Scenario_DT!Q$18-3))*(Scenario_DT!Q$12+$O153)-Scenario_DT!Q$13)*(1-Scenario_DT!Q$14)+Scenario_DT!Q$13-Scenario_DT!Q$15)*Scenario_DT!Q$16</f>
        <v>3385.3330403480272</v>
      </c>
      <c r="AA153" s="28">
        <f>((Scenario_DT!R$11*(IF(Scenario_DT!R$18=1,1,1+$M153/Scenario_DT!$C$19)*(1+$N153)^MAX(0,Scenario_DT!R$18-3))*(Scenario_DT!R$12+$O153)-Scenario_DT!R$13)*(1-Scenario_DT!R$14)+Scenario_DT!R$13-Scenario_DT!R$15)*Scenario_DT!R$16</f>
        <v>3592.4066165935446</v>
      </c>
      <c r="AB153" s="17">
        <f>(Scenario_DT!$R$11*(1+$M153/Scenario_DT!$C$19)*(1+$N153)^7*(Scenario_DT!$R$12+$O153)*(1+MIN(DCF_FCFF!$C$26+$Q153,(DCF_FCFF!$C$25+$P153)-0.02))*(1-DCF_FCFF!$C$27)*(1-DCF_FCFF!$C$28)/((DCF_FCFF!$C$25+$P153)-MIN(DCF_FCFF!$C$26+$Q153,(DCF_FCFF!$C$25+$P153)-0.02)))*(1+(DCF_FCFF!$C$25+$P153))^(-(Inputs!$C$9+9))</f>
        <v>26990.36020839959</v>
      </c>
      <c r="AC153" s="17">
        <f>SUMPRODUCT(R153:AA153*(1+(DCF_FCFF!$C$25+$P153))^(-Scenario_DT!$I$17:$R$17))+AB153</f>
        <v>43604.663641044142</v>
      </c>
      <c r="AD153" s="68">
        <f>((AC153-DCF_FCFF!$C$48)*(1-DCF_FCFF!$C$50)+DCF_FCFF!$C$57+DCF_FCFF!$C$58)/DCF_FCFF!$C$60</f>
        <v>322.10664282256118</v>
      </c>
      <c r="AE153" s="6"/>
      <c r="AF153" s="6"/>
      <c r="AG153" s="6"/>
    </row>
    <row r="154" spans="1:33" x14ac:dyDescent="0.3">
      <c r="A154" s="6"/>
      <c r="B154" s="72">
        <v>123</v>
      </c>
      <c r="C154" s="73">
        <v>0.55310380241127499</v>
      </c>
      <c r="D154" s="73">
        <v>0.65410240948235698</v>
      </c>
      <c r="E154" s="73">
        <v>0.96981511670556897</v>
      </c>
      <c r="F154" s="73">
        <v>0.98457808143162495</v>
      </c>
      <c r="G154" s="73">
        <v>0.28822824548790499</v>
      </c>
      <c r="H154" s="15">
        <f t="shared" si="11"/>
        <v>0.13350704230289306</v>
      </c>
      <c r="I154" s="15">
        <f t="shared" si="12"/>
        <v>0.39642004497162031</v>
      </c>
      <c r="J154" s="15">
        <f t="shared" si="13"/>
        <v>1.8780833287149916</v>
      </c>
      <c r="K154" s="15">
        <f t="shared" si="14"/>
        <v>2.1590815966480199</v>
      </c>
      <c r="L154" s="15">
        <f t="shared" si="15"/>
        <v>-0.55856813663361315</v>
      </c>
      <c r="M154" s="18">
        <f t="shared" si="16"/>
        <v>2.6701408460578615E-3</v>
      </c>
      <c r="N154" s="18">
        <f t="shared" si="17"/>
        <v>3.2805068053299146E-3</v>
      </c>
      <c r="O154" s="18">
        <f t="shared" si="18"/>
        <v>2.2536999944579899E-2</v>
      </c>
      <c r="P154" s="18">
        <f t="shared" si="19"/>
        <v>1.295448957988812E-2</v>
      </c>
      <c r="Q154" s="18">
        <f t="shared" si="20"/>
        <v>-2.2342725465344525E-3</v>
      </c>
      <c r="R154" s="28">
        <f>((Scenario_DT!I$11*(IF(Scenario_DT!I$18=1,1,1+$M154/Scenario_DT!$C$19)*(1+$N154)^MAX(0,Scenario_DT!I$18-3))*(Scenario_DT!I$12+$O154)-Scenario_DT!I$13)*(1-Scenario_DT!I$14)+Scenario_DT!I$13-Scenario_DT!I$15)*Scenario_DT!I$16</f>
        <v>942.75928210438201</v>
      </c>
      <c r="S154" s="28">
        <f>((Scenario_DT!J$11*(IF(Scenario_DT!J$18=1,1,1+$M154/Scenario_DT!$C$19)*(1+$N154)^MAX(0,Scenario_DT!J$18-3))*(Scenario_DT!J$12+$O154)-Scenario_DT!J$13)*(1-Scenario_DT!J$14)+Scenario_DT!J$13-Scenario_DT!J$15)*Scenario_DT!J$16</f>
        <v>1908.5447068393964</v>
      </c>
      <c r="T154" s="28">
        <f>((Scenario_DT!K$11*(IF(Scenario_DT!K$18=1,1,1+$M154/Scenario_DT!$C$19)*(1+$N154)^MAX(0,Scenario_DT!K$18-3))*(Scenario_DT!K$12+$O154)-Scenario_DT!K$13)*(1-Scenario_DT!K$14)+Scenario_DT!K$13-Scenario_DT!K$15)*Scenario_DT!K$16</f>
        <v>2176.0041808454721</v>
      </c>
      <c r="U154" s="28">
        <f>((Scenario_DT!L$11*(IF(Scenario_DT!L$18=1,1,1+$M154/Scenario_DT!$C$19)*(1+$N154)^MAX(0,Scenario_DT!L$18-3))*(Scenario_DT!L$12+$O154)-Scenario_DT!L$13)*(1-Scenario_DT!L$14)+Scenario_DT!L$13-Scenario_DT!L$15)*Scenario_DT!L$16</f>
        <v>2590.4707580579329</v>
      </c>
      <c r="V154" s="28">
        <f>((Scenario_DT!M$11*(IF(Scenario_DT!M$18=1,1,1+$M154/Scenario_DT!$C$19)*(1+$N154)^MAX(0,Scenario_DT!M$18-3))*(Scenario_DT!M$12+$O154)-Scenario_DT!M$13)*(1-Scenario_DT!M$14)+Scenario_DT!M$13-Scenario_DT!M$15)*Scenario_DT!M$16</f>
        <v>2728.2539520339055</v>
      </c>
      <c r="W154" s="28">
        <f>((Scenario_DT!N$11*(IF(Scenario_DT!N$18=1,1,1+$M154/Scenario_DT!$C$19)*(1+$N154)^MAX(0,Scenario_DT!N$18-3))*(Scenario_DT!N$12+$O154)-Scenario_DT!N$13)*(1-Scenario_DT!N$14)+Scenario_DT!N$13-Scenario_DT!N$15)*Scenario_DT!N$16</f>
        <v>2873.3632395627583</v>
      </c>
      <c r="X154" s="28">
        <f>((Scenario_DT!O$11*(IF(Scenario_DT!O$18=1,1,1+$M154/Scenario_DT!$C$19)*(1+$N154)^MAX(0,Scenario_DT!O$18-3))*(Scenario_DT!O$12+$O154)-Scenario_DT!O$13)*(1-Scenario_DT!O$14)+Scenario_DT!O$13-Scenario_DT!O$15)*Scenario_DT!O$16</f>
        <v>3026.1907847186089</v>
      </c>
      <c r="Y154" s="28">
        <f>((Scenario_DT!P$11*(IF(Scenario_DT!P$18=1,1,1+$M154/Scenario_DT!$C$19)*(1+$N154)^MAX(0,Scenario_DT!P$18-3))*(Scenario_DT!P$12+$O154)-Scenario_DT!P$13)*(1-Scenario_DT!P$14)+Scenario_DT!P$13-Scenario_DT!P$15)*Scenario_DT!P$16</f>
        <v>3187.1497615191506</v>
      </c>
      <c r="Z154" s="28">
        <f>((Scenario_DT!Q$11*(IF(Scenario_DT!Q$18=1,1,1+$M154/Scenario_DT!$C$19)*(1+$N154)^MAX(0,Scenario_DT!Q$18-3))*(Scenario_DT!Q$12+$O154)-Scenario_DT!Q$13)*(1-Scenario_DT!Q$14)+Scenario_DT!Q$13-Scenario_DT!Q$15)*Scenario_DT!Q$16</f>
        <v>3356.6754792930342</v>
      </c>
      <c r="AA154" s="28">
        <f>((Scenario_DT!R$11*(IF(Scenario_DT!R$18=1,1,1+$M154/Scenario_DT!$C$19)*(1+$N154)^MAX(0,Scenario_DT!R$18-3))*(Scenario_DT!R$12+$O154)-Scenario_DT!R$13)*(1-Scenario_DT!R$14)+Scenario_DT!R$13-Scenario_DT!R$15)*Scenario_DT!R$16</f>
        <v>3535.2265683056507</v>
      </c>
      <c r="AB154" s="17">
        <f>(Scenario_DT!$R$11*(1+$M154/Scenario_DT!$C$19)*(1+$N154)^7*(Scenario_DT!$R$12+$O154)*(1+MIN(DCF_FCFF!$C$26+$Q154,(DCF_FCFF!$C$25+$P154)-0.02))*(1-DCF_FCFF!$C$27)*(1-DCF_FCFF!$C$28)/((DCF_FCFF!$C$25+$P154)-MIN(DCF_FCFF!$C$26+$Q154,(DCF_FCFF!$C$25+$P154)-0.02)))*(1+(DCF_FCFF!$C$25+$P154))^(-(Inputs!$C$9+9))</f>
        <v>20435.6254660913</v>
      </c>
      <c r="AC154" s="17">
        <f>SUMPRODUCT(R154:AA154*(1+(DCF_FCFF!$C$25+$P154))^(-Scenario_DT!$I$17:$R$17))+AB154</f>
        <v>36709.429099837667</v>
      </c>
      <c r="AD154" s="68">
        <f>((AC154-DCF_FCFF!$C$48)*(1-DCF_FCFF!$C$50)+DCF_FCFF!$C$57+DCF_FCFF!$C$58)/DCF_FCFF!$C$60</f>
        <v>255.92088289506995</v>
      </c>
      <c r="AE154" s="6"/>
      <c r="AF154" s="6"/>
      <c r="AG154" s="6"/>
    </row>
    <row r="155" spans="1:33" x14ac:dyDescent="0.3">
      <c r="A155" s="6"/>
      <c r="B155" s="72">
        <v>124</v>
      </c>
      <c r="C155" s="73">
        <v>0.73375349743791596</v>
      </c>
      <c r="D155" s="73">
        <v>0.74998353793526895</v>
      </c>
      <c r="E155" s="73">
        <v>0.34649286131304902</v>
      </c>
      <c r="F155" s="73">
        <v>0.123869774864221</v>
      </c>
      <c r="G155" s="73">
        <v>4.09469602857198E-2</v>
      </c>
      <c r="H155" s="15">
        <f t="shared" si="11"/>
        <v>0.62420493681306177</v>
      </c>
      <c r="I155" s="15">
        <f t="shared" si="12"/>
        <v>0.67443794720442707</v>
      </c>
      <c r="J155" s="15">
        <f t="shared" si="13"/>
        <v>-0.39480646597674074</v>
      </c>
      <c r="K155" s="15">
        <f t="shared" si="14"/>
        <v>-1.1558572537687053</v>
      </c>
      <c r="L155" s="15">
        <f t="shared" si="15"/>
        <v>-1.7398012634308726</v>
      </c>
      <c r="M155" s="18">
        <f t="shared" si="16"/>
        <v>1.2484098736261235E-2</v>
      </c>
      <c r="N155" s="18">
        <f t="shared" si="17"/>
        <v>7.1694629116943421E-3</v>
      </c>
      <c r="O155" s="18">
        <f t="shared" si="18"/>
        <v>-4.7376775917208893E-3</v>
      </c>
      <c r="P155" s="18">
        <f t="shared" si="19"/>
        <v>-6.9351435226122317E-3</v>
      </c>
      <c r="Q155" s="18">
        <f t="shared" si="20"/>
        <v>-6.9592050537234905E-3</v>
      </c>
      <c r="R155" s="28">
        <f>((Scenario_DT!I$11*(IF(Scenario_DT!I$18=1,1,1+$M155/Scenario_DT!$C$19)*(1+$N155)^MAX(0,Scenario_DT!I$18-3))*(Scenario_DT!I$12+$O155)-Scenario_DT!I$13)*(1-Scenario_DT!I$14)+Scenario_DT!I$13-Scenario_DT!I$15)*Scenario_DT!I$16</f>
        <v>904.30492198199317</v>
      </c>
      <c r="S155" s="28">
        <f>((Scenario_DT!J$11*(IF(Scenario_DT!J$18=1,1,1+$M155/Scenario_DT!$C$19)*(1+$N155)^MAX(0,Scenario_DT!J$18-3))*(Scenario_DT!J$12+$O155)-Scenario_DT!J$13)*(1-Scenario_DT!J$14)+Scenario_DT!J$13-Scenario_DT!J$15)*Scenario_DT!J$16</f>
        <v>1846.9051194599333</v>
      </c>
      <c r="T155" s="28">
        <f>((Scenario_DT!K$11*(IF(Scenario_DT!K$18=1,1,1+$M155/Scenario_DT!$C$19)*(1+$N155)^MAX(0,Scenario_DT!K$18-3))*(Scenario_DT!K$12+$O155)-Scenario_DT!K$13)*(1-Scenario_DT!K$14)+Scenario_DT!K$13-Scenario_DT!K$15)*Scenario_DT!K$16</f>
        <v>2112.4590678048389</v>
      </c>
      <c r="U155" s="28">
        <f>((Scenario_DT!L$11*(IF(Scenario_DT!L$18=1,1,1+$M155/Scenario_DT!$C$19)*(1+$N155)^MAX(0,Scenario_DT!L$18-3))*(Scenario_DT!L$12+$O155)-Scenario_DT!L$13)*(1-Scenario_DT!L$14)+Scenario_DT!L$13-Scenario_DT!L$15)*Scenario_DT!L$16</f>
        <v>2532.6229855226156</v>
      </c>
      <c r="V155" s="28">
        <f>((Scenario_DT!M$11*(IF(Scenario_DT!M$18=1,1,1+$M155/Scenario_DT!$C$19)*(1+$N155)^MAX(0,Scenario_DT!M$18-3))*(Scenario_DT!M$12+$O155)-Scenario_DT!M$13)*(1-Scenario_DT!M$14)+Scenario_DT!M$13-Scenario_DT!M$15)*Scenario_DT!M$16</f>
        <v>2677.7251619142089</v>
      </c>
      <c r="W155" s="28">
        <f>((Scenario_DT!N$11*(IF(Scenario_DT!N$18=1,1,1+$M155/Scenario_DT!$C$19)*(1+$N155)^MAX(0,Scenario_DT!N$18-3))*(Scenario_DT!N$12+$O155)-Scenario_DT!N$13)*(1-Scenario_DT!N$14)+Scenario_DT!N$13-Scenario_DT!N$15)*Scenario_DT!N$16</f>
        <v>2831.1434934809913</v>
      </c>
      <c r="X155" s="28">
        <f>((Scenario_DT!O$11*(IF(Scenario_DT!O$18=1,1,1+$M155/Scenario_DT!$C$19)*(1+$N155)^MAX(0,Scenario_DT!O$18-3))*(Scenario_DT!O$12+$O155)-Scenario_DT!O$13)*(1-Scenario_DT!O$14)+Scenario_DT!O$13-Scenario_DT!O$15)*Scenario_DT!O$16</f>
        <v>2993.3575112750418</v>
      </c>
      <c r="Y155" s="28">
        <f>((Scenario_DT!P$11*(IF(Scenario_DT!P$18=1,1,1+$M155/Scenario_DT!$C$19)*(1+$N155)^MAX(0,Scenario_DT!P$18-3))*(Scenario_DT!P$12+$O155)-Scenario_DT!P$13)*(1-Scenario_DT!P$14)+Scenario_DT!P$13-Scenario_DT!P$15)*Scenario_DT!P$16</f>
        <v>3164.8744076236467</v>
      </c>
      <c r="Z155" s="28">
        <f>((Scenario_DT!Q$11*(IF(Scenario_DT!Q$18=1,1,1+$M155/Scenario_DT!$C$19)*(1+$N155)^MAX(0,Scenario_DT!Q$18-3))*(Scenario_DT!Q$12+$O155)-Scenario_DT!Q$13)*(1-Scenario_DT!Q$14)+Scenario_DT!Q$13-Scenario_DT!Q$15)*Scenario_DT!Q$16</f>
        <v>3346.2306309969108</v>
      </c>
      <c r="AA155" s="28">
        <f>((Scenario_DT!R$11*(IF(Scenario_DT!R$18=1,1,1+$M155/Scenario_DT!$C$19)*(1+$N155)^MAX(0,Scenario_DT!R$18-3))*(Scenario_DT!R$12+$O155)-Scenario_DT!R$13)*(1-Scenario_DT!R$14)+Scenario_DT!R$13-Scenario_DT!R$15)*Scenario_DT!R$16</f>
        <v>3537.9935727854904</v>
      </c>
      <c r="AB155" s="17">
        <f>(Scenario_DT!$R$11*(1+$M155/Scenario_DT!$C$19)*(1+$N155)^7*(Scenario_DT!$R$12+$O155)*(1+MIN(DCF_FCFF!$C$26+$Q155,(DCF_FCFF!$C$25+$P155)-0.02))*(1-DCF_FCFF!$C$27)*(1-DCF_FCFF!$C$28)/((DCF_FCFF!$C$25+$P155)-MIN(DCF_FCFF!$C$26+$Q155,(DCF_FCFF!$C$25+$P155)-0.02)))*(1+(DCF_FCFF!$C$25+$P155))^(-(Inputs!$C$9+9))</f>
        <v>31460.450602562454</v>
      </c>
      <c r="AC155" s="17">
        <f>SUMPRODUCT(R155:AA155*(1+(DCF_FCFF!$C$25+$P155))^(-Scenario_DT!$I$17:$R$17))+AB155</f>
        <v>48858.689049083681</v>
      </c>
      <c r="AD155" s="68">
        <f>((AC155-DCF_FCFF!$C$48)*(1-DCF_FCFF!$C$50)+DCF_FCFF!$C$57+DCF_FCFF!$C$58)/DCF_FCFF!$C$60</f>
        <v>372.53881626514851</v>
      </c>
      <c r="AE155" s="6"/>
      <c r="AF155" s="6"/>
      <c r="AG155" s="6"/>
    </row>
    <row r="156" spans="1:33" x14ac:dyDescent="0.3">
      <c r="A156" s="6"/>
      <c r="B156" s="72">
        <v>125</v>
      </c>
      <c r="C156" s="73">
        <v>0.777343127529179</v>
      </c>
      <c r="D156" s="73">
        <v>0.48969974181690601</v>
      </c>
      <c r="E156" s="73">
        <v>0.98554016949492596</v>
      </c>
      <c r="F156" s="73">
        <v>0.46497345619365299</v>
      </c>
      <c r="G156" s="73">
        <v>0.97791697907384001</v>
      </c>
      <c r="H156" s="15">
        <f t="shared" si="11"/>
        <v>0.76325095583666491</v>
      </c>
      <c r="I156" s="15">
        <f t="shared" si="12"/>
        <v>-2.5821787620253497E-2</v>
      </c>
      <c r="J156" s="15">
        <f t="shared" si="13"/>
        <v>2.1845799273544899</v>
      </c>
      <c r="K156" s="15">
        <f t="shared" si="14"/>
        <v>-8.7911630760860907E-2</v>
      </c>
      <c r="L156" s="15">
        <f t="shared" si="15"/>
        <v>2.0125115361287986</v>
      </c>
      <c r="M156" s="18">
        <f t="shared" si="16"/>
        <v>1.5265019116733298E-2</v>
      </c>
      <c r="N156" s="18">
        <f t="shared" si="17"/>
        <v>2.8741052309445314E-3</v>
      </c>
      <c r="O156" s="18">
        <f t="shared" si="18"/>
        <v>2.6214959128253879E-2</v>
      </c>
      <c r="P156" s="18">
        <f t="shared" si="19"/>
        <v>-5.2746978456516547E-4</v>
      </c>
      <c r="Q156" s="18">
        <f t="shared" si="20"/>
        <v>8.0500461445151949E-3</v>
      </c>
      <c r="R156" s="28">
        <f>((Scenario_DT!I$11*(IF(Scenario_DT!I$18=1,1,1+$M156/Scenario_DT!$C$19)*(1+$N156)^MAX(0,Scenario_DT!I$18-3))*(Scenario_DT!I$12+$O156)-Scenario_DT!I$13)*(1-Scenario_DT!I$14)+Scenario_DT!I$13-Scenario_DT!I$15)*Scenario_DT!I$16</f>
        <v>947.94480874447561</v>
      </c>
      <c r="S156" s="28">
        <f>((Scenario_DT!J$11*(IF(Scenario_DT!J$18=1,1,1+$M156/Scenario_DT!$C$19)*(1+$N156)^MAX(0,Scenario_DT!J$18-3))*(Scenario_DT!J$12+$O156)-Scenario_DT!J$13)*(1-Scenario_DT!J$14)+Scenario_DT!J$13-Scenario_DT!J$15)*Scenario_DT!J$16</f>
        <v>1951.2785613381534</v>
      </c>
      <c r="T156" s="28">
        <f>((Scenario_DT!K$11*(IF(Scenario_DT!K$18=1,1,1+$M156/Scenario_DT!$C$19)*(1+$N156)^MAX(0,Scenario_DT!K$18-3))*(Scenario_DT!K$12+$O156)-Scenario_DT!K$13)*(1-Scenario_DT!K$14)+Scenario_DT!K$13-Scenario_DT!K$15)*Scenario_DT!K$16</f>
        <v>2220.7187041541201</v>
      </c>
      <c r="U156" s="28">
        <f>((Scenario_DT!L$11*(IF(Scenario_DT!L$18=1,1,1+$M156/Scenario_DT!$C$19)*(1+$N156)^MAX(0,Scenario_DT!L$18-3))*(Scenario_DT!L$12+$O156)-Scenario_DT!L$13)*(1-Scenario_DT!L$14)+Scenario_DT!L$13-Scenario_DT!L$15)*Scenario_DT!L$16</f>
        <v>2637.0279005380526</v>
      </c>
      <c r="V156" s="28">
        <f>((Scenario_DT!M$11*(IF(Scenario_DT!M$18=1,1,1+$M156/Scenario_DT!$C$19)*(1+$N156)^MAX(0,Scenario_DT!M$18-3))*(Scenario_DT!M$12+$O156)-Scenario_DT!M$13)*(1-Scenario_DT!M$14)+Scenario_DT!M$13-Scenario_DT!M$15)*Scenario_DT!M$16</f>
        <v>2776.1668414304791</v>
      </c>
      <c r="W156" s="28">
        <f>((Scenario_DT!N$11*(IF(Scenario_DT!N$18=1,1,1+$M156/Scenario_DT!$C$19)*(1+$N156)^MAX(0,Scenario_DT!N$18-3))*(Scenario_DT!N$12+$O156)-Scenario_DT!N$13)*(1-Scenario_DT!N$14)+Scenario_DT!N$13-Scenario_DT!N$15)*Scenario_DT!N$16</f>
        <v>2922.6442916430397</v>
      </c>
      <c r="X156" s="28">
        <f>((Scenario_DT!O$11*(IF(Scenario_DT!O$18=1,1,1+$M156/Scenario_DT!$C$19)*(1+$N156)^MAX(0,Scenario_DT!O$18-3))*(Scenario_DT!O$12+$O156)-Scenario_DT!O$13)*(1-Scenario_DT!O$14)+Scenario_DT!O$13-Scenario_DT!O$15)*Scenario_DT!O$16</f>
        <v>3076.8498955362584</v>
      </c>
      <c r="Y156" s="28">
        <f>((Scenario_DT!P$11*(IF(Scenario_DT!P$18=1,1,1+$M156/Scenario_DT!$C$19)*(1+$N156)^MAX(0,Scenario_DT!P$18-3))*(Scenario_DT!P$12+$O156)-Scenario_DT!P$13)*(1-Scenario_DT!P$14)+Scenario_DT!P$13-Scenario_DT!P$15)*Scenario_DT!P$16</f>
        <v>3239.1940039793985</v>
      </c>
      <c r="Z156" s="28">
        <f>((Scenario_DT!Q$11*(IF(Scenario_DT!Q$18=1,1,1+$M156/Scenario_DT!$C$19)*(1+$N156)^MAX(0,Scenario_DT!Q$18-3))*(Scenario_DT!Q$12+$O156)-Scenario_DT!Q$13)*(1-Scenario_DT!Q$14)+Scenario_DT!Q$13-Scenario_DT!Q$15)*Scenario_DT!Q$16</f>
        <v>3410.1087745530931</v>
      </c>
      <c r="AA156" s="28">
        <f>((Scenario_DT!R$11*(IF(Scenario_DT!R$18=1,1,1+$M156/Scenario_DT!$C$19)*(1+$N156)^MAX(0,Scenario_DT!R$18-3))*(Scenario_DT!R$12+$O156)-Scenario_DT!R$13)*(1-Scenario_DT!R$14)+Scenario_DT!R$13-Scenario_DT!R$15)*Scenario_DT!R$16</f>
        <v>3590.0493301910797</v>
      </c>
      <c r="AB156" s="17">
        <f>(Scenario_DT!$R$11*(1+$M156/Scenario_DT!$C$19)*(1+$N156)^7*(Scenario_DT!$R$12+$O156)*(1+MIN(DCF_FCFF!$C$26+$Q156,(DCF_FCFF!$C$25+$P156)-0.02))*(1-DCF_FCFF!$C$27)*(1-DCF_FCFF!$C$28)/((DCF_FCFF!$C$25+$P156)-MIN(DCF_FCFF!$C$26+$Q156,(DCF_FCFF!$C$25+$P156)-0.02)))*(1+(DCF_FCFF!$C$25+$P156))^(-(Inputs!$C$9+9))</f>
        <v>36923.321809164001</v>
      </c>
      <c r="AC156" s="17">
        <f>SUMPRODUCT(R156:AA156*(1+(DCF_FCFF!$C$25+$P156))^(-Scenario_DT!$I$17:$R$17))+AB156</f>
        <v>54435.648088306931</v>
      </c>
      <c r="AD156" s="68">
        <f>((AC156-DCF_FCFF!$C$48)*(1-DCF_FCFF!$C$50)+DCF_FCFF!$C$57+DCF_FCFF!$C$58)/DCF_FCFF!$C$60</f>
        <v>426.0707548655862</v>
      </c>
      <c r="AE156" s="6"/>
      <c r="AF156" s="6"/>
      <c r="AG156" s="6"/>
    </row>
    <row r="157" spans="1:33" x14ac:dyDescent="0.3">
      <c r="A157" s="6"/>
      <c r="B157" s="72">
        <v>126</v>
      </c>
      <c r="C157" s="73">
        <v>0.41157600219405999</v>
      </c>
      <c r="D157" s="73">
        <v>0.79368215055997304</v>
      </c>
      <c r="E157" s="73">
        <v>8.4819272311832103E-2</v>
      </c>
      <c r="F157" s="73">
        <v>0.55546171013776402</v>
      </c>
      <c r="G157" s="73">
        <v>0.802059786985724</v>
      </c>
      <c r="H157" s="15">
        <f t="shared" si="11"/>
        <v>-0.22349277662274569</v>
      </c>
      <c r="I157" s="15">
        <f t="shared" si="12"/>
        <v>0.81926419005291384</v>
      </c>
      <c r="J157" s="15">
        <f t="shared" si="13"/>
        <v>-1.3733661591218114</v>
      </c>
      <c r="K157" s="15">
        <f t="shared" si="14"/>
        <v>0.13947276022639274</v>
      </c>
      <c r="L157" s="15">
        <f t="shared" si="15"/>
        <v>0.84900155676717903</v>
      </c>
      <c r="M157" s="18">
        <f t="shared" si="16"/>
        <v>-4.4698555324549144E-3</v>
      </c>
      <c r="N157" s="18">
        <f t="shared" si="17"/>
        <v>4.7820577014826629E-3</v>
      </c>
      <c r="O157" s="18">
        <f t="shared" si="18"/>
        <v>-1.6480393909461738E-2</v>
      </c>
      <c r="P157" s="18">
        <f t="shared" si="19"/>
        <v>8.3683656135835648E-4</v>
      </c>
      <c r="Q157" s="18">
        <f t="shared" si="20"/>
        <v>3.3960062270687163E-3</v>
      </c>
      <c r="R157" s="28">
        <f>((Scenario_DT!I$11*(IF(Scenario_DT!I$18=1,1,1+$M157/Scenario_DT!$C$19)*(1+$N157)^MAX(0,Scenario_DT!I$18-3))*(Scenario_DT!I$12+$O157)-Scenario_DT!I$13)*(1-Scenario_DT!I$14)+Scenario_DT!I$13-Scenario_DT!I$15)*Scenario_DT!I$16</f>
        <v>887.74895568334614</v>
      </c>
      <c r="S157" s="28">
        <f>((Scenario_DT!J$11*(IF(Scenario_DT!J$18=1,1,1+$M157/Scenario_DT!$C$19)*(1+$N157)^MAX(0,Scenario_DT!J$18-3))*(Scenario_DT!J$12+$O157)-Scenario_DT!J$13)*(1-Scenario_DT!J$14)+Scenario_DT!J$13-Scenario_DT!J$15)*Scenario_DT!J$16</f>
        <v>1770.2246772109779</v>
      </c>
      <c r="T157" s="28">
        <f>((Scenario_DT!K$11*(IF(Scenario_DT!K$18=1,1,1+$M157/Scenario_DT!$C$19)*(1+$N157)^MAX(0,Scenario_DT!K$18-3))*(Scenario_DT!K$12+$O157)-Scenario_DT!K$13)*(1-Scenario_DT!K$14)+Scenario_DT!K$13-Scenario_DT!K$15)*Scenario_DT!K$16</f>
        <v>2032.416541372284</v>
      </c>
      <c r="U157" s="28">
        <f>((Scenario_DT!L$11*(IF(Scenario_DT!L$18=1,1,1+$M157/Scenario_DT!$C$19)*(1+$N157)^MAX(0,Scenario_DT!L$18-3))*(Scenario_DT!L$12+$O157)-Scenario_DT!L$13)*(1-Scenario_DT!L$14)+Scenario_DT!L$13-Scenario_DT!L$15)*Scenario_DT!L$16</f>
        <v>2441.1858986602724</v>
      </c>
      <c r="V157" s="28">
        <f>((Scenario_DT!M$11*(IF(Scenario_DT!M$18=1,1,1+$M157/Scenario_DT!$C$19)*(1+$N157)^MAX(0,Scenario_DT!M$18-3))*(Scenario_DT!M$12+$O157)-Scenario_DT!M$13)*(1-Scenario_DT!M$14)+Scenario_DT!M$13-Scenario_DT!M$15)*Scenario_DT!M$16</f>
        <v>2574.8660817016084</v>
      </c>
      <c r="W157" s="28">
        <f>((Scenario_DT!N$11*(IF(Scenario_DT!N$18=1,1,1+$M157/Scenario_DT!$C$19)*(1+$N157)^MAX(0,Scenario_DT!N$18-3))*(Scenario_DT!N$12+$O157)-Scenario_DT!N$13)*(1-Scenario_DT!N$14)+Scenario_DT!N$13-Scenario_DT!N$15)*Scenario_DT!N$16</f>
        <v>2715.8663064720758</v>
      </c>
      <c r="X157" s="28">
        <f>((Scenario_DT!O$11*(IF(Scenario_DT!O$18=1,1,1+$M157/Scenario_DT!$C$19)*(1+$N157)^MAX(0,Scenario_DT!O$18-3))*(Scenario_DT!O$12+$O157)-Scenario_DT!O$13)*(1-Scenario_DT!O$14)+Scenario_DT!O$13-Scenario_DT!O$15)*Scenario_DT!O$16</f>
        <v>2864.5901458631911</v>
      </c>
      <c r="Y157" s="28">
        <f>((Scenario_DT!P$11*(IF(Scenario_DT!P$18=1,1,1+$M157/Scenario_DT!$C$19)*(1+$N157)^MAX(0,Scenario_DT!P$18-3))*(Scenario_DT!P$12+$O157)-Scenario_DT!P$13)*(1-Scenario_DT!P$14)+Scenario_DT!P$13-Scenario_DT!P$15)*Scenario_DT!P$16</f>
        <v>3021.4634379712056</v>
      </c>
      <c r="Z157" s="28">
        <f>((Scenario_DT!Q$11*(IF(Scenario_DT!Q$18=1,1,1+$M157/Scenario_DT!$C$19)*(1+$N157)^MAX(0,Scenario_DT!Q$18-3))*(Scenario_DT!Q$12+$O157)-Scenario_DT!Q$13)*(1-Scenario_DT!Q$14)+Scenario_DT!Q$13-Scenario_DT!Q$15)*Scenario_DT!Q$16</f>
        <v>3186.9355140687094</v>
      </c>
      <c r="AA157" s="28">
        <f>((Scenario_DT!R$11*(IF(Scenario_DT!R$18=1,1,1+$M157/Scenario_DT!$C$19)*(1+$N157)^MAX(0,Scenario_DT!R$18-3))*(Scenario_DT!R$12+$O157)-Scenario_DT!R$13)*(1-Scenario_DT!R$14)+Scenario_DT!R$13-Scenario_DT!R$15)*Scenario_DT!R$16</f>
        <v>3361.4804942724891</v>
      </c>
      <c r="AB157" s="17">
        <f>(Scenario_DT!$R$11*(1+$M157/Scenario_DT!$C$19)*(1+$N157)^7*(Scenario_DT!$R$12+$O157)*(1+MIN(DCF_FCFF!$C$26+$Q157,(DCF_FCFF!$C$25+$P157)-0.02))*(1-DCF_FCFF!$C$27)*(1-DCF_FCFF!$C$28)/((DCF_FCFF!$C$25+$P157)-MIN(DCF_FCFF!$C$26+$Q157,(DCF_FCFF!$C$25+$P157)-0.02)))*(1+(DCF_FCFF!$C$25+$P157))^(-(Inputs!$C$9+9))</f>
        <v>29750.224491959198</v>
      </c>
      <c r="AC157" s="17">
        <f>SUMPRODUCT(R157:AA157*(1+(DCF_FCFF!$C$25+$P157))^(-Scenario_DT!$I$17:$R$17))+AB157</f>
        <v>45890.219647947823</v>
      </c>
      <c r="AD157" s="68">
        <f>((AC157-DCF_FCFF!$C$48)*(1-DCF_FCFF!$C$50)+DCF_FCFF!$C$57+DCF_FCFF!$C$58)/DCF_FCFF!$C$60</f>
        <v>344.04516576471104</v>
      </c>
      <c r="AE157" s="6"/>
      <c r="AF157" s="6"/>
      <c r="AG157" s="6"/>
    </row>
    <row r="158" spans="1:33" x14ac:dyDescent="0.3">
      <c r="A158" s="6"/>
      <c r="B158" s="72">
        <v>127</v>
      </c>
      <c r="C158" s="73">
        <v>0.924701667219889</v>
      </c>
      <c r="D158" s="73">
        <v>0.82258309061743196</v>
      </c>
      <c r="E158" s="73">
        <v>3.6970727201174197E-2</v>
      </c>
      <c r="F158" s="73">
        <v>0.37270234130673402</v>
      </c>
      <c r="G158" s="73">
        <v>4.8698472313851299E-2</v>
      </c>
      <c r="H158" s="15">
        <f t="shared" si="11"/>
        <v>1.4374271265197061</v>
      </c>
      <c r="I158" s="15">
        <f t="shared" si="12"/>
        <v>0.92525396458926901</v>
      </c>
      <c r="J158" s="15">
        <f t="shared" si="13"/>
        <v>-1.7869754633068353</v>
      </c>
      <c r="K158" s="15">
        <f t="shared" si="14"/>
        <v>-0.32470456068990033</v>
      </c>
      <c r="L158" s="15">
        <f t="shared" si="15"/>
        <v>-1.6576063624694402</v>
      </c>
      <c r="M158" s="18">
        <f t="shared" si="16"/>
        <v>2.8748542530394123E-2</v>
      </c>
      <c r="N158" s="18">
        <f t="shared" si="17"/>
        <v>1.2160056012371419E-2</v>
      </c>
      <c r="O158" s="18">
        <f t="shared" si="18"/>
        <v>-2.1443705559682023E-2</v>
      </c>
      <c r="P158" s="18">
        <f t="shared" si="19"/>
        <v>-1.9482273641394021E-3</v>
      </c>
      <c r="Q158" s="18">
        <f t="shared" si="20"/>
        <v>-6.6304254498777606E-3</v>
      </c>
      <c r="R158" s="28">
        <f>((Scenario_DT!I$11*(IF(Scenario_DT!I$18=1,1,1+$M158/Scenario_DT!$C$19)*(1+$N158)^MAX(0,Scenario_DT!I$18-3))*(Scenario_DT!I$12+$O158)-Scenario_DT!I$13)*(1-Scenario_DT!I$14)+Scenario_DT!I$13-Scenario_DT!I$15)*Scenario_DT!I$16</f>
        <v>880.75122039048347</v>
      </c>
      <c r="S158" s="28">
        <f>((Scenario_DT!J$11*(IF(Scenario_DT!J$18=1,1,1+$M158/Scenario_DT!$C$19)*(1+$N158)^MAX(0,Scenario_DT!J$18-3))*(Scenario_DT!J$12+$O158)-Scenario_DT!J$13)*(1-Scenario_DT!J$14)+Scenario_DT!J$13-Scenario_DT!J$15)*Scenario_DT!J$16</f>
        <v>1832.1200445904556</v>
      </c>
      <c r="T158" s="28">
        <f>((Scenario_DT!K$11*(IF(Scenario_DT!K$18=1,1,1+$M158/Scenario_DT!$C$19)*(1+$N158)^MAX(0,Scenario_DT!K$18-3))*(Scenario_DT!K$12+$O158)-Scenario_DT!K$13)*(1-Scenario_DT!K$14)+Scenario_DT!K$13-Scenario_DT!K$15)*Scenario_DT!K$16</f>
        <v>2097.6899086607282</v>
      </c>
      <c r="U158" s="28">
        <f>((Scenario_DT!L$11*(IF(Scenario_DT!L$18=1,1,1+$M158/Scenario_DT!$C$19)*(1+$N158)^MAX(0,Scenario_DT!L$18-3))*(Scenario_DT!L$12+$O158)-Scenario_DT!L$13)*(1-Scenario_DT!L$14)+Scenario_DT!L$13-Scenario_DT!L$15)*Scenario_DT!L$16</f>
        <v>2529.3836781564814</v>
      </c>
      <c r="V158" s="28">
        <f>((Scenario_DT!M$11*(IF(Scenario_DT!M$18=1,1,1+$M158/Scenario_DT!$C$19)*(1+$N158)^MAX(0,Scenario_DT!M$18-3))*(Scenario_DT!M$12+$O158)-Scenario_DT!M$13)*(1-Scenario_DT!M$14)+Scenario_DT!M$13-Scenario_DT!M$15)*Scenario_DT!M$16</f>
        <v>2687.6422112904006</v>
      </c>
      <c r="W158" s="28">
        <f>((Scenario_DT!N$11*(IF(Scenario_DT!N$18=1,1,1+$M158/Scenario_DT!$C$19)*(1+$N158)^MAX(0,Scenario_DT!N$18-3))*(Scenario_DT!N$12+$O158)-Scenario_DT!N$13)*(1-Scenario_DT!N$14)+Scenario_DT!N$13-Scenario_DT!N$15)*Scenario_DT!N$16</f>
        <v>2855.811253492323</v>
      </c>
      <c r="X158" s="28">
        <f>((Scenario_DT!O$11*(IF(Scenario_DT!O$18=1,1,1+$M158/Scenario_DT!$C$19)*(1+$N158)^MAX(0,Scenario_DT!O$18-3))*(Scenario_DT!O$12+$O158)-Scenario_DT!O$13)*(1-Scenario_DT!O$14)+Scenario_DT!O$13-Scenario_DT!O$15)*Scenario_DT!O$16</f>
        <v>3034.5146236914798</v>
      </c>
      <c r="Y158" s="28">
        <f>((Scenario_DT!P$11*(IF(Scenario_DT!P$18=1,1,1+$M158/Scenario_DT!$C$19)*(1+$N158)^MAX(0,Scenario_DT!P$18-3))*(Scenario_DT!P$12+$O158)-Scenario_DT!P$13)*(1-Scenario_DT!P$14)+Scenario_DT!P$13-Scenario_DT!P$15)*Scenario_DT!P$16</f>
        <v>3224.4154022666648</v>
      </c>
      <c r="Z158" s="28">
        <f>((Scenario_DT!Q$11*(IF(Scenario_DT!Q$18=1,1,1+$M158/Scenario_DT!$C$19)*(1+$N158)^MAX(0,Scenario_DT!Q$18-3))*(Scenario_DT!Q$12+$O158)-Scenario_DT!Q$13)*(1-Scenario_DT!Q$14)+Scenario_DT!Q$13-Scenario_DT!Q$15)*Scenario_DT!Q$16</f>
        <v>3426.2184003568323</v>
      </c>
      <c r="AA158" s="28">
        <f>((Scenario_DT!R$11*(IF(Scenario_DT!R$18=1,1,1+$M158/Scenario_DT!$C$19)*(1+$N158)^MAX(0,Scenario_DT!R$18-3))*(Scenario_DT!R$12+$O158)-Scenario_DT!R$13)*(1-Scenario_DT!R$14)+Scenario_DT!R$13-Scenario_DT!R$15)*Scenario_DT!R$16</f>
        <v>3640.6727843865319</v>
      </c>
      <c r="AB158" s="17">
        <f>(Scenario_DT!$R$11*(1+$M158/Scenario_DT!$C$19)*(1+$N158)^7*(Scenario_DT!$R$12+$O158)*(1+MIN(DCF_FCFF!$C$26+$Q158,(DCF_FCFF!$C$25+$P158)-0.02))*(1-DCF_FCFF!$C$27)*(1-DCF_FCFF!$C$28)/((DCF_FCFF!$C$25+$P158)-MIN(DCF_FCFF!$C$26+$Q158,(DCF_FCFF!$C$25+$P158)-0.02)))*(1+(DCF_FCFF!$C$25+$P158))^(-(Inputs!$C$9+9))</f>
        <v>28377.000060813956</v>
      </c>
      <c r="AC158" s="17">
        <f>SUMPRODUCT(R158:AA158*(1+(DCF_FCFF!$C$25+$P158))^(-Scenario_DT!$I$17:$R$17))+AB158</f>
        <v>45523.082074661332</v>
      </c>
      <c r="AD158" s="68">
        <f>((AC158-DCF_FCFF!$C$48)*(1-DCF_FCFF!$C$50)+DCF_FCFF!$C$57+DCF_FCFF!$C$58)/DCF_FCFF!$C$60</f>
        <v>340.52109720102595</v>
      </c>
      <c r="AE158" s="6"/>
      <c r="AF158" s="6"/>
      <c r="AG158" s="6"/>
    </row>
    <row r="159" spans="1:33" x14ac:dyDescent="0.3">
      <c r="A159" s="6"/>
      <c r="B159" s="72">
        <v>128</v>
      </c>
      <c r="C159" s="73">
        <v>0.10928229111455801</v>
      </c>
      <c r="D159" s="73">
        <v>0.675305628667484</v>
      </c>
      <c r="E159" s="73">
        <v>0.71325819631169796</v>
      </c>
      <c r="F159" s="73">
        <v>0.77372068275162598</v>
      </c>
      <c r="G159" s="73">
        <v>0.86545654805566297</v>
      </c>
      <c r="H159" s="15">
        <f t="shared" ref="H159:H222" si="21">NORMSINV(C159)</f>
        <v>-1.2303539700914679</v>
      </c>
      <c r="I159" s="15">
        <f t="shared" ref="I159:I222" si="22">NORMSINV(D159)</f>
        <v>0.45461152396160476</v>
      </c>
      <c r="J159" s="15">
        <f t="shared" ref="J159:J222" si="23">NORMSINV(E159)</f>
        <v>0.56292844861508429</v>
      </c>
      <c r="K159" s="15">
        <f t="shared" ref="K159:K222" si="24">NORMSINV(F159)</f>
        <v>0.75115623663750175</v>
      </c>
      <c r="L159" s="15">
        <f t="shared" ref="L159:L222" si="25">NORMSINV(G159)</f>
        <v>1.1051677600832379</v>
      </c>
      <c r="M159" s="18">
        <f t="shared" ref="M159:M222" si="26">H159*$C$5</f>
        <v>-2.4607079401829358E-2</v>
      </c>
      <c r="N159" s="18">
        <f t="shared" ref="N159:N222" si="27">($C$10*H159+SQRT(1-$C$10^2)*I159)*$C$6</f>
        <v>-1.7717748515346098E-3</v>
      </c>
      <c r="O159" s="18">
        <f t="shared" ref="O159:O222" si="28">J159*$C$7</f>
        <v>6.7551413833810119E-3</v>
      </c>
      <c r="P159" s="18">
        <f t="shared" ref="P159:P222" si="29">K159*$C$8</f>
        <v>4.5069374198250106E-3</v>
      </c>
      <c r="Q159" s="18">
        <f t="shared" ref="Q159:Q222" si="30">L159*$C$9</f>
        <v>4.4206710403329515E-3</v>
      </c>
      <c r="R159" s="28">
        <f>((Scenario_DT!I$11*(IF(Scenario_DT!I$18=1,1,1+$M159/Scenario_DT!$C$19)*(1+$N159)^MAX(0,Scenario_DT!I$18-3))*(Scenario_DT!I$12+$O159)-Scenario_DT!I$13)*(1-Scenario_DT!I$14)+Scenario_DT!I$13-Scenario_DT!I$15)*Scenario_DT!I$16</f>
        <v>920.50855992058246</v>
      </c>
      <c r="S159" s="28">
        <f>((Scenario_DT!J$11*(IF(Scenario_DT!J$18=1,1,1+$M159/Scenario_DT!$C$19)*(1+$N159)^MAX(0,Scenario_DT!J$18-3))*(Scenario_DT!J$12+$O159)-Scenario_DT!J$13)*(1-Scenario_DT!J$14)+Scenario_DT!J$13-Scenario_DT!J$15)*Scenario_DT!J$16</f>
        <v>1793.3878393106556</v>
      </c>
      <c r="T159" s="28">
        <f>((Scenario_DT!K$11*(IF(Scenario_DT!K$18=1,1,1+$M159/Scenario_DT!$C$19)*(1+$N159)^MAX(0,Scenario_DT!K$18-3))*(Scenario_DT!K$12+$O159)-Scenario_DT!K$13)*(1-Scenario_DT!K$14)+Scenario_DT!K$13-Scenario_DT!K$15)*Scenario_DT!K$16</f>
        <v>2055.7364617192334</v>
      </c>
      <c r="U159" s="28">
        <f>((Scenario_DT!L$11*(IF(Scenario_DT!L$18=1,1,1+$M159/Scenario_DT!$C$19)*(1+$N159)^MAX(0,Scenario_DT!L$18-3))*(Scenario_DT!L$12+$O159)-Scenario_DT!L$13)*(1-Scenario_DT!L$14)+Scenario_DT!L$13-Scenario_DT!L$15)*Scenario_DT!L$16</f>
        <v>2449.8695364419864</v>
      </c>
      <c r="V159" s="28">
        <f>((Scenario_DT!M$11*(IF(Scenario_DT!M$18=1,1,1+$M159/Scenario_DT!$C$19)*(1+$N159)^MAX(0,Scenario_DT!M$18-3))*(Scenario_DT!M$12+$O159)-Scenario_DT!M$13)*(1-Scenario_DT!M$14)+Scenario_DT!M$13-Scenario_DT!M$15)*Scenario_DT!M$16</f>
        <v>2567.0525419670676</v>
      </c>
      <c r="W159" s="28">
        <f>((Scenario_DT!N$11*(IF(Scenario_DT!N$18=1,1,1+$M159/Scenario_DT!$C$19)*(1+$N159)^MAX(0,Scenario_DT!N$18-3))*(Scenario_DT!N$12+$O159)-Scenario_DT!N$13)*(1-Scenario_DT!N$14)+Scenario_DT!N$13-Scenario_DT!N$15)*Scenario_DT!N$16</f>
        <v>2689.8307269007755</v>
      </c>
      <c r="X159" s="28">
        <f>((Scenario_DT!O$11*(IF(Scenario_DT!O$18=1,1,1+$M159/Scenario_DT!$C$19)*(1+$N159)^MAX(0,Scenario_DT!O$18-3))*(Scenario_DT!O$12+$O159)-Scenario_DT!O$13)*(1-Scenario_DT!O$14)+Scenario_DT!O$13-Scenario_DT!O$15)*Scenario_DT!O$16</f>
        <v>2818.473422015009</v>
      </c>
      <c r="Y159" s="28">
        <f>((Scenario_DT!P$11*(IF(Scenario_DT!P$18=1,1,1+$M159/Scenario_DT!$C$19)*(1+$N159)^MAX(0,Scenario_DT!P$18-3))*(Scenario_DT!P$12+$O159)-Scenario_DT!P$13)*(1-Scenario_DT!P$14)+Scenario_DT!P$13-Scenario_DT!P$15)*Scenario_DT!P$16</f>
        <v>2953.2629434028763</v>
      </c>
      <c r="Z159" s="28">
        <f>((Scenario_DT!Q$11*(IF(Scenario_DT!Q$18=1,1,1+$M159/Scenario_DT!$C$19)*(1+$N159)^MAX(0,Scenario_DT!Q$18-3))*(Scenario_DT!Q$12+$O159)-Scenario_DT!Q$13)*(1-Scenario_DT!Q$14)+Scenario_DT!Q$13-Scenario_DT!Q$15)*Scenario_DT!Q$16</f>
        <v>3094.4952186970495</v>
      </c>
      <c r="AA159" s="28">
        <f>((Scenario_DT!R$11*(IF(Scenario_DT!R$18=1,1,1+$M159/Scenario_DT!$C$19)*(1+$N159)^MAX(0,Scenario_DT!R$18-3))*(Scenario_DT!R$12+$O159)-Scenario_DT!R$13)*(1-Scenario_DT!R$14)+Scenario_DT!R$13-Scenario_DT!R$15)*Scenario_DT!R$16</f>
        <v>3242.4804434866228</v>
      </c>
      <c r="AB159" s="17">
        <f>(Scenario_DT!$R$11*(1+$M159/Scenario_DT!$C$19)*(1+$N159)^7*(Scenario_DT!$R$12+$O159)*(1+MIN(DCF_FCFF!$C$26+$Q159,(DCF_FCFF!$C$25+$P159)-0.02))*(1-DCF_FCFF!$C$27)*(1-DCF_FCFF!$C$28)/((DCF_FCFF!$C$25+$P159)-MIN(DCF_FCFF!$C$26+$Q159,(DCF_FCFF!$C$25+$P159)-0.02)))*(1+(DCF_FCFF!$C$25+$P159))^(-(Inputs!$C$9+9))</f>
        <v>26376.021980790054</v>
      </c>
      <c r="AC159" s="17">
        <f>SUMPRODUCT(R159:AA159*(1+(DCF_FCFF!$C$25+$P159))^(-Scenario_DT!$I$17:$R$17))+AB159</f>
        <v>42164.140865414549</v>
      </c>
      <c r="AD159" s="68">
        <f>((AC159-DCF_FCFF!$C$48)*(1-DCF_FCFF!$C$50)+DCF_FCFF!$C$57+DCF_FCFF!$C$58)/DCF_FCFF!$C$60</f>
        <v>308.27939821933097</v>
      </c>
      <c r="AE159" s="6"/>
      <c r="AF159" s="6"/>
      <c r="AG159" s="6"/>
    </row>
    <row r="160" spans="1:33" x14ac:dyDescent="0.3">
      <c r="A160" s="6"/>
      <c r="B160" s="72">
        <v>129</v>
      </c>
      <c r="C160" s="73">
        <v>0.73943146847650998</v>
      </c>
      <c r="D160" s="73">
        <v>0.80087159210663195</v>
      </c>
      <c r="E160" s="73">
        <v>4.8963709823279203E-2</v>
      </c>
      <c r="F160" s="73">
        <v>0.234535150441299</v>
      </c>
      <c r="G160" s="73">
        <v>0.62189777337524599</v>
      </c>
      <c r="H160" s="15">
        <f t="shared" si="21"/>
        <v>0.64159364077095193</v>
      </c>
      <c r="I160" s="15">
        <f t="shared" si="22"/>
        <v>0.84473857675342756</v>
      </c>
      <c r="J160" s="15">
        <f t="shared" si="23"/>
        <v>-1.6549855965054294</v>
      </c>
      <c r="K160" s="15">
        <f t="shared" si="24"/>
        <v>-0.7239925629621452</v>
      </c>
      <c r="L160" s="15">
        <f t="shared" si="25"/>
        <v>0.31046883786818164</v>
      </c>
      <c r="M160" s="18">
        <f t="shared" si="26"/>
        <v>1.2831872815419039E-2</v>
      </c>
      <c r="N160" s="18">
        <f t="shared" si="27"/>
        <v>8.4188950992852406E-3</v>
      </c>
      <c r="O160" s="18">
        <f t="shared" si="28"/>
        <v>-1.9859827158065155E-2</v>
      </c>
      <c r="P160" s="18">
        <f t="shared" si="29"/>
        <v>-4.3439553777728712E-3</v>
      </c>
      <c r="Q160" s="18">
        <f t="shared" si="30"/>
        <v>1.2418753514727265E-3</v>
      </c>
      <c r="R160" s="28">
        <f>((Scenario_DT!I$11*(IF(Scenario_DT!I$18=1,1,1+$M160/Scenario_DT!$C$19)*(1+$N160)^MAX(0,Scenario_DT!I$18-3))*(Scenario_DT!I$12+$O160)-Scenario_DT!I$13)*(1-Scenario_DT!I$14)+Scenario_DT!I$13-Scenario_DT!I$15)*Scenario_DT!I$16</f>
        <v>882.9843184854027</v>
      </c>
      <c r="S160" s="28">
        <f>((Scenario_DT!J$11*(IF(Scenario_DT!J$18=1,1,1+$M160/Scenario_DT!$C$19)*(1+$N160)^MAX(0,Scenario_DT!J$18-3))*(Scenario_DT!J$12+$O160)-Scenario_DT!J$13)*(1-Scenario_DT!J$14)+Scenario_DT!J$13-Scenario_DT!J$15)*Scenario_DT!J$16</f>
        <v>1800.0965229853814</v>
      </c>
      <c r="T160" s="28">
        <f>((Scenario_DT!K$11*(IF(Scenario_DT!K$18=1,1,1+$M160/Scenario_DT!$C$19)*(1+$N160)^MAX(0,Scenario_DT!K$18-3))*(Scenario_DT!K$12+$O160)-Scenario_DT!K$13)*(1-Scenario_DT!K$14)+Scenario_DT!K$13-Scenario_DT!K$15)*Scenario_DT!K$16</f>
        <v>2063.9618517999311</v>
      </c>
      <c r="U160" s="28">
        <f>((Scenario_DT!L$11*(IF(Scenario_DT!L$18=1,1,1+$M160/Scenario_DT!$C$19)*(1+$N160)^MAX(0,Scenario_DT!L$18-3))*(Scenario_DT!L$12+$O160)-Scenario_DT!L$13)*(1-Scenario_DT!L$14)+Scenario_DT!L$13-Scenario_DT!L$15)*Scenario_DT!L$16</f>
        <v>2483.8589890731173</v>
      </c>
      <c r="V160" s="28">
        <f>((Scenario_DT!M$11*(IF(Scenario_DT!M$18=1,1,1+$M160/Scenario_DT!$C$19)*(1+$N160)^MAX(0,Scenario_DT!M$18-3))*(Scenario_DT!M$12+$O160)-Scenario_DT!M$13)*(1-Scenario_DT!M$14)+Scenario_DT!M$13-Scenario_DT!M$15)*Scenario_DT!M$16</f>
        <v>2629.4365956523234</v>
      </c>
      <c r="W160" s="28">
        <f>((Scenario_DT!N$11*(IF(Scenario_DT!N$18=1,1,1+$M160/Scenario_DT!$C$19)*(1+$N160)^MAX(0,Scenario_DT!N$18-3))*(Scenario_DT!N$12+$O160)-Scenario_DT!N$13)*(1-Scenario_DT!N$14)+Scenario_DT!N$13-Scenario_DT!N$15)*Scenario_DT!N$16</f>
        <v>2783.5507450963751</v>
      </c>
      <c r="X160" s="28">
        <f>((Scenario_DT!O$11*(IF(Scenario_DT!O$18=1,1,1+$M160/Scenario_DT!$C$19)*(1+$N160)^MAX(0,Scenario_DT!O$18-3))*(Scenario_DT!O$12+$O160)-Scenario_DT!O$13)*(1-Scenario_DT!O$14)+Scenario_DT!O$13-Scenario_DT!O$15)*Scenario_DT!O$16</f>
        <v>2946.7050051825672</v>
      </c>
      <c r="Y160" s="28">
        <f>((Scenario_DT!P$11*(IF(Scenario_DT!P$18=1,1,1+$M160/Scenario_DT!$C$19)*(1+$N160)^MAX(0,Scenario_DT!P$18-3))*(Scenario_DT!P$12+$O160)-Scenario_DT!P$13)*(1-Scenario_DT!P$14)+Scenario_DT!P$13-Scenario_DT!P$15)*Scenario_DT!P$16</f>
        <v>3119.4326560657578</v>
      </c>
      <c r="Z160" s="28">
        <f>((Scenario_DT!Q$11*(IF(Scenario_DT!Q$18=1,1,1+$M160/Scenario_DT!$C$19)*(1+$N160)^MAX(0,Scenario_DT!Q$18-3))*(Scenario_DT!Q$12+$O160)-Scenario_DT!Q$13)*(1-Scenario_DT!Q$14)+Scenario_DT!Q$13-Scenario_DT!Q$15)*Scenario_DT!Q$16</f>
        <v>3302.2984424654419</v>
      </c>
      <c r="AA160" s="28">
        <f>((Scenario_DT!R$11*(IF(Scenario_DT!R$18=1,1,1+$M160/Scenario_DT!$C$19)*(1+$N160)^MAX(0,Scenario_DT!R$18-3))*(Scenario_DT!R$12+$O160)-Scenario_DT!R$13)*(1-Scenario_DT!R$14)+Scenario_DT!R$13-Scenario_DT!R$15)*Scenario_DT!R$16</f>
        <v>3495.9004291270489</v>
      </c>
      <c r="AB160" s="17">
        <f>(Scenario_DT!$R$11*(1+$M160/Scenario_DT!$C$19)*(1+$N160)^7*(Scenario_DT!$R$12+$O160)*(1+MIN(DCF_FCFF!$C$26+$Q160,(DCF_FCFF!$C$25+$P160)-0.02))*(1-DCF_FCFF!$C$27)*(1-DCF_FCFF!$C$28)/((DCF_FCFF!$C$25+$P160)-MIN(DCF_FCFF!$C$26+$Q160,(DCF_FCFF!$C$25+$P160)-0.02)))*(1+(DCF_FCFF!$C$25+$P160))^(-(Inputs!$C$9+9))</f>
        <v>34470.063455926444</v>
      </c>
      <c r="AC160" s="17">
        <f>SUMPRODUCT(R160:AA160*(1+(DCF_FCFF!$C$25+$P160))^(-Scenario_DT!$I$17:$R$17))+AB160</f>
        <v>51367.691340498612</v>
      </c>
      <c r="AD160" s="68">
        <f>((AC160-DCF_FCFF!$C$48)*(1-DCF_FCFF!$C$50)+DCF_FCFF!$C$57+DCF_FCFF!$C$58)/DCF_FCFF!$C$60</f>
        <v>396.62214835845509</v>
      </c>
      <c r="AE160" s="6"/>
      <c r="AF160" s="6"/>
      <c r="AG160" s="6"/>
    </row>
    <row r="161" spans="1:33" x14ac:dyDescent="0.3">
      <c r="A161" s="6"/>
      <c r="B161" s="72">
        <v>130</v>
      </c>
      <c r="C161" s="73">
        <v>0.85812530462482295</v>
      </c>
      <c r="D161" s="73">
        <v>4.5001249396591199E-3</v>
      </c>
      <c r="E161" s="73">
        <v>0.51462934211635003</v>
      </c>
      <c r="F161" s="73">
        <v>0.67728739936439697</v>
      </c>
      <c r="G161" s="73">
        <v>2.9607289128613198E-2</v>
      </c>
      <c r="H161" s="15">
        <f t="shared" si="21"/>
        <v>1.0719346384476605</v>
      </c>
      <c r="I161" s="15">
        <f t="shared" si="22"/>
        <v>-2.6120446495536007</v>
      </c>
      <c r="J161" s="15">
        <f t="shared" si="23"/>
        <v>3.6678544965596256E-2</v>
      </c>
      <c r="K161" s="15">
        <f t="shared" si="24"/>
        <v>0.46012681017950496</v>
      </c>
      <c r="L161" s="15">
        <f t="shared" si="25"/>
        <v>-1.8865967944527067</v>
      </c>
      <c r="M161" s="18">
        <f t="shared" si="26"/>
        <v>2.1438692768953209E-2</v>
      </c>
      <c r="N161" s="18">
        <f t="shared" si="27"/>
        <v>-1.3809037624870475E-2</v>
      </c>
      <c r="O161" s="18">
        <f t="shared" si="28"/>
        <v>4.401425395871551E-4</v>
      </c>
      <c r="P161" s="18">
        <f t="shared" si="29"/>
        <v>2.7607608610770297E-3</v>
      </c>
      <c r="Q161" s="18">
        <f t="shared" si="30"/>
        <v>-7.5463871778108267E-3</v>
      </c>
      <c r="R161" s="28">
        <f>((Scenario_DT!I$11*(IF(Scenario_DT!I$18=1,1,1+$M161/Scenario_DT!$C$19)*(1+$N161)^MAX(0,Scenario_DT!I$18-3))*(Scenario_DT!I$12+$O161)-Scenario_DT!I$13)*(1-Scenario_DT!I$14)+Scenario_DT!I$13-Scenario_DT!I$15)*Scenario_DT!I$16</f>
        <v>911.6050911485496</v>
      </c>
      <c r="S161" s="28">
        <f>((Scenario_DT!J$11*(IF(Scenario_DT!J$18=1,1,1+$M161/Scenario_DT!$C$19)*(1+$N161)^MAX(0,Scenario_DT!J$18-3))*(Scenario_DT!J$12+$O161)-Scenario_DT!J$13)*(1-Scenario_DT!J$14)+Scenario_DT!J$13-Scenario_DT!J$15)*Scenario_DT!J$16</f>
        <v>1884.6804433050756</v>
      </c>
      <c r="T161" s="28">
        <f>((Scenario_DT!K$11*(IF(Scenario_DT!K$18=1,1,1+$M161/Scenario_DT!$C$19)*(1+$N161)^MAX(0,Scenario_DT!K$18-3))*(Scenario_DT!K$12+$O161)-Scenario_DT!K$13)*(1-Scenario_DT!K$14)+Scenario_DT!K$13-Scenario_DT!K$15)*Scenario_DT!K$16</f>
        <v>2151.9111522604503</v>
      </c>
      <c r="U161" s="28">
        <f>((Scenario_DT!L$11*(IF(Scenario_DT!L$18=1,1,1+$M161/Scenario_DT!$C$19)*(1+$N161)^MAX(0,Scenario_DT!L$18-3))*(Scenario_DT!L$12+$O161)-Scenario_DT!L$13)*(1-Scenario_DT!L$14)+Scenario_DT!L$13-Scenario_DT!L$15)*Scenario_DT!L$16</f>
        <v>2520.8299355395925</v>
      </c>
      <c r="V161" s="28">
        <f>((Scenario_DT!M$11*(IF(Scenario_DT!M$18=1,1,1+$M161/Scenario_DT!$C$19)*(1+$N161)^MAX(0,Scenario_DT!M$18-3))*(Scenario_DT!M$12+$O161)-Scenario_DT!M$13)*(1-Scenario_DT!M$14)+Scenario_DT!M$13-Scenario_DT!M$15)*Scenario_DT!M$16</f>
        <v>2609.3545781929815</v>
      </c>
      <c r="W161" s="28">
        <f>((Scenario_DT!N$11*(IF(Scenario_DT!N$18=1,1,1+$M161/Scenario_DT!$C$19)*(1+$N161)^MAX(0,Scenario_DT!N$18-3))*(Scenario_DT!N$12+$O161)-Scenario_DT!N$13)*(1-Scenario_DT!N$14)+Scenario_DT!N$13-Scenario_DT!N$15)*Scenario_DT!N$16</f>
        <v>2700.9561405533318</v>
      </c>
      <c r="X161" s="28">
        <f>((Scenario_DT!O$11*(IF(Scenario_DT!O$18=1,1,1+$M161/Scenario_DT!$C$19)*(1+$N161)^MAX(0,Scenario_DT!O$18-3))*(Scenario_DT!O$12+$O161)-Scenario_DT!O$13)*(1-Scenario_DT!O$14)+Scenario_DT!O$13-Scenario_DT!O$15)*Scenario_DT!O$16</f>
        <v>2795.74230239793</v>
      </c>
      <c r="Y161" s="28">
        <f>((Scenario_DT!P$11*(IF(Scenario_DT!P$18=1,1,1+$M161/Scenario_DT!$C$19)*(1+$N161)^MAX(0,Scenario_DT!P$18-3))*(Scenario_DT!P$12+$O161)-Scenario_DT!P$13)*(1-Scenario_DT!P$14)+Scenario_DT!P$13-Scenario_DT!P$15)*Scenario_DT!P$16</f>
        <v>2893.8245119719991</v>
      </c>
      <c r="Z161" s="28">
        <f>((Scenario_DT!Q$11*(IF(Scenario_DT!Q$18=1,1,1+$M161/Scenario_DT!$C$19)*(1+$N161)^MAX(0,Scenario_DT!Q$18-3))*(Scenario_DT!Q$12+$O161)-Scenario_DT!Q$13)*(1-Scenario_DT!Q$14)+Scenario_DT!Q$13-Scenario_DT!Q$15)*Scenario_DT!Q$16</f>
        <v>2995.3181175666759</v>
      </c>
      <c r="AA161" s="28">
        <f>((Scenario_DT!R$11*(IF(Scenario_DT!R$18=1,1,1+$M161/Scenario_DT!$C$19)*(1+$N161)^MAX(0,Scenario_DT!R$18-3))*(Scenario_DT!R$12+$O161)-Scenario_DT!R$13)*(1-Scenario_DT!R$14)+Scenario_DT!R$13-Scenario_DT!R$15)*Scenario_DT!R$16</f>
        <v>3100.3425036751396</v>
      </c>
      <c r="AB161" s="17">
        <f>(Scenario_DT!$R$11*(1+$M161/Scenario_DT!$C$19)*(1+$N161)^7*(Scenario_DT!$R$12+$O161)*(1+MIN(DCF_FCFF!$C$26+$Q161,(DCF_FCFF!$C$25+$P161)-0.02))*(1-DCF_FCFF!$C$27)*(1-DCF_FCFF!$C$28)/((DCF_FCFF!$C$25+$P161)-MIN(DCF_FCFF!$C$26+$Q161,(DCF_FCFF!$C$25+$P161)-0.02)))*(1+(DCF_FCFF!$C$25+$P161))^(-(Inputs!$C$9+9))</f>
        <v>21057.334202513735</v>
      </c>
      <c r="AC161" s="17">
        <f>SUMPRODUCT(R161:AA161*(1+(DCF_FCFF!$C$25+$P161))^(-Scenario_DT!$I$17:$R$17))+AB161</f>
        <v>37049.944412534809</v>
      </c>
      <c r="AD161" s="68">
        <f>((AC161-DCF_FCFF!$C$48)*(1-DCF_FCFF!$C$50)+DCF_FCFF!$C$57+DCF_FCFF!$C$58)/DCF_FCFF!$C$60</f>
        <v>259.18941054313228</v>
      </c>
      <c r="AE161" s="6"/>
      <c r="AF161" s="6"/>
      <c r="AG161" s="6"/>
    </row>
    <row r="162" spans="1:33" x14ac:dyDescent="0.3">
      <c r="A162" s="6"/>
      <c r="B162" s="72">
        <v>131</v>
      </c>
      <c r="C162" s="73">
        <v>0.40135555755338798</v>
      </c>
      <c r="D162" s="73">
        <v>0.89563488138369696</v>
      </c>
      <c r="E162" s="73">
        <v>0.67161280885585894</v>
      </c>
      <c r="F162" s="73">
        <v>0.23765836336059701</v>
      </c>
      <c r="G162" s="73">
        <v>0.85278112963191299</v>
      </c>
      <c r="H162" s="15">
        <f t="shared" si="21"/>
        <v>-0.24983996094860633</v>
      </c>
      <c r="I162" s="15">
        <f t="shared" si="22"/>
        <v>1.2570646198717681</v>
      </c>
      <c r="J162" s="15">
        <f t="shared" si="23"/>
        <v>0.44437099209638897</v>
      </c>
      <c r="K162" s="15">
        <f t="shared" si="24"/>
        <v>-0.71385519264633879</v>
      </c>
      <c r="L162" s="15">
        <f t="shared" si="25"/>
        <v>1.0484360734192186</v>
      </c>
      <c r="M162" s="18">
        <f t="shared" si="26"/>
        <v>-4.9967992189721266E-3</v>
      </c>
      <c r="N162" s="18">
        <f t="shared" si="27"/>
        <v>7.7098393162662133E-3</v>
      </c>
      <c r="O162" s="18">
        <f t="shared" si="28"/>
        <v>5.3324519051566677E-3</v>
      </c>
      <c r="P162" s="18">
        <f t="shared" si="29"/>
        <v>-4.2831311558780326E-3</v>
      </c>
      <c r="Q162" s="18">
        <f t="shared" si="30"/>
        <v>4.1937442936768746E-3</v>
      </c>
      <c r="R162" s="28">
        <f>((Scenario_DT!I$11*(IF(Scenario_DT!I$18=1,1,1+$M162/Scenario_DT!$C$19)*(1+$N162)^MAX(0,Scenario_DT!I$18-3))*(Scenario_DT!I$12+$O162)-Scenario_DT!I$13)*(1-Scenario_DT!I$14)+Scenario_DT!I$13-Scenario_DT!I$15)*Scenario_DT!I$16</f>
        <v>918.50272086106793</v>
      </c>
      <c r="S162" s="28">
        <f>((Scenario_DT!J$11*(IF(Scenario_DT!J$18=1,1,1+$M162/Scenario_DT!$C$19)*(1+$N162)^MAX(0,Scenario_DT!J$18-3))*(Scenario_DT!J$12+$O162)-Scenario_DT!J$13)*(1-Scenario_DT!J$14)+Scenario_DT!J$13-Scenario_DT!J$15)*Scenario_DT!J$16</f>
        <v>1836.4189204629729</v>
      </c>
      <c r="T162" s="28">
        <f>((Scenario_DT!K$11*(IF(Scenario_DT!K$18=1,1,1+$M162/Scenario_DT!$C$19)*(1+$N162)^MAX(0,Scenario_DT!K$18-3))*(Scenario_DT!K$12+$O162)-Scenario_DT!K$13)*(1-Scenario_DT!K$14)+Scenario_DT!K$13-Scenario_DT!K$15)*Scenario_DT!K$16</f>
        <v>2100.9975462928783</v>
      </c>
      <c r="U162" s="28">
        <f>((Scenario_DT!L$11*(IF(Scenario_DT!L$18=1,1,1+$M162/Scenario_DT!$C$19)*(1+$N162)^MAX(0,Scenario_DT!L$18-3))*(Scenario_DT!L$12+$O162)-Scenario_DT!L$13)*(1-Scenario_DT!L$14)+Scenario_DT!L$13-Scenario_DT!L$15)*Scenario_DT!L$16</f>
        <v>2521.7274612922001</v>
      </c>
      <c r="V162" s="28">
        <f>((Scenario_DT!M$11*(IF(Scenario_DT!M$18=1,1,1+$M162/Scenario_DT!$C$19)*(1+$N162)^MAX(0,Scenario_DT!M$18-3))*(Scenario_DT!M$12+$O162)-Scenario_DT!M$13)*(1-Scenario_DT!M$14)+Scenario_DT!M$13-Scenario_DT!M$15)*Scenario_DT!M$16</f>
        <v>2667.6432315083293</v>
      </c>
      <c r="W162" s="28">
        <f>((Scenario_DT!N$11*(IF(Scenario_DT!N$18=1,1,1+$M162/Scenario_DT!$C$19)*(1+$N162)^MAX(0,Scenario_DT!N$18-3))*(Scenario_DT!N$12+$O162)-Scenario_DT!N$13)*(1-Scenario_DT!N$14)+Scenario_DT!N$13-Scenario_DT!N$15)*Scenario_DT!N$16</f>
        <v>2822.0056412565232</v>
      </c>
      <c r="X162" s="28">
        <f>((Scenario_DT!O$11*(IF(Scenario_DT!O$18=1,1,1+$M162/Scenario_DT!$C$19)*(1+$N162)^MAX(0,Scenario_DT!O$18-3))*(Scenario_DT!O$12+$O162)-Scenario_DT!O$13)*(1-Scenario_DT!O$14)+Scenario_DT!O$13-Scenario_DT!O$15)*Scenario_DT!O$16</f>
        <v>2985.3065895009527</v>
      </c>
      <c r="Y162" s="28">
        <f>((Scenario_DT!P$11*(IF(Scenario_DT!P$18=1,1,1+$M162/Scenario_DT!$C$19)*(1+$N162)^MAX(0,Scenario_DT!P$18-3))*(Scenario_DT!P$12+$O162)-Scenario_DT!P$13)*(1-Scenario_DT!P$14)+Scenario_DT!P$13-Scenario_DT!P$15)*Scenario_DT!P$16</f>
        <v>3158.0666304070514</v>
      </c>
      <c r="Z162" s="28">
        <f>((Scenario_DT!Q$11*(IF(Scenario_DT!Q$18=1,1,1+$M162/Scenario_DT!$C$19)*(1+$N162)^MAX(0,Scenario_DT!Q$18-3))*(Scenario_DT!Q$12+$O162)-Scenario_DT!Q$13)*(1-Scenario_DT!Q$14)+Scenario_DT!Q$13-Scenario_DT!Q$15)*Scenario_DT!Q$16</f>
        <v>3340.8366417952384</v>
      </c>
      <c r="AA162" s="28">
        <f>((Scenario_DT!R$11*(IF(Scenario_DT!R$18=1,1,1+$M162/Scenario_DT!$C$19)*(1+$N162)^MAX(0,Scenario_DT!R$18-3))*(Scenario_DT!R$12+$O162)-Scenario_DT!R$13)*(1-Scenario_DT!R$14)+Scenario_DT!R$13-Scenario_DT!R$15)*Scenario_DT!R$16</f>
        <v>3534.1995906912434</v>
      </c>
      <c r="AB162" s="17">
        <f>(Scenario_DT!$R$11*(1+$M162/Scenario_DT!$C$19)*(1+$N162)^7*(Scenario_DT!$R$12+$O162)*(1+MIN(DCF_FCFF!$C$26+$Q162,(DCF_FCFF!$C$25+$P162)-0.02))*(1-DCF_FCFF!$C$27)*(1-DCF_FCFF!$C$28)/((DCF_FCFF!$C$25+$P162)-MIN(DCF_FCFF!$C$26+$Q162,(DCF_FCFF!$C$25+$P162)-0.02)))*(1+(DCF_FCFF!$C$25+$P162))^(-(Inputs!$C$9+9))</f>
        <v>37333.517728586812</v>
      </c>
      <c r="AC162" s="17">
        <f>SUMPRODUCT(R162:AA162*(1+(DCF_FCFF!$C$25+$P162))^(-Scenario_DT!$I$17:$R$17))+AB162</f>
        <v>54492.676430818785</v>
      </c>
      <c r="AD162" s="68">
        <f>((AC162-DCF_FCFF!$C$48)*(1-DCF_FCFF!$C$50)+DCF_FCFF!$C$57+DCF_FCFF!$C$58)/DCF_FCFF!$C$60</f>
        <v>426.61815672175157</v>
      </c>
      <c r="AE162" s="6"/>
      <c r="AF162" s="6"/>
      <c r="AG162" s="6"/>
    </row>
    <row r="163" spans="1:33" x14ac:dyDescent="0.3">
      <c r="A163" s="6"/>
      <c r="B163" s="72">
        <v>132</v>
      </c>
      <c r="C163" s="73">
        <v>0.34803142340951398</v>
      </c>
      <c r="D163" s="73">
        <v>0.85334467114405899</v>
      </c>
      <c r="E163" s="73">
        <v>0.29894365111890597</v>
      </c>
      <c r="F163" s="73">
        <v>0.59032025088314899</v>
      </c>
      <c r="G163" s="73">
        <v>0.39694006774783402</v>
      </c>
      <c r="H163" s="15">
        <f t="shared" si="21"/>
        <v>-0.39064068684258541</v>
      </c>
      <c r="I163" s="15">
        <f t="shared" si="22"/>
        <v>1.0508866386615614</v>
      </c>
      <c r="J163" s="15">
        <f t="shared" si="23"/>
        <v>-0.52744110908279773</v>
      </c>
      <c r="K163" s="15">
        <f t="shared" si="24"/>
        <v>0.22836885709281218</v>
      </c>
      <c r="L163" s="15">
        <f t="shared" si="25"/>
        <v>-0.26127540042470421</v>
      </c>
      <c r="M163" s="18">
        <f t="shared" si="26"/>
        <v>-7.8128137368517082E-3</v>
      </c>
      <c r="N163" s="18">
        <f t="shared" si="27"/>
        <v>5.7181934572580594E-3</v>
      </c>
      <c r="O163" s="18">
        <f t="shared" si="28"/>
        <v>-6.3292933089935726E-3</v>
      </c>
      <c r="P163" s="18">
        <f t="shared" si="29"/>
        <v>1.3702131425568731E-3</v>
      </c>
      <c r="Q163" s="18">
        <f t="shared" si="30"/>
        <v>-1.045101601698817E-3</v>
      </c>
      <c r="R163" s="28">
        <f>((Scenario_DT!I$11*(IF(Scenario_DT!I$18=1,1,1+$M163/Scenario_DT!$C$19)*(1+$N163)^MAX(0,Scenario_DT!I$18-3))*(Scenario_DT!I$12+$O163)-Scenario_DT!I$13)*(1-Scenario_DT!I$14)+Scenario_DT!I$13-Scenario_DT!I$15)*Scenario_DT!I$16</f>
        <v>902.0609151046616</v>
      </c>
      <c r="S163" s="28">
        <f>((Scenario_DT!J$11*(IF(Scenario_DT!J$18=1,1,1+$M163/Scenario_DT!$C$19)*(1+$N163)^MAX(0,Scenario_DT!J$18-3))*(Scenario_DT!J$12+$O163)-Scenario_DT!J$13)*(1-Scenario_DT!J$14)+Scenario_DT!J$13-Scenario_DT!J$15)*Scenario_DT!J$16</f>
        <v>1793.6809120148996</v>
      </c>
      <c r="T163" s="28">
        <f>((Scenario_DT!K$11*(IF(Scenario_DT!K$18=1,1,1+$M163/Scenario_DT!$C$19)*(1+$N163)^MAX(0,Scenario_DT!K$18-3))*(Scenario_DT!K$12+$O163)-Scenario_DT!K$13)*(1-Scenario_DT!K$14)+Scenario_DT!K$13-Scenario_DT!K$15)*Scenario_DT!K$16</f>
        <v>2056.6112181945991</v>
      </c>
      <c r="U163" s="28">
        <f>((Scenario_DT!L$11*(IF(Scenario_DT!L$18=1,1,1+$M163/Scenario_DT!$C$19)*(1+$N163)^MAX(0,Scenario_DT!L$18-3))*(Scenario_DT!L$12+$O163)-Scenario_DT!L$13)*(1-Scenario_DT!L$14)+Scenario_DT!L$13-Scenario_DT!L$15)*Scenario_DT!L$16</f>
        <v>2469.3122744356692</v>
      </c>
      <c r="V163" s="28">
        <f>((Scenario_DT!M$11*(IF(Scenario_DT!M$18=1,1,1+$M163/Scenario_DT!$C$19)*(1+$N163)^MAX(0,Scenario_DT!M$18-3))*(Scenario_DT!M$12+$O163)-Scenario_DT!M$13)*(1-Scenario_DT!M$14)+Scenario_DT!M$13-Scenario_DT!M$15)*Scenario_DT!M$16</f>
        <v>2606.9837824400256</v>
      </c>
      <c r="W163" s="28">
        <f>((Scenario_DT!N$11*(IF(Scenario_DT!N$18=1,1,1+$M163/Scenario_DT!$C$19)*(1+$N163)^MAX(0,Scenario_DT!N$18-3))*(Scenario_DT!N$12+$O163)-Scenario_DT!N$13)*(1-Scenario_DT!N$14)+Scenario_DT!N$13-Scenario_DT!N$15)*Scenario_DT!N$16</f>
        <v>2752.3318011633864</v>
      </c>
      <c r="X163" s="28">
        <f>((Scenario_DT!O$11*(IF(Scenario_DT!O$18=1,1,1+$M163/Scenario_DT!$C$19)*(1+$N163)^MAX(0,Scenario_DT!O$18-3))*(Scenario_DT!O$12+$O163)-Scenario_DT!O$13)*(1-Scenario_DT!O$14)+Scenario_DT!O$13-Scenario_DT!O$15)*Scenario_DT!O$16</f>
        <v>2905.7871816492229</v>
      </c>
      <c r="Y163" s="28">
        <f>((Scenario_DT!P$11*(IF(Scenario_DT!P$18=1,1,1+$M163/Scenario_DT!$C$19)*(1+$N163)^MAX(0,Scenario_DT!P$18-3))*(Scenario_DT!P$12+$O163)-Scenario_DT!P$13)*(1-Scenario_DT!P$14)+Scenario_DT!P$13-Scenario_DT!P$15)*Scenario_DT!P$16</f>
        <v>3067.8049702823723</v>
      </c>
      <c r="Z163" s="28">
        <f>((Scenario_DT!Q$11*(IF(Scenario_DT!Q$18=1,1,1+$M163/Scenario_DT!$C$19)*(1+$N163)^MAX(0,Scenario_DT!Q$18-3))*(Scenario_DT!Q$12+$O163)-Scenario_DT!Q$13)*(1-Scenario_DT!Q$14)+Scenario_DT!Q$13-Scenario_DT!Q$15)*Scenario_DT!Q$16</f>
        <v>3238.86576699939</v>
      </c>
      <c r="AA163" s="28">
        <f>((Scenario_DT!R$11*(IF(Scenario_DT!R$18=1,1,1+$M163/Scenario_DT!$C$19)*(1+$N163)^MAX(0,Scenario_DT!R$18-3))*(Scenario_DT!R$12+$O163)-Scenario_DT!R$13)*(1-Scenario_DT!R$14)+Scenario_DT!R$13-Scenario_DT!R$15)*Scenario_DT!R$16</f>
        <v>3419.4771597073836</v>
      </c>
      <c r="AB163" s="17">
        <f>(Scenario_DT!$R$11*(1+$M163/Scenario_DT!$C$19)*(1+$N163)^7*(Scenario_DT!$R$12+$O163)*(1+MIN(DCF_FCFF!$C$26+$Q163,(DCF_FCFF!$C$25+$P163)-0.02))*(1-DCF_FCFF!$C$27)*(1-DCF_FCFF!$C$28)/((DCF_FCFF!$C$25+$P163)-MIN(DCF_FCFF!$C$26+$Q163,(DCF_FCFF!$C$25+$P163)-0.02)))*(1+(DCF_FCFF!$C$25+$P163))^(-(Inputs!$C$9+9))</f>
        <v>27166.41053078722</v>
      </c>
      <c r="AC163" s="17">
        <f>SUMPRODUCT(R163:AA163*(1+(DCF_FCFF!$C$25+$P163))^(-Scenario_DT!$I$17:$R$17))+AB163</f>
        <v>43495.41110232818</v>
      </c>
      <c r="AD163" s="68">
        <f>((AC163-DCF_FCFF!$C$48)*(1-DCF_FCFF!$C$50)+DCF_FCFF!$C$57+DCF_FCFF!$C$58)/DCF_FCFF!$C$60</f>
        <v>321.05795299834841</v>
      </c>
      <c r="AE163" s="6"/>
      <c r="AF163" s="6"/>
      <c r="AG163" s="6"/>
    </row>
    <row r="164" spans="1:33" x14ac:dyDescent="0.3">
      <c r="A164" s="6"/>
      <c r="B164" s="72">
        <v>133</v>
      </c>
      <c r="C164" s="73">
        <v>0.27482505075506702</v>
      </c>
      <c r="D164" s="73">
        <v>0.88655756217186898</v>
      </c>
      <c r="E164" s="73">
        <v>0.187593681939491</v>
      </c>
      <c r="F164" s="73">
        <v>8.4811591235763095E-2</v>
      </c>
      <c r="G164" s="73">
        <v>0.34192693854565998</v>
      </c>
      <c r="H164" s="15">
        <f t="shared" si="21"/>
        <v>-0.59828452344252181</v>
      </c>
      <c r="I164" s="15">
        <f t="shared" si="22"/>
        <v>1.2084222759019547</v>
      </c>
      <c r="J164" s="15">
        <f t="shared" si="23"/>
        <v>-0.88679855844922784</v>
      </c>
      <c r="K164" s="15">
        <f t="shared" si="24"/>
        <v>-1.3734156010809231</v>
      </c>
      <c r="L164" s="15">
        <f t="shared" si="25"/>
        <v>-0.4072098372759122</v>
      </c>
      <c r="M164" s="18">
        <f t="shared" si="26"/>
        <v>-1.1965690468850437E-2</v>
      </c>
      <c r="N164" s="18">
        <f t="shared" si="27"/>
        <v>5.9790570216707176E-3</v>
      </c>
      <c r="O164" s="18">
        <f t="shared" si="28"/>
        <v>-1.0641582701390734E-2</v>
      </c>
      <c r="P164" s="18">
        <f t="shared" si="29"/>
        <v>-8.2404936064855386E-3</v>
      </c>
      <c r="Q164" s="18">
        <f t="shared" si="30"/>
        <v>-1.6288393491036487E-3</v>
      </c>
      <c r="R164" s="28">
        <f>((Scenario_DT!I$11*(IF(Scenario_DT!I$18=1,1,1+$M164/Scenario_DT!$C$19)*(1+$N164)^MAX(0,Scenario_DT!I$18-3))*(Scenario_DT!I$12+$O164)-Scenario_DT!I$13)*(1-Scenario_DT!I$14)+Scenario_DT!I$13-Scenario_DT!I$15)*Scenario_DT!I$16</f>
        <v>895.98105113462975</v>
      </c>
      <c r="S164" s="28">
        <f>((Scenario_DT!J$11*(IF(Scenario_DT!J$18=1,1,1+$M164/Scenario_DT!$C$19)*(1+$N164)^MAX(0,Scenario_DT!J$18-3))*(Scenario_DT!J$12+$O164)-Scenario_DT!J$13)*(1-Scenario_DT!J$14)+Scenario_DT!J$13-Scenario_DT!J$15)*Scenario_DT!J$16</f>
        <v>1770.5854313122791</v>
      </c>
      <c r="T164" s="28">
        <f>((Scenario_DT!K$11*(IF(Scenario_DT!K$18=1,1,1+$M164/Scenario_DT!$C$19)*(1+$N164)^MAX(0,Scenario_DT!K$18-3))*(Scenario_DT!K$12+$O164)-Scenario_DT!K$13)*(1-Scenario_DT!K$14)+Scenario_DT!K$13-Scenario_DT!K$15)*Scenario_DT!K$16</f>
        <v>2032.5355280901626</v>
      </c>
      <c r="U164" s="28">
        <f>((Scenario_DT!L$11*(IF(Scenario_DT!L$18=1,1,1+$M164/Scenario_DT!$C$19)*(1+$N164)^MAX(0,Scenario_DT!L$18-3))*(Scenario_DT!L$12+$O164)-Scenario_DT!L$13)*(1-Scenario_DT!L$14)+Scenario_DT!L$13-Scenario_DT!L$15)*Scenario_DT!L$16</f>
        <v>2444.2412852124844</v>
      </c>
      <c r="V164" s="28">
        <f>((Scenario_DT!M$11*(IF(Scenario_DT!M$18=1,1,1+$M164/Scenario_DT!$C$19)*(1+$N164)^MAX(0,Scenario_DT!M$18-3))*(Scenario_DT!M$12+$O164)-Scenario_DT!M$13)*(1-Scenario_DT!M$14)+Scenario_DT!M$13-Scenario_DT!M$15)*Scenario_DT!M$16</f>
        <v>2581.1828312627003</v>
      </c>
      <c r="W164" s="28">
        <f>((Scenario_DT!N$11*(IF(Scenario_DT!N$18=1,1,1+$M164/Scenario_DT!$C$19)*(1+$N164)^MAX(0,Scenario_DT!N$18-3))*(Scenario_DT!N$12+$O164)-Scenario_DT!N$13)*(1-Scenario_DT!N$14)+Scenario_DT!N$13-Scenario_DT!N$15)*Scenario_DT!N$16</f>
        <v>2725.7979450918174</v>
      </c>
      <c r="X164" s="28">
        <f>((Scenario_DT!O$11*(IF(Scenario_DT!O$18=1,1,1+$M164/Scenario_DT!$C$19)*(1+$N164)^MAX(0,Scenario_DT!O$18-3))*(Scenario_DT!O$12+$O164)-Scenario_DT!O$13)*(1-Scenario_DT!O$14)+Scenario_DT!O$13-Scenario_DT!O$15)*Scenario_DT!O$16</f>
        <v>2878.5194479974703</v>
      </c>
      <c r="Y164" s="28">
        <f>((Scenario_DT!P$11*(IF(Scenario_DT!P$18=1,1,1+$M164/Scenario_DT!$C$19)*(1+$N164)^MAX(0,Scenario_DT!P$18-3))*(Scenario_DT!P$12+$O164)-Scenario_DT!P$13)*(1-Scenario_DT!P$14)+Scenario_DT!P$13-Scenario_DT!P$15)*Scenario_DT!P$16</f>
        <v>3039.8045871185218</v>
      </c>
      <c r="Z164" s="28">
        <f>((Scenario_DT!Q$11*(IF(Scenario_DT!Q$18=1,1,1+$M164/Scenario_DT!$C$19)*(1+$N164)^MAX(0,Scenario_DT!Q$18-3))*(Scenario_DT!Q$12+$O164)-Scenario_DT!Q$13)*(1-Scenario_DT!Q$14)+Scenario_DT!Q$13-Scenario_DT!Q$15)*Scenario_DT!Q$16</f>
        <v>3210.136413316573</v>
      </c>
      <c r="AA164" s="28">
        <f>((Scenario_DT!R$11*(IF(Scenario_DT!R$18=1,1,1+$M164/Scenario_DT!$C$19)*(1+$N164)^MAX(0,Scenario_DT!R$18-3))*(Scenario_DT!R$12+$O164)-Scenario_DT!R$13)*(1-Scenario_DT!R$14)+Scenario_DT!R$13-Scenario_DT!R$15)*Scenario_DT!R$16</f>
        <v>3390.025236748198</v>
      </c>
      <c r="AB164" s="17">
        <f>(Scenario_DT!$R$11*(1+$M164/Scenario_DT!$C$19)*(1+$N164)^7*(Scenario_DT!$R$12+$O164)*(1+MIN(DCF_FCFF!$C$26+$Q164,(DCF_FCFF!$C$25+$P164)-0.02))*(1-DCF_FCFF!$C$27)*(1-DCF_FCFF!$C$28)/((DCF_FCFF!$C$25+$P164)-MIN(DCF_FCFF!$C$26+$Q164,(DCF_FCFF!$C$25+$P164)-0.02)))*(1+(DCF_FCFF!$C$25+$P164))^(-(Inputs!$C$9+9))</f>
        <v>35305.072965163512</v>
      </c>
      <c r="AC164" s="17">
        <f>SUMPRODUCT(R164:AA164*(1+(DCF_FCFF!$C$25+$P164))^(-Scenario_DT!$I$17:$R$17))+AB164</f>
        <v>52154.201301042864</v>
      </c>
      <c r="AD164" s="68">
        <f>((AC164-DCF_FCFF!$C$48)*(1-DCF_FCFF!$C$50)+DCF_FCFF!$C$57+DCF_FCFF!$C$58)/DCF_FCFF!$C$60</f>
        <v>404.17167537136129</v>
      </c>
      <c r="AE164" s="6"/>
      <c r="AF164" s="6"/>
      <c r="AG164" s="6"/>
    </row>
    <row r="165" spans="1:33" x14ac:dyDescent="0.3">
      <c r="A165" s="6"/>
      <c r="B165" s="72">
        <v>134</v>
      </c>
      <c r="C165" s="73">
        <v>0.717639147641568</v>
      </c>
      <c r="D165" s="73">
        <v>0.80743160597628205</v>
      </c>
      <c r="E165" s="73">
        <v>0.99874337006676495</v>
      </c>
      <c r="F165" s="73">
        <v>0.29636205701116503</v>
      </c>
      <c r="G165" s="73">
        <v>0.40794195113128201</v>
      </c>
      <c r="H165" s="15">
        <f t="shared" si="21"/>
        <v>0.57584241010509241</v>
      </c>
      <c r="I165" s="15">
        <f t="shared" si="22"/>
        <v>0.86847054918686273</v>
      </c>
      <c r="J165" s="15">
        <f t="shared" si="23"/>
        <v>3.0217403989294418</v>
      </c>
      <c r="K165" s="15">
        <f t="shared" si="24"/>
        <v>-0.534892616810698</v>
      </c>
      <c r="L165" s="15">
        <f t="shared" si="25"/>
        <v>-0.23284225183157928</v>
      </c>
      <c r="M165" s="18">
        <f t="shared" si="26"/>
        <v>1.1516848202101849E-2</v>
      </c>
      <c r="N165" s="18">
        <f t="shared" si="27"/>
        <v>8.3203101046959368E-3</v>
      </c>
      <c r="O165" s="18">
        <f t="shared" si="28"/>
        <v>3.6260884787153301E-2</v>
      </c>
      <c r="P165" s="18">
        <f t="shared" si="29"/>
        <v>-3.209355700864188E-3</v>
      </c>
      <c r="Q165" s="18">
        <f t="shared" si="30"/>
        <v>-9.313690073263171E-4</v>
      </c>
      <c r="R165" s="28">
        <f>((Scenario_DT!I$11*(IF(Scenario_DT!I$18=1,1,1+$M165/Scenario_DT!$C$19)*(1+$N165)^MAX(0,Scenario_DT!I$18-3))*(Scenario_DT!I$12+$O165)-Scenario_DT!I$13)*(1-Scenario_DT!I$14)+Scenario_DT!I$13-Scenario_DT!I$15)*Scenario_DT!I$16</f>
        <v>962.10848281673225</v>
      </c>
      <c r="S165" s="28">
        <f>((Scenario_DT!J$11*(IF(Scenario_DT!J$18=1,1,1+$M165/Scenario_DT!$C$19)*(1+$N165)^MAX(0,Scenario_DT!J$18-3))*(Scenario_DT!J$12+$O165)-Scenario_DT!J$13)*(1-Scenario_DT!J$14)+Scenario_DT!J$13-Scenario_DT!J$15)*Scenario_DT!J$16</f>
        <v>1973.5745544580777</v>
      </c>
      <c r="T165" s="28">
        <f>((Scenario_DT!K$11*(IF(Scenario_DT!K$18=1,1,1+$M165/Scenario_DT!$C$19)*(1+$N165)^MAX(0,Scenario_DT!K$18-3))*(Scenario_DT!K$12+$O165)-Scenario_DT!K$13)*(1-Scenario_DT!K$14)+Scenario_DT!K$13-Scenario_DT!K$15)*Scenario_DT!K$16</f>
        <v>2243.6972124763088</v>
      </c>
      <c r="U165" s="28">
        <f>((Scenario_DT!L$11*(IF(Scenario_DT!L$18=1,1,1+$M165/Scenario_DT!$C$19)*(1+$N165)^MAX(0,Scenario_DT!L$18-3))*(Scenario_DT!L$12+$O165)-Scenario_DT!L$13)*(1-Scenario_DT!L$14)+Scenario_DT!L$13-Scenario_DT!L$15)*Scenario_DT!L$16</f>
        <v>2676.0412280076976</v>
      </c>
      <c r="V165" s="28">
        <f>((Scenario_DT!M$11*(IF(Scenario_DT!M$18=1,1,1+$M165/Scenario_DT!$C$19)*(1+$N165)^MAX(0,Scenario_DT!M$18-3))*(Scenario_DT!M$12+$O165)-Scenario_DT!M$13)*(1-Scenario_DT!M$14)+Scenario_DT!M$13-Scenario_DT!M$15)*Scenario_DT!M$16</f>
        <v>2832.6480515727749</v>
      </c>
      <c r="W165" s="28">
        <f>((Scenario_DT!N$11*(IF(Scenario_DT!N$18=1,1,1+$M165/Scenario_DT!$C$19)*(1+$N165)^MAX(0,Scenario_DT!N$18-3))*(Scenario_DT!N$12+$O165)-Scenario_DT!N$13)*(1-Scenario_DT!N$14)+Scenario_DT!N$13-Scenario_DT!N$15)*Scenario_DT!N$16</f>
        <v>2998.424002309087</v>
      </c>
      <c r="X165" s="28">
        <f>((Scenario_DT!O$11*(IF(Scenario_DT!O$18=1,1,1+$M165/Scenario_DT!$C$19)*(1+$N165)^MAX(0,Scenario_DT!O$18-3))*(Scenario_DT!O$12+$O165)-Scenario_DT!O$13)*(1-Scenario_DT!O$14)+Scenario_DT!O$13-Scenario_DT!O$15)*Scenario_DT!O$16</f>
        <v>3173.9089074601388</v>
      </c>
      <c r="Y165" s="28">
        <f>((Scenario_DT!P$11*(IF(Scenario_DT!P$18=1,1,1+$M165/Scenario_DT!$C$19)*(1+$N165)^MAX(0,Scenario_DT!P$18-3))*(Scenario_DT!P$12+$O165)-Scenario_DT!P$13)*(1-Scenario_DT!P$14)+Scenario_DT!P$13-Scenario_DT!P$15)*Scenario_DT!P$16</f>
        <v>3359.6743836618557</v>
      </c>
      <c r="Z165" s="28">
        <f>((Scenario_DT!Q$11*(IF(Scenario_DT!Q$18=1,1,1+$M165/Scenario_DT!$C$19)*(1+$N165)^MAX(0,Scenario_DT!Q$18-3))*(Scenario_DT!Q$12+$O165)-Scenario_DT!Q$13)*(1-Scenario_DT!Q$14)+Scenario_DT!Q$13-Scenario_DT!Q$15)*Scenario_DT!Q$16</f>
        <v>3556.3257080231024</v>
      </c>
      <c r="AA165" s="28">
        <f>((Scenario_DT!R$11*(IF(Scenario_DT!R$18=1,1,1+$M165/Scenario_DT!$C$19)*(1+$N165)^MAX(0,Scenario_DT!R$18-3))*(Scenario_DT!R$12+$O165)-Scenario_DT!R$13)*(1-Scenario_DT!R$14)+Scenario_DT!R$13-Scenario_DT!R$15)*Scenario_DT!R$16</f>
        <v>3764.5037992811754</v>
      </c>
      <c r="AB165" s="17">
        <f>(Scenario_DT!$R$11*(1+$M165/Scenario_DT!$C$19)*(1+$N165)^7*(Scenario_DT!$R$12+$O165)*(1+MIN(DCF_FCFF!$C$26+$Q165,(DCF_FCFF!$C$25+$P165)-0.02))*(1-DCF_FCFF!$C$27)*(1-DCF_FCFF!$C$28)/((DCF_FCFF!$C$25+$P165)-MIN(DCF_FCFF!$C$26+$Q165,(DCF_FCFF!$C$25+$P165)-0.02)))*(1+(DCF_FCFF!$C$25+$P165))^(-(Inputs!$C$9+9))</f>
        <v>34135.813027199096</v>
      </c>
      <c r="AC165" s="17">
        <f>SUMPRODUCT(R165:AA165*(1+(DCF_FCFF!$C$25+$P165))^(-Scenario_DT!$I$17:$R$17))+AB165</f>
        <v>52307.78758320021</v>
      </c>
      <c r="AD165" s="68">
        <f>((AC165-DCF_FCFF!$C$48)*(1-DCF_FCFF!$C$50)+DCF_FCFF!$C$57+DCF_FCFF!$C$58)/DCF_FCFF!$C$60</f>
        <v>405.64591453440551</v>
      </c>
      <c r="AE165" s="6"/>
      <c r="AF165" s="6"/>
      <c r="AG165" s="6"/>
    </row>
    <row r="166" spans="1:33" x14ac:dyDescent="0.3">
      <c r="A166" s="6"/>
      <c r="B166" s="72">
        <v>135</v>
      </c>
      <c r="C166" s="73">
        <v>0.13682127802962599</v>
      </c>
      <c r="D166" s="73">
        <v>0.57487192962303402</v>
      </c>
      <c r="E166" s="73">
        <v>0.997580037262917</v>
      </c>
      <c r="F166" s="73">
        <v>0.70088101012065895</v>
      </c>
      <c r="G166" s="73">
        <v>0.59521284041337197</v>
      </c>
      <c r="H166" s="15">
        <f t="shared" si="21"/>
        <v>-1.094712624433839</v>
      </c>
      <c r="I166" s="15">
        <f t="shared" si="22"/>
        <v>0.18879161904792444</v>
      </c>
      <c r="J166" s="15">
        <f t="shared" si="23"/>
        <v>2.8174990706870569</v>
      </c>
      <c r="K166" s="15">
        <f t="shared" si="24"/>
        <v>0.52693607681503762</v>
      </c>
      <c r="L166" s="15">
        <f t="shared" si="25"/>
        <v>0.2409752239583248</v>
      </c>
      <c r="M166" s="18">
        <f t="shared" si="26"/>
        <v>-2.1894252488676779E-2</v>
      </c>
      <c r="N166" s="18">
        <f t="shared" si="27"/>
        <v>-3.0708637927985825E-3</v>
      </c>
      <c r="O166" s="18">
        <f t="shared" si="28"/>
        <v>3.3809988848244682E-2</v>
      </c>
      <c r="P166" s="18">
        <f t="shared" si="29"/>
        <v>3.1616164608902256E-3</v>
      </c>
      <c r="Q166" s="18">
        <f t="shared" si="30"/>
        <v>9.6390089583329921E-4</v>
      </c>
      <c r="R166" s="28">
        <f>((Scenario_DT!I$11*(IF(Scenario_DT!I$18=1,1,1+$M166/Scenario_DT!$C$19)*(1+$N166)^MAX(0,Scenario_DT!I$18-3))*(Scenario_DT!I$12+$O166)-Scenario_DT!I$13)*(1-Scenario_DT!I$14)+Scenario_DT!I$13-Scenario_DT!I$15)*Scenario_DT!I$16</f>
        <v>958.65298329957579</v>
      </c>
      <c r="S166" s="28">
        <f>((Scenario_DT!J$11*(IF(Scenario_DT!J$18=1,1,1+$M166/Scenario_DT!$C$19)*(1+$N166)^MAX(0,Scenario_DT!J$18-3))*(Scenario_DT!J$12+$O166)-Scenario_DT!J$13)*(1-Scenario_DT!J$14)+Scenario_DT!J$13-Scenario_DT!J$15)*Scenario_DT!J$16</f>
        <v>1882.0711908640346</v>
      </c>
      <c r="T166" s="28">
        <f>((Scenario_DT!K$11*(IF(Scenario_DT!K$18=1,1,1+$M166/Scenario_DT!$C$19)*(1+$N166)^MAX(0,Scenario_DT!K$18-3))*(Scenario_DT!K$12+$O166)-Scenario_DT!K$13)*(1-Scenario_DT!K$14)+Scenario_DT!K$13-Scenario_DT!K$15)*Scenario_DT!K$16</f>
        <v>2147.7337089277612</v>
      </c>
      <c r="U166" s="28">
        <f>((Scenario_DT!L$11*(IF(Scenario_DT!L$18=1,1,1+$M166/Scenario_DT!$C$19)*(1+$N166)^MAX(0,Scenario_DT!L$18-3))*(Scenario_DT!L$12+$O166)-Scenario_DT!L$13)*(1-Scenario_DT!L$14)+Scenario_DT!L$13-Scenario_DT!L$15)*Scenario_DT!L$16</f>
        <v>2544.039928213977</v>
      </c>
      <c r="V166" s="28">
        <f>((Scenario_DT!M$11*(IF(Scenario_DT!M$18=1,1,1+$M166/Scenario_DT!$C$19)*(1+$N166)^MAX(0,Scenario_DT!M$18-3))*(Scenario_DT!M$12+$O166)-Scenario_DT!M$13)*(1-Scenario_DT!M$14)+Scenario_DT!M$13-Scenario_DT!M$15)*Scenario_DT!M$16</f>
        <v>2662.2630632477722</v>
      </c>
      <c r="W166" s="28">
        <f>((Scenario_DT!N$11*(IF(Scenario_DT!N$18=1,1,1+$M166/Scenario_DT!$C$19)*(1+$N166)^MAX(0,Scenario_DT!N$18-3))*(Scenario_DT!N$12+$O166)-Scenario_DT!N$13)*(1-Scenario_DT!N$14)+Scenario_DT!N$13-Scenario_DT!N$15)*Scenario_DT!N$16</f>
        <v>2785.9680526959501</v>
      </c>
      <c r="X166" s="28">
        <f>((Scenario_DT!O$11*(IF(Scenario_DT!O$18=1,1,1+$M166/Scenario_DT!$C$19)*(1+$N166)^MAX(0,Scenario_DT!O$18-3))*(Scenario_DT!O$12+$O166)-Scenario_DT!O$13)*(1-Scenario_DT!O$14)+Scenario_DT!O$13-Scenario_DT!O$15)*Scenario_DT!O$16</f>
        <v>2915.4111289405164</v>
      </c>
      <c r="Y166" s="28">
        <f>((Scenario_DT!P$11*(IF(Scenario_DT!P$18=1,1,1+$M166/Scenario_DT!$C$19)*(1+$N166)^MAX(0,Scenario_DT!P$18-3))*(Scenario_DT!P$12+$O166)-Scenario_DT!P$13)*(1-Scenario_DT!P$14)+Scenario_DT!P$13-Scenario_DT!P$15)*Scenario_DT!P$16</f>
        <v>3050.860521628701</v>
      </c>
      <c r="Z166" s="28">
        <f>((Scenario_DT!Q$11*(IF(Scenario_DT!Q$18=1,1,1+$M166/Scenario_DT!$C$19)*(1+$N166)^MAX(0,Scenario_DT!Q$18-3))*(Scenario_DT!Q$12+$O166)-Scenario_DT!Q$13)*(1-Scenario_DT!Q$14)+Scenario_DT!Q$13-Scenario_DT!Q$15)*Scenario_DT!Q$16</f>
        <v>3192.5970196041726</v>
      </c>
      <c r="AA166" s="28">
        <f>((Scenario_DT!R$11*(IF(Scenario_DT!R$18=1,1,1+$M166/Scenario_DT!$C$19)*(1+$N166)^MAX(0,Scenario_DT!R$18-3))*(Scenario_DT!R$12+$O166)-Scenario_DT!R$13)*(1-Scenario_DT!R$14)+Scenario_DT!R$13-Scenario_DT!R$15)*Scenario_DT!R$16</f>
        <v>3340.9145591598176</v>
      </c>
      <c r="AB166" s="17">
        <f>(Scenario_DT!$R$11*(1+$M166/Scenario_DT!$C$19)*(1+$N166)^7*(Scenario_DT!$R$12+$O166)*(1+MIN(DCF_FCFF!$C$26+$Q166,(DCF_FCFF!$C$25+$P166)-0.02))*(1-DCF_FCFF!$C$27)*(1-DCF_FCFF!$C$28)/((DCF_FCFF!$C$25+$P166)-MIN(DCF_FCFF!$C$26+$Q166,(DCF_FCFF!$C$25+$P166)-0.02)))*(1+(DCF_FCFF!$C$25+$P166))^(-(Inputs!$C$9+9))</f>
        <v>26297.218854782255</v>
      </c>
      <c r="AC166" s="17">
        <f>SUMPRODUCT(R166:AA166*(1+(DCF_FCFF!$C$25+$P166))^(-Scenario_DT!$I$17:$R$17))+AB166</f>
        <v>42771.903274544231</v>
      </c>
      <c r="AD166" s="68">
        <f>((AC166-DCF_FCFF!$C$48)*(1-DCF_FCFF!$C$50)+DCF_FCFF!$C$57+DCF_FCFF!$C$58)/DCF_FCFF!$C$60</f>
        <v>314.11316887110826</v>
      </c>
      <c r="AE166" s="6"/>
      <c r="AF166" s="6"/>
      <c r="AG166" s="6"/>
    </row>
    <row r="167" spans="1:33" x14ac:dyDescent="0.3">
      <c r="A167" s="6"/>
      <c r="B167" s="72">
        <v>136</v>
      </c>
      <c r="C167" s="73">
        <v>0.392369092921794</v>
      </c>
      <c r="D167" s="73">
        <v>0.91529876028555501</v>
      </c>
      <c r="E167" s="73">
        <v>0.496916596130349</v>
      </c>
      <c r="F167" s="73">
        <v>0.134366913313062</v>
      </c>
      <c r="G167" s="73">
        <v>0.36537846319913397</v>
      </c>
      <c r="H167" s="15">
        <f t="shared" si="21"/>
        <v>-0.27314964516162515</v>
      </c>
      <c r="I167" s="15">
        <f t="shared" si="22"/>
        <v>1.3741262885286507</v>
      </c>
      <c r="J167" s="15">
        <f t="shared" si="23"/>
        <v>-7.7290242735895739E-3</v>
      </c>
      <c r="K167" s="15">
        <f t="shared" si="24"/>
        <v>-1.1059831176743198</v>
      </c>
      <c r="L167" s="15">
        <f t="shared" si="25"/>
        <v>-0.34411882472609229</v>
      </c>
      <c r="M167" s="18">
        <f t="shared" si="26"/>
        <v>-5.4629929032325034E-3</v>
      </c>
      <c r="N167" s="18">
        <f t="shared" si="27"/>
        <v>8.4276276103441936E-3</v>
      </c>
      <c r="O167" s="18">
        <f t="shared" si="28"/>
        <v>-9.274829128307489E-5</v>
      </c>
      <c r="P167" s="18">
        <f t="shared" si="29"/>
        <v>-6.6358987060459191E-3</v>
      </c>
      <c r="Q167" s="18">
        <f t="shared" si="30"/>
        <v>-1.3764752989043692E-3</v>
      </c>
      <c r="R167" s="28">
        <f>((Scenario_DT!I$11*(IF(Scenario_DT!I$18=1,1,1+$M167/Scenario_DT!$C$19)*(1+$N167)^MAX(0,Scenario_DT!I$18-3))*(Scenario_DT!I$12+$O167)-Scenario_DT!I$13)*(1-Scenario_DT!I$14)+Scenario_DT!I$13-Scenario_DT!I$15)*Scenario_DT!I$16</f>
        <v>910.85377242483889</v>
      </c>
      <c r="S167" s="28">
        <f>((Scenario_DT!J$11*(IF(Scenario_DT!J$18=1,1,1+$M167/Scenario_DT!$C$19)*(1+$N167)^MAX(0,Scenario_DT!J$18-3))*(Scenario_DT!J$12+$O167)-Scenario_DT!J$13)*(1-Scenario_DT!J$14)+Scenario_DT!J$13-Scenario_DT!J$15)*Scenario_DT!J$16</f>
        <v>1818.5314695475158</v>
      </c>
      <c r="T167" s="28">
        <f>((Scenario_DT!K$11*(IF(Scenario_DT!K$18=1,1,1+$M167/Scenario_DT!$C$19)*(1+$N167)^MAX(0,Scenario_DT!K$18-3))*(Scenario_DT!K$12+$O167)-Scenario_DT!K$13)*(1-Scenario_DT!K$14)+Scenario_DT!K$13-Scenario_DT!K$15)*Scenario_DT!K$16</f>
        <v>2082.4444355308906</v>
      </c>
      <c r="U167" s="28">
        <f>((Scenario_DT!L$11*(IF(Scenario_DT!L$18=1,1,1+$M167/Scenario_DT!$C$19)*(1+$N167)^MAX(0,Scenario_DT!L$18-3))*(Scenario_DT!L$12+$O167)-Scenario_DT!L$13)*(1-Scenario_DT!L$14)+Scenario_DT!L$13-Scenario_DT!L$15)*Scenario_DT!L$16</f>
        <v>2503.6704142409799</v>
      </c>
      <c r="V167" s="28">
        <f>((Scenario_DT!M$11*(IF(Scenario_DT!M$18=1,1,1+$M167/Scenario_DT!$C$19)*(1+$N167)^MAX(0,Scenario_DT!M$18-3))*(Scenario_DT!M$12+$O167)-Scenario_DT!M$13)*(1-Scenario_DT!M$14)+Scenario_DT!M$13-Scenario_DT!M$15)*Scenario_DT!M$16</f>
        <v>2650.4368331284809</v>
      </c>
      <c r="W167" s="28">
        <f>((Scenario_DT!N$11*(IF(Scenario_DT!N$18=1,1,1+$M167/Scenario_DT!$C$19)*(1+$N167)^MAX(0,Scenario_DT!N$18-3))*(Scenario_DT!N$12+$O167)-Scenario_DT!N$13)*(1-Scenario_DT!N$14)+Scenario_DT!N$13-Scenario_DT!N$15)*Scenario_DT!N$16</f>
        <v>2805.8111044793018</v>
      </c>
      <c r="X167" s="28">
        <f>((Scenario_DT!O$11*(IF(Scenario_DT!O$18=1,1,1+$M167/Scenario_DT!$C$19)*(1+$N167)^MAX(0,Scenario_DT!O$18-3))*(Scenario_DT!O$12+$O167)-Scenario_DT!O$13)*(1-Scenario_DT!O$14)+Scenario_DT!O$13-Scenario_DT!O$15)*Scenario_DT!O$16</f>
        <v>2970.3010719550189</v>
      </c>
      <c r="Y167" s="28">
        <f>((Scenario_DT!P$11*(IF(Scenario_DT!P$18=1,1,1+$M167/Scenario_DT!$C$19)*(1+$N167)^MAX(0,Scenario_DT!P$18-3))*(Scenario_DT!P$12+$O167)-Scenario_DT!P$13)*(1-Scenario_DT!P$14)+Scenario_DT!P$13-Scenario_DT!P$15)*Scenario_DT!P$16</f>
        <v>3144.4445478973262</v>
      </c>
      <c r="Z167" s="28">
        <f>((Scenario_DT!Q$11*(IF(Scenario_DT!Q$18=1,1,1+$M167/Scenario_DT!$C$19)*(1+$N167)^MAX(0,Scenario_DT!Q$18-3))*(Scenario_DT!Q$12+$O167)-Scenario_DT!Q$13)*(1-Scenario_DT!Q$14)+Scenario_DT!Q$13-Scenario_DT!Q$15)*Scenario_DT!Q$16</f>
        <v>3328.8110808731126</v>
      </c>
      <c r="AA167" s="28">
        <f>((Scenario_DT!R$11*(IF(Scenario_DT!R$18=1,1,1+$M167/Scenario_DT!$C$19)*(1+$N167)^MAX(0,Scenario_DT!R$18-3))*(Scenario_DT!R$12+$O167)-Scenario_DT!R$13)*(1-Scenario_DT!R$14)+Scenario_DT!R$13-Scenario_DT!R$15)*Scenario_DT!R$16</f>
        <v>3524.0038274137096</v>
      </c>
      <c r="AB167" s="17">
        <f>(Scenario_DT!$R$11*(1+$M167/Scenario_DT!$C$19)*(1+$N167)^7*(Scenario_DT!$R$12+$O167)*(1+MIN(DCF_FCFF!$C$26+$Q167,(DCF_FCFF!$C$25+$P167)-0.02))*(1-DCF_FCFF!$C$27)*(1-DCF_FCFF!$C$28)/((DCF_FCFF!$C$25+$P167)-MIN(DCF_FCFF!$C$26+$Q167,(DCF_FCFF!$C$25+$P167)-0.02)))*(1+(DCF_FCFF!$C$25+$P167))^(-(Inputs!$C$9+9))</f>
        <v>35102.328530744257</v>
      </c>
      <c r="AC167" s="17">
        <f>SUMPRODUCT(R167:AA167*(1+(DCF_FCFF!$C$25+$P167))^(-Scenario_DT!$I$17:$R$17))+AB167</f>
        <v>52331.072477777037</v>
      </c>
      <c r="AD167" s="68">
        <f>((AC167-DCF_FCFF!$C$48)*(1-DCF_FCFF!$C$50)+DCF_FCFF!$C$57+DCF_FCFF!$C$58)/DCF_FCFF!$C$60</f>
        <v>405.86942084636473</v>
      </c>
      <c r="AE167" s="6"/>
      <c r="AF167" s="6"/>
      <c r="AG167" s="6"/>
    </row>
    <row r="168" spans="1:33" x14ac:dyDescent="0.3">
      <c r="A168" s="6"/>
      <c r="B168" s="72">
        <v>137</v>
      </c>
      <c r="C168" s="73">
        <v>6.7166668847766897E-2</v>
      </c>
      <c r="D168" s="73">
        <v>0.201979037688782</v>
      </c>
      <c r="E168" s="73">
        <v>1.76687809999122E-2</v>
      </c>
      <c r="F168" s="73">
        <v>0.45327991650016303</v>
      </c>
      <c r="G168" s="73">
        <v>0.63454026495179705</v>
      </c>
      <c r="H168" s="15">
        <f t="shared" si="21"/>
        <v>-1.4972303234436057</v>
      </c>
      <c r="I168" s="15">
        <f t="shared" si="22"/>
        <v>-0.83457316711040663</v>
      </c>
      <c r="J168" s="15">
        <f t="shared" si="23"/>
        <v>-2.1044689312430682</v>
      </c>
      <c r="K168" s="15">
        <f t="shared" si="24"/>
        <v>-0.11737886319740864</v>
      </c>
      <c r="L168" s="15">
        <f t="shared" si="25"/>
        <v>0.3439026882737814</v>
      </c>
      <c r="M168" s="18">
        <f t="shared" si="26"/>
        <v>-2.9944606468872117E-2</v>
      </c>
      <c r="N168" s="18">
        <f t="shared" si="27"/>
        <v>-1.1771013806050003E-2</v>
      </c>
      <c r="O168" s="18">
        <f t="shared" si="28"/>
        <v>-2.5253627174916818E-2</v>
      </c>
      <c r="P168" s="18">
        <f t="shared" si="29"/>
        <v>-7.0427317918445183E-4</v>
      </c>
      <c r="Q168" s="18">
        <f t="shared" si="30"/>
        <v>1.3756107530951255E-3</v>
      </c>
      <c r="R168" s="28">
        <f>((Scenario_DT!I$11*(IF(Scenario_DT!I$18=1,1,1+$M168/Scenario_DT!$C$19)*(1+$N168)^MAX(0,Scenario_DT!I$18-3))*(Scenario_DT!I$12+$O168)-Scenario_DT!I$13)*(1-Scenario_DT!I$14)+Scenario_DT!I$13-Scenario_DT!I$15)*Scenario_DT!I$16</f>
        <v>875.3796409232167</v>
      </c>
      <c r="S168" s="28">
        <f>((Scenario_DT!J$11*(IF(Scenario_DT!J$18=1,1,1+$M168/Scenario_DT!$C$19)*(1+$N168)^MAX(0,Scenario_DT!J$18-3))*(Scenario_DT!J$12+$O168)-Scenario_DT!J$13)*(1-Scenario_DT!J$14)+Scenario_DT!J$13-Scenario_DT!J$15)*Scenario_DT!J$16</f>
        <v>1684.1706032140637</v>
      </c>
      <c r="T168" s="28">
        <f>((Scenario_DT!K$11*(IF(Scenario_DT!K$18=1,1,1+$M168/Scenario_DT!$C$19)*(1+$N168)^MAX(0,Scenario_DT!K$18-3))*(Scenario_DT!K$12+$O168)-Scenario_DT!K$13)*(1-Scenario_DT!K$14)+Scenario_DT!K$13-Scenario_DT!K$15)*Scenario_DT!K$16</f>
        <v>1942.3701381613319</v>
      </c>
      <c r="U168" s="28">
        <f>((Scenario_DT!L$11*(IF(Scenario_DT!L$18=1,1,1+$M168/Scenario_DT!$C$19)*(1+$N168)^MAX(0,Scenario_DT!L$18-3))*(Scenario_DT!L$12+$O168)-Scenario_DT!L$13)*(1-Scenario_DT!L$14)+Scenario_DT!L$13-Scenario_DT!L$15)*Scenario_DT!L$16</f>
        <v>2306.2073062808831</v>
      </c>
      <c r="V168" s="28">
        <f>((Scenario_DT!M$11*(IF(Scenario_DT!M$18=1,1,1+$M168/Scenario_DT!$C$19)*(1+$N168)^MAX(0,Scenario_DT!M$18-3))*(Scenario_DT!M$12+$O168)-Scenario_DT!M$13)*(1-Scenario_DT!M$14)+Scenario_DT!M$13-Scenario_DT!M$15)*Scenario_DT!M$16</f>
        <v>2392.0839577009087</v>
      </c>
      <c r="W168" s="28">
        <f>((Scenario_DT!N$11*(IF(Scenario_DT!N$18=1,1,1+$M168/Scenario_DT!$C$19)*(1+$N168)^MAX(0,Scenario_DT!N$18-3))*(Scenario_DT!N$12+$O168)-Scenario_DT!N$13)*(1-Scenario_DT!N$14)+Scenario_DT!N$13-Scenario_DT!N$15)*Scenario_DT!N$16</f>
        <v>2481.13064273593</v>
      </c>
      <c r="X168" s="28">
        <f>((Scenario_DT!O$11*(IF(Scenario_DT!O$18=1,1,1+$M168/Scenario_DT!$C$19)*(1+$N168)^MAX(0,Scenario_DT!O$18-3))*(Scenario_DT!O$12+$O168)-Scenario_DT!O$13)*(1-Scenario_DT!O$14)+Scenario_DT!O$13-Scenario_DT!O$15)*Scenario_DT!O$16</f>
        <v>2573.4653899932177</v>
      </c>
      <c r="Y168" s="28">
        <f>((Scenario_DT!P$11*(IF(Scenario_DT!P$18=1,1,1+$M168/Scenario_DT!$C$19)*(1+$N168)^MAX(0,Scenario_DT!P$18-3))*(Scenario_DT!P$12+$O168)-Scenario_DT!P$13)*(1-Scenario_DT!P$14)+Scenario_DT!P$13-Scenario_DT!P$15)*Scenario_DT!P$16</f>
        <v>2669.2106290473016</v>
      </c>
      <c r="Z168" s="28">
        <f>((Scenario_DT!Q$11*(IF(Scenario_DT!Q$18=1,1,1+$M168/Scenario_DT!$C$19)*(1+$N168)^MAX(0,Scenario_DT!Q$18-3))*(Scenario_DT!Q$12+$O168)-Scenario_DT!Q$13)*(1-Scenario_DT!Q$14)+Scenario_DT!Q$13-Scenario_DT!Q$15)*Scenario_DT!Q$16</f>
        <v>2768.4933544508699</v>
      </c>
      <c r="AA168" s="28">
        <f>((Scenario_DT!R$11*(IF(Scenario_DT!R$18=1,1,1+$M168/Scenario_DT!$C$19)*(1+$N168)^MAX(0,Scenario_DT!R$18-3))*(Scenario_DT!R$12+$O168)-Scenario_DT!R$13)*(1-Scenario_DT!R$14)+Scenario_DT!R$13-Scenario_DT!R$15)*Scenario_DT!R$16</f>
        <v>2871.4452958508209</v>
      </c>
      <c r="AB168" s="17">
        <f>(Scenario_DT!$R$11*(1+$M168/Scenario_DT!$C$19)*(1+$N168)^7*(Scenario_DT!$R$12+$O168)*(1+MIN(DCF_FCFF!$C$26+$Q168,(DCF_FCFF!$C$25+$P168)-0.02))*(1-DCF_FCFF!$C$27)*(1-DCF_FCFF!$C$28)/((DCF_FCFF!$C$25+$P168)-MIN(DCF_FCFF!$C$26+$Q168,(DCF_FCFF!$C$25+$P168)-0.02)))*(1+(DCF_FCFF!$C$25+$P168))^(-(Inputs!$C$9+9))</f>
        <v>25486.982772508742</v>
      </c>
      <c r="AC168" s="17">
        <f>SUMPRODUCT(R168:AA168*(1+(DCF_FCFF!$C$25+$P168))^(-Scenario_DT!$I$17:$R$17))+AB168</f>
        <v>40372.530350308138</v>
      </c>
      <c r="AD168" s="68">
        <f>((AC168-DCF_FCFF!$C$48)*(1-DCF_FCFF!$C$50)+DCF_FCFF!$C$57+DCF_FCFF!$C$58)/DCF_FCFF!$C$60</f>
        <v>291.08214369118355</v>
      </c>
      <c r="AE168" s="6"/>
      <c r="AF168" s="6"/>
      <c r="AG168" s="6"/>
    </row>
    <row r="169" spans="1:33" x14ac:dyDescent="0.3">
      <c r="A169" s="6"/>
      <c r="B169" s="72">
        <v>138</v>
      </c>
      <c r="C169" s="73">
        <v>0.34329246237890798</v>
      </c>
      <c r="D169" s="73">
        <v>0.420381771505277</v>
      </c>
      <c r="E169" s="73">
        <v>0.95920927284457602</v>
      </c>
      <c r="F169" s="73">
        <v>0.75196312157491596</v>
      </c>
      <c r="G169" s="73">
        <v>0.54085663694495101</v>
      </c>
      <c r="H169" s="15">
        <f t="shared" si="21"/>
        <v>-0.40349389533253288</v>
      </c>
      <c r="I169" s="15">
        <f t="shared" si="22"/>
        <v>-0.20091691261709207</v>
      </c>
      <c r="J169" s="15">
        <f t="shared" si="23"/>
        <v>1.7415829078537721</v>
      </c>
      <c r="K169" s="15">
        <f t="shared" si="24"/>
        <v>0.68068037489323596</v>
      </c>
      <c r="L169" s="15">
        <f t="shared" si="25"/>
        <v>0.10259208353516677</v>
      </c>
      <c r="M169" s="18">
        <f t="shared" si="26"/>
        <v>-8.0698779066506569E-3</v>
      </c>
      <c r="N169" s="18">
        <f t="shared" si="27"/>
        <v>-3.0059687843408513E-3</v>
      </c>
      <c r="O169" s="18">
        <f t="shared" si="28"/>
        <v>2.0898994894245265E-2</v>
      </c>
      <c r="P169" s="18">
        <f t="shared" si="29"/>
        <v>4.0840822493594161E-3</v>
      </c>
      <c r="Q169" s="18">
        <f t="shared" si="30"/>
        <v>4.1036833414066711E-4</v>
      </c>
      <c r="R169" s="28">
        <f>((Scenario_DT!I$11*(IF(Scenario_DT!I$18=1,1,1+$M169/Scenario_DT!$C$19)*(1+$N169)^MAX(0,Scenario_DT!I$18-3))*(Scenario_DT!I$12+$O169)-Scenario_DT!I$13)*(1-Scenario_DT!I$14)+Scenario_DT!I$13-Scenario_DT!I$15)*Scenario_DT!I$16</f>
        <v>940.44987125968828</v>
      </c>
      <c r="S169" s="28">
        <f>((Scenario_DT!J$11*(IF(Scenario_DT!J$18=1,1,1+$M169/Scenario_DT!$C$19)*(1+$N169)^MAX(0,Scenario_DT!J$18-3))*(Scenario_DT!J$12+$O169)-Scenario_DT!J$13)*(1-Scenario_DT!J$14)+Scenario_DT!J$13-Scenario_DT!J$15)*Scenario_DT!J$16</f>
        <v>1876.9624301727686</v>
      </c>
      <c r="T169" s="28">
        <f>((Scenario_DT!K$11*(IF(Scenario_DT!K$18=1,1,1+$M169/Scenario_DT!$C$19)*(1+$N169)^MAX(0,Scenario_DT!K$18-3))*(Scenario_DT!K$12+$O169)-Scenario_DT!K$13)*(1-Scenario_DT!K$14)+Scenario_DT!K$13-Scenario_DT!K$15)*Scenario_DT!K$16</f>
        <v>2142.9094143272746</v>
      </c>
      <c r="U169" s="28">
        <f>((Scenario_DT!L$11*(IF(Scenario_DT!L$18=1,1,1+$M169/Scenario_DT!$C$19)*(1+$N169)^MAX(0,Scenario_DT!L$18-3))*(Scenario_DT!L$12+$O169)-Scenario_DT!L$13)*(1-Scenario_DT!L$14)+Scenario_DT!L$13-Scenario_DT!L$15)*Scenario_DT!L$16</f>
        <v>2539.0997030939566</v>
      </c>
      <c r="V169" s="28">
        <f>((Scenario_DT!M$11*(IF(Scenario_DT!M$18=1,1,1+$M169/Scenario_DT!$C$19)*(1+$N169)^MAX(0,Scenario_DT!M$18-3))*(Scenario_DT!M$12+$O169)-Scenario_DT!M$13)*(1-Scenario_DT!M$14)+Scenario_DT!M$13-Scenario_DT!M$15)*Scenario_DT!M$16</f>
        <v>2657.2659196598784</v>
      </c>
      <c r="W169" s="28">
        <f>((Scenario_DT!N$11*(IF(Scenario_DT!N$18=1,1,1+$M169/Scenario_DT!$C$19)*(1+$N169)^MAX(0,Scenario_DT!N$18-3))*(Scenario_DT!N$12+$O169)-Scenario_DT!N$13)*(1-Scenario_DT!N$14)+Scenario_DT!N$13-Scenario_DT!N$15)*Scenario_DT!N$16</f>
        <v>2780.9194867131614</v>
      </c>
      <c r="X169" s="28">
        <f>((Scenario_DT!O$11*(IF(Scenario_DT!O$18=1,1,1+$M169/Scenario_DT!$C$19)*(1+$N169)^MAX(0,Scenario_DT!O$18-3))*(Scenario_DT!O$12+$O169)-Scenario_DT!O$13)*(1-Scenario_DT!O$14)+Scenario_DT!O$13-Scenario_DT!O$15)*Scenario_DT!O$16</f>
        <v>2910.3172758909827</v>
      </c>
      <c r="Y169" s="28">
        <f>((Scenario_DT!P$11*(IF(Scenario_DT!P$18=1,1,1+$M169/Scenario_DT!$C$19)*(1+$N169)^MAX(0,Scenario_DT!P$18-3))*(Scenario_DT!P$12+$O169)-Scenario_DT!P$13)*(1-Scenario_DT!P$14)+Scenario_DT!P$13-Scenario_DT!P$15)*Scenario_DT!P$16</f>
        <v>3045.7282038996968</v>
      </c>
      <c r="Z169" s="28">
        <f>((Scenario_DT!Q$11*(IF(Scenario_DT!Q$18=1,1,1+$M169/Scenario_DT!$C$19)*(1+$N169)^MAX(0,Scenario_DT!Q$18-3))*(Scenario_DT!Q$12+$O169)-Scenario_DT!Q$13)*(1-Scenario_DT!Q$14)+Scenario_DT!Q$13-Scenario_DT!Q$15)*Scenario_DT!Q$16</f>
        <v>3187.4337975207254</v>
      </c>
      <c r="AA169" s="28">
        <f>((Scenario_DT!R$11*(IF(Scenario_DT!R$18=1,1,1+$M169/Scenario_DT!$C$19)*(1+$N169)^MAX(0,Scenario_DT!R$18-3))*(Scenario_DT!R$12+$O169)-Scenario_DT!R$13)*(1-Scenario_DT!R$14)+Scenario_DT!R$13-Scenario_DT!R$15)*Scenario_DT!R$16</f>
        <v>3335.7287851211163</v>
      </c>
      <c r="AB169" s="17">
        <f>(Scenario_DT!$R$11*(1+$M169/Scenario_DT!$C$19)*(1+$N169)^7*(Scenario_DT!$R$12+$O169)*(1+MIN(DCF_FCFF!$C$26+$Q169,(DCF_FCFF!$C$25+$P169)-0.02))*(1-DCF_FCFF!$C$27)*(1-DCF_FCFF!$C$28)/((DCF_FCFF!$C$25+$P169)-MIN(DCF_FCFF!$C$26+$Q169,(DCF_FCFF!$C$25+$P169)-0.02)))*(1+(DCF_FCFF!$C$25+$P169))^(-(Inputs!$C$9+9))</f>
        <v>25323.379624798246</v>
      </c>
      <c r="AC169" s="17">
        <f>SUMPRODUCT(R169:AA169*(1+(DCF_FCFF!$C$25+$P169))^(-Scenario_DT!$I$17:$R$17))+AB169</f>
        <v>41687.389025520621</v>
      </c>
      <c r="AD169" s="68">
        <f>((AC169-DCF_FCFF!$C$48)*(1-DCF_FCFF!$C$50)+DCF_FCFF!$C$57+DCF_FCFF!$C$58)/DCF_FCFF!$C$60</f>
        <v>303.70316768915268</v>
      </c>
      <c r="AE169" s="6"/>
      <c r="AF169" s="6"/>
      <c r="AG169" s="6"/>
    </row>
    <row r="170" spans="1:33" x14ac:dyDescent="0.3">
      <c r="A170" s="6"/>
      <c r="B170" s="72">
        <v>139</v>
      </c>
      <c r="C170" s="73">
        <v>0.28454087511182502</v>
      </c>
      <c r="D170" s="73">
        <v>0.89699679877299499</v>
      </c>
      <c r="E170" s="73">
        <v>0.23509711688066001</v>
      </c>
      <c r="F170" s="73">
        <v>0.325342730516677</v>
      </c>
      <c r="G170" s="73">
        <v>0.90906481442294895</v>
      </c>
      <c r="H170" s="15">
        <f t="shared" si="21"/>
        <v>-0.56940437244745301</v>
      </c>
      <c r="I170" s="15">
        <f t="shared" si="22"/>
        <v>1.264623283581199</v>
      </c>
      <c r="J170" s="15">
        <f t="shared" si="23"/>
        <v>-0.72216305654709878</v>
      </c>
      <c r="K170" s="15">
        <f t="shared" si="24"/>
        <v>-0.45281014049801616</v>
      </c>
      <c r="L170" s="15">
        <f t="shared" si="25"/>
        <v>1.3350182570214586</v>
      </c>
      <c r="M170" s="18">
        <f t="shared" si="26"/>
        <v>-1.138808744894906E-2</v>
      </c>
      <c r="N170" s="18">
        <f t="shared" si="27"/>
        <v>6.4839496285990722E-3</v>
      </c>
      <c r="O170" s="18">
        <f t="shared" si="28"/>
        <v>-8.6659566785651856E-3</v>
      </c>
      <c r="P170" s="18">
        <f t="shared" si="29"/>
        <v>-2.7168608429880971E-3</v>
      </c>
      <c r="Q170" s="18">
        <f t="shared" si="30"/>
        <v>5.3400730280858347E-3</v>
      </c>
      <c r="R170" s="28">
        <f>((Scenario_DT!I$11*(IF(Scenario_DT!I$18=1,1,1+$M170/Scenario_DT!$C$19)*(1+$N170)^MAX(0,Scenario_DT!I$18-3))*(Scenario_DT!I$12+$O170)-Scenario_DT!I$13)*(1-Scenario_DT!I$14)+Scenario_DT!I$13-Scenario_DT!I$15)*Scenario_DT!I$16</f>
        <v>898.76647121696749</v>
      </c>
      <c r="S170" s="28">
        <f>((Scenario_DT!J$11*(IF(Scenario_DT!J$18=1,1,1+$M170/Scenario_DT!$C$19)*(1+$N170)^MAX(0,Scenario_DT!J$18-3))*(Scenario_DT!J$12+$O170)-Scenario_DT!J$13)*(1-Scenario_DT!J$14)+Scenario_DT!J$13-Scenario_DT!J$15)*Scenario_DT!J$16</f>
        <v>1778.0145884576073</v>
      </c>
      <c r="T170" s="28">
        <f>((Scenario_DT!K$11*(IF(Scenario_DT!K$18=1,1,1+$M170/Scenario_DT!$C$19)*(1+$N170)^MAX(0,Scenario_DT!K$18-3))*(Scenario_DT!K$12+$O170)-Scenario_DT!K$13)*(1-Scenario_DT!K$14)+Scenario_DT!K$13-Scenario_DT!K$15)*Scenario_DT!K$16</f>
        <v>2040.2542083779767</v>
      </c>
      <c r="U170" s="28">
        <f>((Scenario_DT!L$11*(IF(Scenario_DT!L$18=1,1,1+$M170/Scenario_DT!$C$19)*(1+$N170)^MAX(0,Scenario_DT!L$18-3))*(Scenario_DT!L$12+$O170)-Scenario_DT!L$13)*(1-Scenario_DT!L$14)+Scenario_DT!L$13-Scenario_DT!L$15)*Scenario_DT!L$16</f>
        <v>2453.7251558848202</v>
      </c>
      <c r="V170" s="28">
        <f>((Scenario_DT!M$11*(IF(Scenario_DT!M$18=1,1,1+$M170/Scenario_DT!$C$19)*(1+$N170)^MAX(0,Scenario_DT!M$18-3))*(Scenario_DT!M$12+$O170)-Scenario_DT!M$13)*(1-Scenario_DT!M$14)+Scenario_DT!M$13-Scenario_DT!M$15)*Scenario_DT!M$16</f>
        <v>2592.5101923794809</v>
      </c>
      <c r="W170" s="28">
        <f>((Scenario_DT!N$11*(IF(Scenario_DT!N$18=1,1,1+$M170/Scenario_DT!$C$19)*(1+$N170)^MAX(0,Scenario_DT!N$18-3))*(Scenario_DT!N$12+$O170)-Scenario_DT!N$13)*(1-Scenario_DT!N$14)+Scenario_DT!N$13-Scenario_DT!N$15)*Scenario_DT!N$16</f>
        <v>2739.1469494991911</v>
      </c>
      <c r="X170" s="28">
        <f>((Scenario_DT!O$11*(IF(Scenario_DT!O$18=1,1,1+$M170/Scenario_DT!$C$19)*(1+$N170)^MAX(0,Scenario_DT!O$18-3))*(Scenario_DT!O$12+$O170)-Scenario_DT!O$13)*(1-Scenario_DT!O$14)+Scenario_DT!O$13-Scenario_DT!O$15)*Scenario_DT!O$16</f>
        <v>2894.0825014321736</v>
      </c>
      <c r="Y170" s="28">
        <f>((Scenario_DT!P$11*(IF(Scenario_DT!P$18=1,1,1+$M170/Scenario_DT!$C$19)*(1+$N170)^MAX(0,Scenario_DT!P$18-3))*(Scenario_DT!P$12+$O170)-Scenario_DT!P$13)*(1-Scenario_DT!P$14)+Scenario_DT!P$13-Scenario_DT!P$15)*Scenario_DT!P$16</f>
        <v>3057.7893904490425</v>
      </c>
      <c r="Z170" s="28">
        <f>((Scenario_DT!Q$11*(IF(Scenario_DT!Q$18=1,1,1+$M170/Scenario_DT!$C$19)*(1+$N170)^MAX(0,Scenario_DT!Q$18-3))*(Scenario_DT!Q$12+$O170)-Scenario_DT!Q$13)*(1-Scenario_DT!Q$14)+Scenario_DT!Q$13-Scenario_DT!Q$15)*Scenario_DT!Q$16</f>
        <v>3230.7670770801633</v>
      </c>
      <c r="AA170" s="28">
        <f>((Scenario_DT!R$11*(IF(Scenario_DT!R$18=1,1,1+$M170/Scenario_DT!$C$19)*(1+$N170)^MAX(0,Scenario_DT!R$18-3))*(Scenario_DT!R$12+$O170)-Scenario_DT!R$13)*(1-Scenario_DT!R$14)+Scenario_DT!R$13-Scenario_DT!R$15)*Scenario_DT!R$16</f>
        <v>3413.543472827299</v>
      </c>
      <c r="AB170" s="17">
        <f>(Scenario_DT!$R$11*(1+$M170/Scenario_DT!$C$19)*(1+$N170)^7*(Scenario_DT!$R$12+$O170)*(1+MIN(DCF_FCFF!$C$26+$Q170,(DCF_FCFF!$C$25+$P170)-0.02))*(1-DCF_FCFF!$C$27)*(1-DCF_FCFF!$C$28)/((DCF_FCFF!$C$25+$P170)-MIN(DCF_FCFF!$C$26+$Q170,(DCF_FCFF!$C$25+$P170)-0.02)))*(1+(DCF_FCFF!$C$25+$P170))^(-(Inputs!$C$9+9))</f>
        <v>35265.897235097647</v>
      </c>
      <c r="AC170" s="17">
        <f>SUMPRODUCT(R170:AA170*(1+(DCF_FCFF!$C$25+$P170))^(-Scenario_DT!$I$17:$R$17))+AB170</f>
        <v>51799.684441198639</v>
      </c>
      <c r="AD170" s="68">
        <f>((AC170-DCF_FCFF!$C$48)*(1-DCF_FCFF!$C$50)+DCF_FCFF!$C$57+DCF_FCFF!$C$58)/DCF_FCFF!$C$60</f>
        <v>400.76875011397158</v>
      </c>
      <c r="AE170" s="6"/>
      <c r="AF170" s="6"/>
      <c r="AG170" s="6"/>
    </row>
    <row r="171" spans="1:33" x14ac:dyDescent="0.3">
      <c r="A171" s="6"/>
      <c r="B171" s="72">
        <v>140</v>
      </c>
      <c r="C171" s="73">
        <v>0.52954205528507203</v>
      </c>
      <c r="D171" s="73">
        <v>0.74231794941797702</v>
      </c>
      <c r="E171" s="73">
        <v>0.59074479416376602</v>
      </c>
      <c r="F171" s="73">
        <v>0.65343920900949504</v>
      </c>
      <c r="G171" s="73">
        <v>0.29938329151482601</v>
      </c>
      <c r="H171" s="15">
        <f t="shared" si="21"/>
        <v>7.4118758198476117E-2</v>
      </c>
      <c r="I171" s="15">
        <f t="shared" si="22"/>
        <v>0.65050805375967546</v>
      </c>
      <c r="J171" s="15">
        <f t="shared" si="23"/>
        <v>0.22946128025445689</v>
      </c>
      <c r="K171" s="15">
        <f t="shared" si="24"/>
        <v>0.394622396865696</v>
      </c>
      <c r="L171" s="15">
        <f t="shared" si="25"/>
        <v>-0.52617505658375652</v>
      </c>
      <c r="M171" s="18">
        <f t="shared" si="26"/>
        <v>1.4823751639695224E-3</v>
      </c>
      <c r="N171" s="18">
        <f t="shared" si="27"/>
        <v>4.8033270321719227E-3</v>
      </c>
      <c r="O171" s="18">
        <f t="shared" si="28"/>
        <v>2.7535353630534828E-3</v>
      </c>
      <c r="P171" s="18">
        <f t="shared" si="29"/>
        <v>2.3677343811941759E-3</v>
      </c>
      <c r="Q171" s="18">
        <f t="shared" si="30"/>
        <v>-2.104700226335026E-3</v>
      </c>
      <c r="R171" s="28">
        <f>((Scenario_DT!I$11*(IF(Scenario_DT!I$18=1,1,1+$M171/Scenario_DT!$C$19)*(1+$N171)^MAX(0,Scenario_DT!I$18-3))*(Scenario_DT!I$12+$O171)-Scenario_DT!I$13)*(1-Scenario_DT!I$14)+Scenario_DT!I$13-Scenario_DT!I$15)*Scenario_DT!I$16</f>
        <v>914.8667260705289</v>
      </c>
      <c r="S171" s="28">
        <f>((Scenario_DT!J$11*(IF(Scenario_DT!J$18=1,1,1+$M171/Scenario_DT!$C$19)*(1+$N171)^MAX(0,Scenario_DT!J$18-3))*(Scenario_DT!J$12+$O171)-Scenario_DT!J$13)*(1-Scenario_DT!J$14)+Scenario_DT!J$13-Scenario_DT!J$15)*Scenario_DT!J$16</f>
        <v>1844.0316437246515</v>
      </c>
      <c r="T171" s="28">
        <f>((Scenario_DT!K$11*(IF(Scenario_DT!K$18=1,1,1+$M171/Scenario_DT!$C$19)*(1+$N171)^MAX(0,Scenario_DT!K$18-3))*(Scenario_DT!K$12+$O171)-Scenario_DT!K$13)*(1-Scenario_DT!K$14)+Scenario_DT!K$13-Scenario_DT!K$15)*Scenario_DT!K$16</f>
        <v>2109.1071259245441</v>
      </c>
      <c r="U171" s="28">
        <f>((Scenario_DT!L$11*(IF(Scenario_DT!L$18=1,1,1+$M171/Scenario_DT!$C$19)*(1+$N171)^MAX(0,Scenario_DT!L$18-3))*(Scenario_DT!L$12+$O171)-Scenario_DT!L$13)*(1-Scenario_DT!L$14)+Scenario_DT!L$13-Scenario_DT!L$15)*Scenario_DT!L$16</f>
        <v>2523.0573587710692</v>
      </c>
      <c r="V171" s="28">
        <f>((Scenario_DT!M$11*(IF(Scenario_DT!M$18=1,1,1+$M171/Scenario_DT!$C$19)*(1+$N171)^MAX(0,Scenario_DT!M$18-3))*(Scenario_DT!M$12+$O171)-Scenario_DT!M$13)*(1-Scenario_DT!M$14)+Scenario_DT!M$13-Scenario_DT!M$15)*Scenario_DT!M$16</f>
        <v>2661.2989283582542</v>
      </c>
      <c r="W171" s="28">
        <f>((Scenario_DT!N$11*(IF(Scenario_DT!N$18=1,1,1+$M171/Scenario_DT!$C$19)*(1+$N171)^MAX(0,Scenario_DT!N$18-3))*(Scenario_DT!N$12+$O171)-Scenario_DT!N$13)*(1-Scenario_DT!N$14)+Scenario_DT!N$13-Scenario_DT!N$15)*Scenario_DT!N$16</f>
        <v>2807.1146347318568</v>
      </c>
      <c r="X171" s="28">
        <f>((Scenario_DT!O$11*(IF(Scenario_DT!O$18=1,1,1+$M171/Scenario_DT!$C$19)*(1+$N171)^MAX(0,Scenario_DT!O$18-3))*(Scenario_DT!O$12+$O171)-Scenario_DT!O$13)*(1-Scenario_DT!O$14)+Scenario_DT!O$13-Scenario_DT!O$15)*Scenario_DT!O$16</f>
        <v>2960.9222032493039</v>
      </c>
      <c r="Y171" s="28">
        <f>((Scenario_DT!P$11*(IF(Scenario_DT!P$18=1,1,1+$M171/Scenario_DT!$C$19)*(1+$N171)^MAX(0,Scenario_DT!P$18-3))*(Scenario_DT!P$12+$O171)-Scenario_DT!P$13)*(1-Scenario_DT!P$14)+Scenario_DT!P$13-Scenario_DT!P$15)*Scenario_DT!P$16</f>
        <v>3123.1624126176835</v>
      </c>
      <c r="Z171" s="28">
        <f>((Scenario_DT!Q$11*(IF(Scenario_DT!Q$18=1,1,1+$M171/Scenario_DT!$C$19)*(1+$N171)^MAX(0,Scenario_DT!Q$18-3))*(Scenario_DT!Q$12+$O171)-Scenario_DT!Q$13)*(1-Scenario_DT!Q$14)+Scenario_DT!Q$13-Scenario_DT!Q$15)*Scenario_DT!Q$16</f>
        <v>3294.3003667507005</v>
      </c>
      <c r="AA171" s="28">
        <f>((Scenario_DT!R$11*(IF(Scenario_DT!R$18=1,1,1+$M171/Scenario_DT!$C$19)*(1+$N171)^MAX(0,Scenario_DT!R$18-3))*(Scenario_DT!R$12+$O171)-Scenario_DT!R$13)*(1-Scenario_DT!R$14)+Scenario_DT!R$13-Scenario_DT!R$15)*Scenario_DT!R$16</f>
        <v>3474.8268367651713</v>
      </c>
      <c r="AB171" s="17">
        <f>(Scenario_DT!$R$11*(1+$M171/Scenario_DT!$C$19)*(1+$N171)^7*(Scenario_DT!$R$12+$O171)*(1+MIN(DCF_FCFF!$C$26+$Q171,(DCF_FCFF!$C$25+$P171)-0.02))*(1-DCF_FCFF!$C$27)*(1-DCF_FCFF!$C$28)/((DCF_FCFF!$C$25+$P171)-MIN(DCF_FCFF!$C$26+$Q171,(DCF_FCFF!$C$25+$P171)-0.02)))*(1+(DCF_FCFF!$C$25+$P171))^(-(Inputs!$C$9+9))</f>
        <v>26312.028484936593</v>
      </c>
      <c r="AC171" s="17">
        <f>SUMPRODUCT(R171:AA171*(1+(DCF_FCFF!$C$25+$P171))^(-Scenario_DT!$I$17:$R$17))+AB171</f>
        <v>42904.251657408473</v>
      </c>
      <c r="AD171" s="68">
        <f>((AC171-DCF_FCFF!$C$48)*(1-DCF_FCFF!$C$50)+DCF_FCFF!$C$57+DCF_FCFF!$C$58)/DCF_FCFF!$C$60</f>
        <v>315.38355035598687</v>
      </c>
      <c r="AE171" s="6"/>
      <c r="AF171" s="6"/>
      <c r="AG171" s="6"/>
    </row>
    <row r="172" spans="1:33" x14ac:dyDescent="0.3">
      <c r="A172" s="6"/>
      <c r="B172" s="72">
        <v>141</v>
      </c>
      <c r="C172" s="73">
        <v>0.241372061626663</v>
      </c>
      <c r="D172" s="73">
        <v>0.32249234716866498</v>
      </c>
      <c r="E172" s="73">
        <v>0.155441564083423</v>
      </c>
      <c r="F172" s="73">
        <v>0.87431436529080697</v>
      </c>
      <c r="G172" s="73">
        <v>0.28324693325011402</v>
      </c>
      <c r="H172" s="15">
        <f t="shared" si="21"/>
        <v>-0.70189584027909846</v>
      </c>
      <c r="I172" s="15">
        <f t="shared" si="22"/>
        <v>-0.46074063965275536</v>
      </c>
      <c r="J172" s="15">
        <f t="shared" si="23"/>
        <v>-1.0133707019768481</v>
      </c>
      <c r="K172" s="15">
        <f t="shared" si="24"/>
        <v>1.1470250466981242</v>
      </c>
      <c r="L172" s="15">
        <f t="shared" si="25"/>
        <v>-0.57322277367330376</v>
      </c>
      <c r="M172" s="18">
        <f t="shared" si="26"/>
        <v>-1.403791680558197E-2</v>
      </c>
      <c r="N172" s="18">
        <f t="shared" si="27"/>
        <v>-5.9996881490778173E-3</v>
      </c>
      <c r="O172" s="18">
        <f t="shared" si="28"/>
        <v>-1.2160448423722178E-2</v>
      </c>
      <c r="P172" s="18">
        <f t="shared" si="29"/>
        <v>6.8821502801887455E-3</v>
      </c>
      <c r="Q172" s="18">
        <f t="shared" si="30"/>
        <v>-2.2928910946932151E-3</v>
      </c>
      <c r="R172" s="28">
        <f>((Scenario_DT!I$11*(IF(Scenario_DT!I$18=1,1,1+$M172/Scenario_DT!$C$19)*(1+$N172)^MAX(0,Scenario_DT!I$18-3))*(Scenario_DT!I$12+$O172)-Scenario_DT!I$13)*(1-Scenario_DT!I$14)+Scenario_DT!I$13-Scenario_DT!I$15)*Scenario_DT!I$16</f>
        <v>893.83961392106937</v>
      </c>
      <c r="S172" s="28">
        <f>((Scenario_DT!J$11*(IF(Scenario_DT!J$18=1,1,1+$M172/Scenario_DT!$C$19)*(1+$N172)^MAX(0,Scenario_DT!J$18-3))*(Scenario_DT!J$12+$O172)-Scenario_DT!J$13)*(1-Scenario_DT!J$14)+Scenario_DT!J$13-Scenario_DT!J$15)*Scenario_DT!J$16</f>
        <v>1761.0429105848025</v>
      </c>
      <c r="T172" s="28">
        <f>((Scenario_DT!K$11*(IF(Scenario_DT!K$18=1,1,1+$M172/Scenario_DT!$C$19)*(1+$N172)^MAX(0,Scenario_DT!K$18-3))*(Scenario_DT!K$12+$O172)-Scenario_DT!K$13)*(1-Scenario_DT!K$14)+Scenario_DT!K$13-Scenario_DT!K$15)*Scenario_DT!K$16</f>
        <v>2022.5758907185646</v>
      </c>
      <c r="U172" s="28">
        <f>((Scenario_DT!L$11*(IF(Scenario_DT!L$18=1,1,1+$M172/Scenario_DT!$C$19)*(1+$N172)^MAX(0,Scenario_DT!L$18-3))*(Scenario_DT!L$12+$O172)-Scenario_DT!L$13)*(1-Scenario_DT!L$14)+Scenario_DT!L$13-Scenario_DT!L$15)*Scenario_DT!L$16</f>
        <v>2404.4239552891781</v>
      </c>
      <c r="V172" s="28">
        <f>((Scenario_DT!M$11*(IF(Scenario_DT!M$18=1,1,1+$M172/Scenario_DT!$C$19)*(1+$N172)^MAX(0,Scenario_DT!M$18-3))*(Scenario_DT!M$12+$O172)-Scenario_DT!M$13)*(1-Scenario_DT!M$14)+Scenario_DT!M$13-Scenario_DT!M$15)*Scenario_DT!M$16</f>
        <v>2508.6703334437925</v>
      </c>
      <c r="W172" s="28">
        <f>((Scenario_DT!N$11*(IF(Scenario_DT!N$18=1,1,1+$M172/Scenario_DT!$C$19)*(1+$N172)^MAX(0,Scenario_DT!N$18-3))*(Scenario_DT!N$12+$O172)-Scenario_DT!N$13)*(1-Scenario_DT!N$14)+Scenario_DT!N$13-Scenario_DT!N$15)*Scenario_DT!N$16</f>
        <v>2617.4193962983604</v>
      </c>
      <c r="X172" s="28">
        <f>((Scenario_DT!O$11*(IF(Scenario_DT!O$18=1,1,1+$M172/Scenario_DT!$C$19)*(1+$N172)^MAX(0,Scenario_DT!O$18-3))*(Scenario_DT!O$12+$O172)-Scenario_DT!O$13)*(1-Scenario_DT!O$14)+Scenario_DT!O$13-Scenario_DT!O$15)*Scenario_DT!O$16</f>
        <v>2730.8673549644573</v>
      </c>
      <c r="Y172" s="28">
        <f>((Scenario_DT!P$11*(IF(Scenario_DT!P$18=1,1,1+$M172/Scenario_DT!$C$19)*(1+$N172)^MAX(0,Scenario_DT!P$18-3))*(Scenario_DT!P$12+$O172)-Scenario_DT!P$13)*(1-Scenario_DT!P$14)+Scenario_DT!P$13-Scenario_DT!P$15)*Scenario_DT!P$16</f>
        <v>2849.2189888685575</v>
      </c>
      <c r="Z172" s="28">
        <f>((Scenario_DT!Q$11*(IF(Scenario_DT!Q$18=1,1,1+$M172/Scenario_DT!$C$19)*(1+$N172)^MAX(0,Scenario_DT!Q$18-3))*(Scenario_DT!Q$12+$O172)-Scenario_DT!Q$13)*(1-Scenario_DT!Q$14)+Scenario_DT!Q$13-Scenario_DT!Q$15)*Scenario_DT!Q$16</f>
        <v>2972.6880201358135</v>
      </c>
      <c r="AA172" s="28">
        <f>((Scenario_DT!R$11*(IF(Scenario_DT!R$18=1,1,1+$M172/Scenario_DT!$C$19)*(1+$N172)^MAX(0,Scenario_DT!R$18-3))*(Scenario_DT!R$12+$O172)-Scenario_DT!R$13)*(1-Scenario_DT!R$14)+Scenario_DT!R$13-Scenario_DT!R$15)*Scenario_DT!R$16</f>
        <v>3101.4975043360191</v>
      </c>
      <c r="AB172" s="17">
        <f>(Scenario_DT!$R$11*(1+$M172/Scenario_DT!$C$19)*(1+$N172)^7*(Scenario_DT!$R$12+$O172)*(1+MIN(DCF_FCFF!$C$26+$Q172,(DCF_FCFF!$C$25+$P172)-0.02))*(1-DCF_FCFF!$C$27)*(1-DCF_FCFF!$C$28)/((DCF_FCFF!$C$25+$P172)-MIN(DCF_FCFF!$C$26+$Q172,(DCF_FCFF!$C$25+$P172)-0.02)))*(1+(DCF_FCFF!$C$25+$P172))^(-(Inputs!$C$9+9))</f>
        <v>20819.249570388951</v>
      </c>
      <c r="AC172" s="17">
        <f>SUMPRODUCT(R172:AA172*(1+(DCF_FCFF!$C$25+$P172))^(-Scenario_DT!$I$17:$R$17))+AB172</f>
        <v>36024.396326007605</v>
      </c>
      <c r="AD172" s="68">
        <f>((AC172-DCF_FCFF!$C$48)*(1-DCF_FCFF!$C$50)+DCF_FCFF!$C$57+DCF_FCFF!$C$58)/DCF_FCFF!$C$60</f>
        <v>249.34541190271608</v>
      </c>
      <c r="AE172" s="6"/>
      <c r="AF172" s="6"/>
      <c r="AG172" s="6"/>
    </row>
    <row r="173" spans="1:33" x14ac:dyDescent="0.3">
      <c r="A173" s="6"/>
      <c r="B173" s="72">
        <v>142</v>
      </c>
      <c r="C173" s="73">
        <v>0.56148939441438495</v>
      </c>
      <c r="D173" s="73">
        <v>0.79197442514137395</v>
      </c>
      <c r="E173" s="73">
        <v>0.78382410937571401</v>
      </c>
      <c r="F173" s="73">
        <v>0.438386258584193</v>
      </c>
      <c r="G173" s="73">
        <v>0.47625730858672599</v>
      </c>
      <c r="H173" s="15">
        <f t="shared" si="21"/>
        <v>0.15474644753420175</v>
      </c>
      <c r="I173" s="15">
        <f t="shared" si="22"/>
        <v>0.81329115031189858</v>
      </c>
      <c r="J173" s="15">
        <f t="shared" si="23"/>
        <v>0.78517361805521424</v>
      </c>
      <c r="K173" s="15">
        <f t="shared" si="24"/>
        <v>-0.15506190133666076</v>
      </c>
      <c r="L173" s="15">
        <f t="shared" si="25"/>
        <v>-5.9549277678612865E-2</v>
      </c>
      <c r="M173" s="18">
        <f t="shared" si="26"/>
        <v>3.0949289506840352E-3</v>
      </c>
      <c r="N173" s="18">
        <f t="shared" si="27"/>
        <v>6.2536321648821872E-3</v>
      </c>
      <c r="O173" s="18">
        <f t="shared" si="28"/>
        <v>9.4220834166625703E-3</v>
      </c>
      <c r="P173" s="18">
        <f t="shared" si="29"/>
        <v>-9.3037140801996454E-4</v>
      </c>
      <c r="Q173" s="18">
        <f t="shared" si="30"/>
        <v>-2.3819711071445146E-4</v>
      </c>
      <c r="R173" s="28">
        <f>((Scenario_DT!I$11*(IF(Scenario_DT!I$18=1,1,1+$M173/Scenario_DT!$C$19)*(1+$N173)^MAX(0,Scenario_DT!I$18-3))*(Scenario_DT!I$12+$O173)-Scenario_DT!I$13)*(1-Scenario_DT!I$14)+Scenario_DT!I$13-Scenario_DT!I$15)*Scenario_DT!I$16</f>
        <v>924.2686611806929</v>
      </c>
      <c r="S173" s="28">
        <f>((Scenario_DT!J$11*(IF(Scenario_DT!J$18=1,1,1+$M173/Scenario_DT!$C$19)*(1+$N173)^MAX(0,Scenario_DT!J$18-3))*(Scenario_DT!J$12+$O173)-Scenario_DT!J$13)*(1-Scenario_DT!J$14)+Scenario_DT!J$13-Scenario_DT!J$15)*Scenario_DT!J$16</f>
        <v>1868.7025986732601</v>
      </c>
      <c r="T173" s="28">
        <f>((Scenario_DT!K$11*(IF(Scenario_DT!K$18=1,1,1+$M173/Scenario_DT!$C$19)*(1+$N173)^MAX(0,Scenario_DT!K$18-3))*(Scenario_DT!K$12+$O173)-Scenario_DT!K$13)*(1-Scenario_DT!K$14)+Scenario_DT!K$13-Scenario_DT!K$15)*Scenario_DT!K$16</f>
        <v>2134.7291476548112</v>
      </c>
      <c r="U173" s="28">
        <f>((Scenario_DT!L$11*(IF(Scenario_DT!L$18=1,1,1+$M173/Scenario_DT!$C$19)*(1+$N173)^MAX(0,Scenario_DT!L$18-3))*(Scenario_DT!L$12+$O173)-Scenario_DT!L$13)*(1-Scenario_DT!L$14)+Scenario_DT!L$13-Scenario_DT!L$15)*Scenario_DT!L$16</f>
        <v>2554.0984295466219</v>
      </c>
      <c r="V173" s="28">
        <f>((Scenario_DT!M$11*(IF(Scenario_DT!M$18=1,1,1+$M173/Scenario_DT!$C$19)*(1+$N173)^MAX(0,Scenario_DT!M$18-3))*(Scenario_DT!M$12+$O173)-Scenario_DT!M$13)*(1-Scenario_DT!M$14)+Scenario_DT!M$13-Scenario_DT!M$15)*Scenario_DT!M$16</f>
        <v>2697.9637386829886</v>
      </c>
      <c r="W173" s="28">
        <f>((Scenario_DT!N$11*(IF(Scenario_DT!N$18=1,1,1+$M173/Scenario_DT!$C$19)*(1+$N173)^MAX(0,Scenario_DT!N$18-3))*(Scenario_DT!N$12+$O173)-Scenario_DT!N$13)*(1-Scenario_DT!N$14)+Scenario_DT!N$13-Scenario_DT!N$15)*Scenario_DT!N$16</f>
        <v>2849.9341993810267</v>
      </c>
      <c r="X173" s="28">
        <f>((Scenario_DT!O$11*(IF(Scenario_DT!O$18=1,1,1+$M173/Scenario_DT!$C$19)*(1+$N173)^MAX(0,Scenario_DT!O$18-3))*(Scenario_DT!O$12+$O173)-Scenario_DT!O$13)*(1-Scenario_DT!O$14)+Scenario_DT!O$13-Scenario_DT!O$15)*Scenario_DT!O$16</f>
        <v>3010.4692933370879</v>
      </c>
      <c r="Y173" s="28">
        <f>((Scenario_DT!P$11*(IF(Scenario_DT!P$18=1,1,1+$M173/Scenario_DT!$C$19)*(1+$N173)^MAX(0,Scenario_DT!P$18-3))*(Scenario_DT!P$12+$O173)-Scenario_DT!P$13)*(1-Scenario_DT!P$14)+Scenario_DT!P$13-Scenario_DT!P$15)*Scenario_DT!P$16</f>
        <v>3180.0545626425233</v>
      </c>
      <c r="Z173" s="28">
        <f>((Scenario_DT!Q$11*(IF(Scenario_DT!Q$18=1,1,1+$M173/Scenario_DT!$C$19)*(1+$N173)^MAX(0,Scenario_DT!Q$18-3))*(Scenario_DT!Q$12+$O173)-Scenario_DT!Q$13)*(1-Scenario_DT!Q$14)+Scenario_DT!Q$13-Scenario_DT!Q$15)*Scenario_DT!Q$16</f>
        <v>3359.2030872435389</v>
      </c>
      <c r="AA173" s="28">
        <f>((Scenario_DT!R$11*(IF(Scenario_DT!R$18=1,1,1+$M173/Scenario_DT!$C$19)*(1+$N173)^MAX(0,Scenario_DT!R$18-3))*(Scenario_DT!R$12+$O173)-Scenario_DT!R$13)*(1-Scenario_DT!R$14)+Scenario_DT!R$13-Scenario_DT!R$15)*Scenario_DT!R$16</f>
        <v>3548.4570461251292</v>
      </c>
      <c r="AB173" s="17">
        <f>(Scenario_DT!$R$11*(1+$M173/Scenario_DT!$C$19)*(1+$N173)^7*(Scenario_DT!$R$12+$O173)*(1+MIN(DCF_FCFF!$C$26+$Q173,(DCF_FCFF!$C$25+$P173)-0.02))*(1-DCF_FCFF!$C$27)*(1-DCF_FCFF!$C$28)/((DCF_FCFF!$C$25+$P173)-MIN(DCF_FCFF!$C$26+$Q173,(DCF_FCFF!$C$25+$P173)-0.02)))*(1+(DCF_FCFF!$C$25+$P173))^(-(Inputs!$C$9+9))</f>
        <v>30572.660642447194</v>
      </c>
      <c r="AC173" s="17">
        <f>SUMPRODUCT(R173:AA173*(1+(DCF_FCFF!$C$25+$P173))^(-Scenario_DT!$I$17:$R$17))+AB173</f>
        <v>47658.3990643836</v>
      </c>
      <c r="AD173" s="68">
        <f>((AC173-DCF_FCFF!$C$48)*(1-DCF_FCFF!$C$50)+DCF_FCFF!$C$57+DCF_FCFF!$C$58)/DCF_FCFF!$C$60</f>
        <v>361.01751060165304</v>
      </c>
      <c r="AE173" s="6"/>
      <c r="AF173" s="6"/>
      <c r="AG173" s="6"/>
    </row>
    <row r="174" spans="1:33" x14ac:dyDescent="0.3">
      <c r="A174" s="6"/>
      <c r="B174" s="72">
        <v>143</v>
      </c>
      <c r="C174" s="73">
        <v>0.99470174893502505</v>
      </c>
      <c r="D174" s="73">
        <v>0.67459747697902395</v>
      </c>
      <c r="E174" s="73">
        <v>0.81463844311788303</v>
      </c>
      <c r="F174" s="73">
        <v>0.90255396921923203</v>
      </c>
      <c r="G174" s="73">
        <v>0.78758983622933898</v>
      </c>
      <c r="H174" s="15">
        <f t="shared" si="21"/>
        <v>2.5557309333631903</v>
      </c>
      <c r="I174" s="15">
        <f t="shared" si="22"/>
        <v>0.45264408870244588</v>
      </c>
      <c r="J174" s="15">
        <f t="shared" si="23"/>
        <v>0.89511968191146241</v>
      </c>
      <c r="K174" s="15">
        <f t="shared" si="24"/>
        <v>1.2962421807351729</v>
      </c>
      <c r="L174" s="15">
        <f t="shared" si="25"/>
        <v>0.79808644401586126</v>
      </c>
      <c r="M174" s="18">
        <f t="shared" si="26"/>
        <v>5.1114618667263807E-2</v>
      </c>
      <c r="N174" s="18">
        <f t="shared" si="27"/>
        <v>1.3358933970966162E-2</v>
      </c>
      <c r="O174" s="18">
        <f t="shared" si="28"/>
        <v>1.0741436182937549E-2</v>
      </c>
      <c r="P174" s="18">
        <f t="shared" si="29"/>
        <v>7.7774530844110382E-3</v>
      </c>
      <c r="Q174" s="18">
        <f t="shared" si="30"/>
        <v>3.1923457760634449E-3</v>
      </c>
      <c r="R174" s="28">
        <f>((Scenario_DT!I$11*(IF(Scenario_DT!I$18=1,1,1+$M174/Scenario_DT!$C$19)*(1+$N174)^MAX(0,Scenario_DT!I$18-3))*(Scenario_DT!I$12+$O174)-Scenario_DT!I$13)*(1-Scenario_DT!I$14)+Scenario_DT!I$13-Scenario_DT!I$15)*Scenario_DT!I$16</f>
        <v>926.12880659708787</v>
      </c>
      <c r="S174" s="28">
        <f>((Scenario_DT!J$11*(IF(Scenario_DT!J$18=1,1,1+$M174/Scenario_DT!$C$19)*(1+$N174)^MAX(0,Scenario_DT!J$18-3))*(Scenario_DT!J$12+$O174)-Scenario_DT!J$13)*(1-Scenario_DT!J$14)+Scenario_DT!J$13-Scenario_DT!J$15)*Scenario_DT!J$16</f>
        <v>1989.5878344614875</v>
      </c>
      <c r="T174" s="28">
        <f>((Scenario_DT!K$11*(IF(Scenario_DT!K$18=1,1,1+$M174/Scenario_DT!$C$19)*(1+$N174)^MAX(0,Scenario_DT!K$18-3))*(Scenario_DT!K$12+$O174)-Scenario_DT!K$13)*(1-Scenario_DT!K$14)+Scenario_DT!K$13-Scenario_DT!K$15)*Scenario_DT!K$16</f>
        <v>2261.6386165951812</v>
      </c>
      <c r="U174" s="28">
        <f>((Scenario_DT!L$11*(IF(Scenario_DT!L$18=1,1,1+$M174/Scenario_DT!$C$19)*(1+$N174)^MAX(0,Scenario_DT!L$18-3))*(Scenario_DT!L$12+$O174)-Scenario_DT!L$13)*(1-Scenario_DT!L$14)+Scenario_DT!L$13-Scenario_DT!L$15)*Scenario_DT!L$16</f>
        <v>2708.8021114133016</v>
      </c>
      <c r="V174" s="28">
        <f>((Scenario_DT!M$11*(IF(Scenario_DT!M$18=1,1,1+$M174/Scenario_DT!$C$19)*(1+$N174)^MAX(0,Scenario_DT!M$18-3))*(Scenario_DT!M$12+$O174)-Scenario_DT!M$13)*(1-Scenario_DT!M$14)+Scenario_DT!M$13-Scenario_DT!M$15)*Scenario_DT!M$16</f>
        <v>2881.7535330878768</v>
      </c>
      <c r="W174" s="28">
        <f>((Scenario_DT!N$11*(IF(Scenario_DT!N$18=1,1,1+$M174/Scenario_DT!$C$19)*(1+$N174)^MAX(0,Scenario_DT!N$18-3))*(Scenario_DT!N$12+$O174)-Scenario_DT!N$13)*(1-Scenario_DT!N$14)+Scenario_DT!N$13-Scenario_DT!N$15)*Scenario_DT!N$16</f>
        <v>3065.7573932271662</v>
      </c>
      <c r="X174" s="28">
        <f>((Scenario_DT!O$11*(IF(Scenario_DT!O$18=1,1,1+$M174/Scenario_DT!$C$19)*(1+$N174)^MAX(0,Scenario_DT!O$18-3))*(Scenario_DT!O$12+$O174)-Scenario_DT!O$13)*(1-Scenario_DT!O$14)+Scenario_DT!O$13-Scenario_DT!O$15)*Scenario_DT!O$16</f>
        <v>3261.5232532167206</v>
      </c>
      <c r="Y174" s="28">
        <f>((Scenario_DT!P$11*(IF(Scenario_DT!P$18=1,1,1+$M174/Scenario_DT!$C$19)*(1+$N174)^MAX(0,Scenario_DT!P$18-3))*(Scenario_DT!P$12+$O174)-Scenario_DT!P$13)*(1-Scenario_DT!P$14)+Scenario_DT!P$13-Scenario_DT!P$15)*Scenario_DT!P$16</f>
        <v>3469.8062183662391</v>
      </c>
      <c r="Z174" s="28">
        <f>((Scenario_DT!Q$11*(IF(Scenario_DT!Q$18=1,1,1+$M174/Scenario_DT!$C$19)*(1+$N174)^MAX(0,Scenario_DT!Q$18-3))*(Scenario_DT!Q$12+$O174)-Scenario_DT!Q$13)*(1-Scenario_DT!Q$14)+Scenario_DT!Q$13-Scenario_DT!Q$15)*Scenario_DT!Q$16</f>
        <v>3691.4098592206751</v>
      </c>
      <c r="AA174" s="28">
        <f>((Scenario_DT!R$11*(IF(Scenario_DT!R$18=1,1,1+$M174/Scenario_DT!$C$19)*(1+$N174)^MAX(0,Scenario_DT!R$18-3))*(Scenario_DT!R$12+$O174)-Scenario_DT!R$13)*(1-Scenario_DT!R$14)+Scenario_DT!R$13-Scenario_DT!R$15)*Scenario_DT!R$16</f>
        <v>3927.1893201492908</v>
      </c>
      <c r="AB174" s="17">
        <f>(Scenario_DT!$R$11*(1+$M174/Scenario_DT!$C$19)*(1+$N174)^7*(Scenario_DT!$R$12+$O174)*(1+MIN(DCF_FCFF!$C$26+$Q174,(DCF_FCFF!$C$25+$P174)-0.02))*(1-DCF_FCFF!$C$27)*(1-DCF_FCFF!$C$28)/((DCF_FCFF!$C$25+$P174)-MIN(DCF_FCFF!$C$26+$Q174,(DCF_FCFF!$C$25+$P174)-0.02)))*(1+(DCF_FCFF!$C$25+$P174))^(-(Inputs!$C$9+9))</f>
        <v>28438.543384208879</v>
      </c>
      <c r="AC174" s="17">
        <f>SUMPRODUCT(R174:AA174*(1+(DCF_FCFF!$C$25+$P174))^(-Scenario_DT!$I$17:$R$17))+AB174</f>
        <v>46119.382585128405</v>
      </c>
      <c r="AD174" s="68">
        <f>((AC174-DCF_FCFF!$C$48)*(1-DCF_FCFF!$C$50)+DCF_FCFF!$C$57+DCF_FCFF!$C$58)/DCF_FCFF!$C$60</f>
        <v>346.24484774128075</v>
      </c>
      <c r="AE174" s="6"/>
      <c r="AF174" s="6"/>
      <c r="AG174" s="6"/>
    </row>
    <row r="175" spans="1:33" x14ac:dyDescent="0.3">
      <c r="A175" s="6"/>
      <c r="B175" s="72">
        <v>144</v>
      </c>
      <c r="C175" s="73">
        <v>0.185179344953568</v>
      </c>
      <c r="D175" s="73">
        <v>0.56217073373757198</v>
      </c>
      <c r="E175" s="73">
        <v>0.101894157314545</v>
      </c>
      <c r="F175" s="73">
        <v>0.65292212656399795</v>
      </c>
      <c r="G175" s="73">
        <v>0.95534942818781099</v>
      </c>
      <c r="H175" s="15">
        <f t="shared" si="21"/>
        <v>-0.89580168480938216</v>
      </c>
      <c r="I175" s="15">
        <f t="shared" si="22"/>
        <v>0.15647511556465871</v>
      </c>
      <c r="J175" s="15">
        <f t="shared" si="23"/>
        <v>-1.270832301510314</v>
      </c>
      <c r="K175" s="15">
        <f t="shared" si="24"/>
        <v>0.39322169570068005</v>
      </c>
      <c r="L175" s="15">
        <f t="shared" si="25"/>
        <v>1.6990957522534809</v>
      </c>
      <c r="M175" s="18">
        <f t="shared" si="26"/>
        <v>-1.7916033696187644E-2</v>
      </c>
      <c r="N175" s="18">
        <f t="shared" si="27"/>
        <v>-2.4991153381247267E-3</v>
      </c>
      <c r="O175" s="18">
        <f t="shared" si="28"/>
        <v>-1.5249987618123769E-2</v>
      </c>
      <c r="P175" s="18">
        <f t="shared" si="29"/>
        <v>2.3593301742040802E-3</v>
      </c>
      <c r="Q175" s="18">
        <f t="shared" si="30"/>
        <v>6.7963830090139237E-3</v>
      </c>
      <c r="R175" s="28">
        <f>((Scenario_DT!I$11*(IF(Scenario_DT!I$18=1,1,1+$M175/Scenario_DT!$C$19)*(1+$N175)^MAX(0,Scenario_DT!I$18-3))*(Scenario_DT!I$12+$O175)-Scenario_DT!I$13)*(1-Scenario_DT!I$14)+Scenario_DT!I$13-Scenario_DT!I$15)*Scenario_DT!I$16</f>
        <v>889.48369614218336</v>
      </c>
      <c r="S175" s="28">
        <f>((Scenario_DT!J$11*(IF(Scenario_DT!J$18=1,1,1+$M175/Scenario_DT!$C$19)*(1+$N175)^MAX(0,Scenario_DT!J$18-3))*(Scenario_DT!J$12+$O175)-Scenario_DT!J$13)*(1-Scenario_DT!J$14)+Scenario_DT!J$13-Scenario_DT!J$15)*Scenario_DT!J$16</f>
        <v>1742.4871544610278</v>
      </c>
      <c r="T175" s="28">
        <f>((Scenario_DT!K$11*(IF(Scenario_DT!K$18=1,1,1+$M175/Scenario_DT!$C$19)*(1+$N175)^MAX(0,Scenario_DT!K$18-3))*(Scenario_DT!K$12+$O175)-Scenario_DT!K$13)*(1-Scenario_DT!K$14)+Scenario_DT!K$13-Scenario_DT!K$15)*Scenario_DT!K$16</f>
        <v>2003.2141849042951</v>
      </c>
      <c r="U175" s="28">
        <f>((Scenario_DT!L$11*(IF(Scenario_DT!L$18=1,1,1+$M175/Scenario_DT!$C$19)*(1+$N175)^MAX(0,Scenario_DT!L$18-3))*(Scenario_DT!L$12+$O175)-Scenario_DT!L$13)*(1-Scenario_DT!L$14)+Scenario_DT!L$13-Scenario_DT!L$15)*Scenario_DT!L$16</f>
        <v>2392.4446099662132</v>
      </c>
      <c r="V175" s="28">
        <f>((Scenario_DT!M$11*(IF(Scenario_DT!M$18=1,1,1+$M175/Scenario_DT!$C$19)*(1+$N175)^MAX(0,Scenario_DT!M$18-3))*(Scenario_DT!M$12+$O175)-Scenario_DT!M$13)*(1-Scenario_DT!M$14)+Scenario_DT!M$13-Scenario_DT!M$15)*Scenario_DT!M$16</f>
        <v>2505.0231850198847</v>
      </c>
      <c r="W175" s="28">
        <f>((Scenario_DT!N$11*(IF(Scenario_DT!N$18=1,1,1+$M175/Scenario_DT!$C$19)*(1+$N175)^MAX(0,Scenario_DT!N$18-3))*(Scenario_DT!N$12+$O175)-Scenario_DT!N$13)*(1-Scenario_DT!N$14)+Scenario_DT!N$13-Scenario_DT!N$15)*Scenario_DT!N$16</f>
        <v>2622.8881114351393</v>
      </c>
      <c r="X175" s="28">
        <f>((Scenario_DT!O$11*(IF(Scenario_DT!O$18=1,1,1+$M175/Scenario_DT!$C$19)*(1+$N175)^MAX(0,Scenario_DT!O$18-3))*(Scenario_DT!O$12+$O175)-Scenario_DT!O$13)*(1-Scenario_DT!O$14)+Scenario_DT!O$13-Scenario_DT!O$15)*Scenario_DT!O$16</f>
        <v>2746.2897232387418</v>
      </c>
      <c r="Y175" s="28">
        <f>((Scenario_DT!P$11*(IF(Scenario_DT!P$18=1,1,1+$M175/Scenario_DT!$C$19)*(1+$N175)^MAX(0,Scenario_DT!P$18-3))*(Scenario_DT!P$12+$O175)-Scenario_DT!P$13)*(1-Scenario_DT!P$14)+Scenario_DT!P$13-Scenario_DT!P$15)*Scenario_DT!P$16</f>
        <v>2875.4902296255864</v>
      </c>
      <c r="Z175" s="28">
        <f>((Scenario_DT!Q$11*(IF(Scenario_DT!Q$18=1,1,1+$M175/Scenario_DT!$C$19)*(1+$N175)^MAX(0,Scenario_DT!Q$18-3))*(Scenario_DT!Q$12+$O175)-Scenario_DT!Q$13)*(1-Scenario_DT!Q$14)+Scenario_DT!Q$13-Scenario_DT!Q$15)*Scenario_DT!Q$16</f>
        <v>3010.7642784652694</v>
      </c>
      <c r="AA175" s="28">
        <f>((Scenario_DT!R$11*(IF(Scenario_DT!R$18=1,1,1+$M175/Scenario_DT!$C$19)*(1+$N175)^MAX(0,Scenario_DT!R$18-3))*(Scenario_DT!R$12+$O175)-Scenario_DT!R$13)*(1-Scenario_DT!R$14)+Scenario_DT!R$13-Scenario_DT!R$15)*Scenario_DT!R$16</f>
        <v>3152.3995465490952</v>
      </c>
      <c r="AB175" s="17">
        <f>(Scenario_DT!$R$11*(1+$M175/Scenario_DT!$C$19)*(1+$N175)^7*(Scenario_DT!$R$12+$O175)*(1+MIN(DCF_FCFF!$C$26+$Q175,(DCF_FCFF!$C$25+$P175)-0.02))*(1-DCF_FCFF!$C$27)*(1-DCF_FCFF!$C$28)/((DCF_FCFF!$C$25+$P175)-MIN(DCF_FCFF!$C$26+$Q175,(DCF_FCFF!$C$25+$P175)-0.02)))*(1+(DCF_FCFF!$C$25+$P175))^(-(Inputs!$C$9+9))</f>
        <v>28768.051699710621</v>
      </c>
      <c r="AC175" s="17">
        <f>SUMPRODUCT(R175:AA175*(1+(DCF_FCFF!$C$25+$P175))^(-Scenario_DT!$I$17:$R$17))+AB175</f>
        <v>44280.055374565251</v>
      </c>
      <c r="AD175" s="68">
        <f>((AC175-DCF_FCFF!$C$48)*(1-DCF_FCFF!$C$50)+DCF_FCFF!$C$57+DCF_FCFF!$C$58)/DCF_FCFF!$C$60</f>
        <v>328.58957170115139</v>
      </c>
      <c r="AE175" s="6"/>
      <c r="AF175" s="6"/>
      <c r="AG175" s="6"/>
    </row>
    <row r="176" spans="1:33" x14ac:dyDescent="0.3">
      <c r="A176" s="6"/>
      <c r="B176" s="72">
        <v>145</v>
      </c>
      <c r="C176" s="73">
        <v>0.51273206430011098</v>
      </c>
      <c r="D176" s="73">
        <v>0.43297249286776701</v>
      </c>
      <c r="E176" s="73">
        <v>3.5842751418163198E-2</v>
      </c>
      <c r="F176" s="73">
        <v>0.95977452232922</v>
      </c>
      <c r="G176" s="73">
        <v>0.10300268413015901</v>
      </c>
      <c r="H176" s="15">
        <f t="shared" si="21"/>
        <v>3.1919972002139606E-2</v>
      </c>
      <c r="I176" s="15">
        <f t="shared" si="22"/>
        <v>-0.16881140684208376</v>
      </c>
      <c r="J176" s="15">
        <f t="shared" si="23"/>
        <v>-1.8011102605042306</v>
      </c>
      <c r="K176" s="15">
        <f t="shared" si="24"/>
        <v>1.7480754966116847</v>
      </c>
      <c r="L176" s="15">
        <f t="shared" si="25"/>
        <v>-1.2646261672151351</v>
      </c>
      <c r="M176" s="18">
        <f t="shared" si="26"/>
        <v>6.3839944004279213E-4</v>
      </c>
      <c r="N176" s="18">
        <f t="shared" si="27"/>
        <v>-1.0418798461821195E-3</v>
      </c>
      <c r="O176" s="18">
        <f t="shared" si="28"/>
        <v>-2.1613323126050767E-2</v>
      </c>
      <c r="P176" s="18">
        <f t="shared" si="29"/>
        <v>1.0488452979670108E-2</v>
      </c>
      <c r="Q176" s="18">
        <f t="shared" si="30"/>
        <v>-5.0585046688605409E-3</v>
      </c>
      <c r="R176" s="28">
        <f>((Scenario_DT!I$11*(IF(Scenario_DT!I$18=1,1,1+$M176/Scenario_DT!$C$19)*(1+$N176)^MAX(0,Scenario_DT!I$18-3))*(Scenario_DT!I$12+$O176)-Scenario_DT!I$13)*(1-Scenario_DT!I$14)+Scenario_DT!I$13-Scenario_DT!I$15)*Scenario_DT!I$16</f>
        <v>880.51207787554279</v>
      </c>
      <c r="S176" s="28">
        <f>((Scenario_DT!J$11*(IF(Scenario_DT!J$18=1,1,1+$M176/Scenario_DT!$C$19)*(1+$N176)^MAX(0,Scenario_DT!J$18-3))*(Scenario_DT!J$12+$O176)-Scenario_DT!J$13)*(1-Scenario_DT!J$14)+Scenario_DT!J$13-Scenario_DT!J$15)*Scenario_DT!J$16</f>
        <v>1766.2247110281837</v>
      </c>
      <c r="T176" s="28">
        <f>((Scenario_DT!K$11*(IF(Scenario_DT!K$18=1,1,1+$M176/Scenario_DT!$C$19)*(1+$N176)^MAX(0,Scenario_DT!K$18-3))*(Scenario_DT!K$12+$O176)-Scenario_DT!K$13)*(1-Scenario_DT!K$14)+Scenario_DT!K$13-Scenario_DT!K$15)*Scenario_DT!K$16</f>
        <v>2028.4449564064303</v>
      </c>
      <c r="U176" s="28">
        <f>((Scenario_DT!L$11*(IF(Scenario_DT!L$18=1,1,1+$M176/Scenario_DT!$C$19)*(1+$N176)^MAX(0,Scenario_DT!L$18-3))*(Scenario_DT!L$12+$O176)-Scenario_DT!L$13)*(1-Scenario_DT!L$14)+Scenario_DT!L$13-Scenario_DT!L$15)*Scenario_DT!L$16</f>
        <v>2422.7258942424278</v>
      </c>
      <c r="V176" s="28">
        <f>((Scenario_DT!M$11*(IF(Scenario_DT!M$18=1,1,1+$M176/Scenario_DT!$C$19)*(1+$N176)^MAX(0,Scenario_DT!M$18-3))*(Scenario_DT!M$12+$O176)-Scenario_DT!M$13)*(1-Scenario_DT!M$14)+Scenario_DT!M$13-Scenario_DT!M$15)*Scenario_DT!M$16</f>
        <v>2540.4718997420105</v>
      </c>
      <c r="W176" s="28">
        <f>((Scenario_DT!N$11*(IF(Scenario_DT!N$18=1,1,1+$M176/Scenario_DT!$C$19)*(1+$N176)^MAX(0,Scenario_DT!N$18-3))*(Scenario_DT!N$12+$O176)-Scenario_DT!N$13)*(1-Scenario_DT!N$14)+Scenario_DT!N$13-Scenario_DT!N$15)*Scenario_DT!N$16</f>
        <v>2663.9316261298031</v>
      </c>
      <c r="X176" s="28">
        <f>((Scenario_DT!O$11*(IF(Scenario_DT!O$18=1,1,1+$M176/Scenario_DT!$C$19)*(1+$N176)^MAX(0,Scenario_DT!O$18-3))*(Scenario_DT!O$12+$O176)-Scenario_DT!O$13)*(1-Scenario_DT!O$14)+Scenario_DT!O$13-Scenario_DT!O$15)*Scenario_DT!O$16</f>
        <v>2793.3845826329812</v>
      </c>
      <c r="Y176" s="28">
        <f>((Scenario_DT!P$11*(IF(Scenario_DT!P$18=1,1,1+$M176/Scenario_DT!$C$19)*(1+$N176)^MAX(0,Scenario_DT!P$18-3))*(Scenario_DT!P$12+$O176)-Scenario_DT!P$13)*(1-Scenario_DT!P$14)+Scenario_DT!P$13-Scenario_DT!P$15)*Scenario_DT!P$16</f>
        <v>2929.1239724904885</v>
      </c>
      <c r="Z176" s="28">
        <f>((Scenario_DT!Q$11*(IF(Scenario_DT!Q$18=1,1,1+$M176/Scenario_DT!$C$19)*(1+$N176)^MAX(0,Scenario_DT!Q$18-3))*(Scenario_DT!Q$12+$O176)-Scenario_DT!Q$13)*(1-Scenario_DT!Q$14)+Scenario_DT!Q$13-Scenario_DT!Q$15)*Scenario_DT!Q$16</f>
        <v>3071.4573639834098</v>
      </c>
      <c r="AA176" s="28">
        <f>((Scenario_DT!R$11*(IF(Scenario_DT!R$18=1,1,1+$M176/Scenario_DT!$C$19)*(1+$N176)^MAX(0,Scenario_DT!R$18-3))*(Scenario_DT!R$12+$O176)-Scenario_DT!R$13)*(1-Scenario_DT!R$14)+Scenario_DT!R$13-Scenario_DT!R$15)*Scenario_DT!R$16</f>
        <v>3220.707394344186</v>
      </c>
      <c r="AB176" s="17">
        <f>(Scenario_DT!$R$11*(1+$M176/Scenario_DT!$C$19)*(1+$N176)^7*(Scenario_DT!$R$12+$O176)*(1+MIN(DCF_FCFF!$C$26+$Q176,(DCF_FCFF!$C$25+$P176)-0.02))*(1-DCF_FCFF!$C$27)*(1-DCF_FCFF!$C$28)/((DCF_FCFF!$C$25+$P176)-MIN(DCF_FCFF!$C$26+$Q176,(DCF_FCFF!$C$25+$P176)-0.02)))*(1+(DCF_FCFF!$C$25+$P176))^(-(Inputs!$C$9+9))</f>
        <v>18876.100504598078</v>
      </c>
      <c r="AC176" s="17">
        <f>SUMPRODUCT(R176:AA176*(1+(DCF_FCFF!$C$25+$P176))^(-Scenario_DT!$I$17:$R$17))+AB176</f>
        <v>34091.026679225615</v>
      </c>
      <c r="AD176" s="68">
        <f>((AC176-DCF_FCFF!$C$48)*(1-DCF_FCFF!$C$50)+DCF_FCFF!$C$57+DCF_FCFF!$C$58)/DCF_FCFF!$C$60</f>
        <v>230.78744429069317</v>
      </c>
      <c r="AE176" s="6"/>
      <c r="AF176" s="6"/>
      <c r="AG176" s="6"/>
    </row>
    <row r="177" spans="1:33" x14ac:dyDescent="0.3">
      <c r="A177" s="6"/>
      <c r="B177" s="72">
        <v>146</v>
      </c>
      <c r="C177" s="73">
        <v>4.1079093304846902E-2</v>
      </c>
      <c r="D177" s="73">
        <v>0.246066611504939</v>
      </c>
      <c r="E177" s="73">
        <v>6.5530433918382397E-2</v>
      </c>
      <c r="F177" s="73">
        <v>0.45511784241176201</v>
      </c>
      <c r="G177" s="73">
        <v>0.51608780125711196</v>
      </c>
      <c r="H177" s="15">
        <f t="shared" si="21"/>
        <v>-1.73829874949556</v>
      </c>
      <c r="I177" s="15">
        <f t="shared" si="22"/>
        <v>-0.68691987287561362</v>
      </c>
      <c r="J177" s="15">
        <f t="shared" si="23"/>
        <v>-1.5099316414983202</v>
      </c>
      <c r="K177" s="15">
        <f t="shared" si="24"/>
        <v>-0.112741265286655</v>
      </c>
      <c r="L177" s="15">
        <f t="shared" si="25"/>
        <v>4.0337073442715157E-2</v>
      </c>
      <c r="M177" s="18">
        <f t="shared" si="26"/>
        <v>-3.47659749899112E-2</v>
      </c>
      <c r="N177" s="18">
        <f t="shared" si="27"/>
        <v>-1.171231548017951E-2</v>
      </c>
      <c r="O177" s="18">
        <f t="shared" si="28"/>
        <v>-1.8119179697979843E-2</v>
      </c>
      <c r="P177" s="18">
        <f t="shared" si="29"/>
        <v>-6.7644759171993005E-4</v>
      </c>
      <c r="Q177" s="18">
        <f t="shared" si="30"/>
        <v>1.6134829377086063E-4</v>
      </c>
      <c r="R177" s="28">
        <f>((Scenario_DT!I$11*(IF(Scenario_DT!I$18=1,1,1+$M177/Scenario_DT!$C$19)*(1+$N177)^MAX(0,Scenario_DT!I$18-3))*(Scenario_DT!I$12+$O177)-Scenario_DT!I$13)*(1-Scenario_DT!I$14)+Scenario_DT!I$13-Scenario_DT!I$15)*Scenario_DT!I$16</f>
        <v>885.43844408183406</v>
      </c>
      <c r="S177" s="28">
        <f>((Scenario_DT!J$11*(IF(Scenario_DT!J$18=1,1,1+$M177/Scenario_DT!$C$19)*(1+$N177)^MAX(0,Scenario_DT!J$18-3))*(Scenario_DT!J$12+$O177)-Scenario_DT!J$13)*(1-Scenario_DT!J$14)+Scenario_DT!J$13-Scenario_DT!J$15)*Scenario_DT!J$16</f>
        <v>1694.3720872517556</v>
      </c>
      <c r="T177" s="28">
        <f>((Scenario_DT!K$11*(IF(Scenario_DT!K$18=1,1,1+$M177/Scenario_DT!$C$19)*(1+$N177)^MAX(0,Scenario_DT!K$18-3))*(Scenario_DT!K$12+$O177)-Scenario_DT!K$13)*(1-Scenario_DT!K$14)+Scenario_DT!K$13-Scenario_DT!K$15)*Scenario_DT!K$16</f>
        <v>1952.7782820020811</v>
      </c>
      <c r="U177" s="28">
        <f>((Scenario_DT!L$11*(IF(Scenario_DT!L$18=1,1,1+$M177/Scenario_DT!$C$19)*(1+$N177)^MAX(0,Scenario_DT!L$18-3))*(Scenario_DT!L$12+$O177)-Scenario_DT!L$13)*(1-Scenario_DT!L$14)+Scenario_DT!L$13-Scenario_DT!L$15)*Scenario_DT!L$16</f>
        <v>2317.2669852687318</v>
      </c>
      <c r="V177" s="28">
        <f>((Scenario_DT!M$11*(IF(Scenario_DT!M$18=1,1,1+$M177/Scenario_DT!$C$19)*(1+$N177)^MAX(0,Scenario_DT!M$18-3))*(Scenario_DT!M$12+$O177)-Scenario_DT!M$13)*(1-Scenario_DT!M$14)+Scenario_DT!M$13-Scenario_DT!M$15)*Scenario_DT!M$16</f>
        <v>2403.7037885531809</v>
      </c>
      <c r="W177" s="28">
        <f>((Scenario_DT!N$11*(IF(Scenario_DT!N$18=1,1,1+$M177/Scenario_DT!$C$19)*(1+$N177)^MAX(0,Scenario_DT!N$18-3))*(Scenario_DT!N$12+$O177)-Scenario_DT!N$13)*(1-Scenario_DT!N$14)+Scenario_DT!N$13-Scenario_DT!N$15)*Scenario_DT!N$16</f>
        <v>2493.337133659913</v>
      </c>
      <c r="X177" s="28">
        <f>((Scenario_DT!O$11*(IF(Scenario_DT!O$18=1,1,1+$M177/Scenario_DT!$C$19)*(1+$N177)^MAX(0,Scenario_DT!O$18-3))*(Scenario_DT!O$12+$O177)-Scenario_DT!O$13)*(1-Scenario_DT!O$14)+Scenario_DT!O$13-Scenario_DT!O$15)*Scenario_DT!O$16</f>
        <v>2586.2862514669237</v>
      </c>
      <c r="Y177" s="28">
        <f>((Scenario_DT!P$11*(IF(Scenario_DT!P$18=1,1,1+$M177/Scenario_DT!$C$19)*(1+$N177)^MAX(0,Scenario_DT!P$18-3))*(Scenario_DT!P$12+$O177)-Scenario_DT!P$13)*(1-Scenario_DT!P$14)+Scenario_DT!P$13-Scenario_DT!P$15)*Scenario_DT!P$16</f>
        <v>2682.6748267831667</v>
      </c>
      <c r="Z177" s="28">
        <f>((Scenario_DT!Q$11*(IF(Scenario_DT!Q$18=1,1,1+$M177/Scenario_DT!$C$19)*(1+$N177)^MAX(0,Scenario_DT!Q$18-3))*(Scenario_DT!Q$12+$O177)-Scenario_DT!Q$13)*(1-Scenario_DT!Q$14)+Scenario_DT!Q$13-Scenario_DT!Q$15)*Scenario_DT!Q$16</f>
        <v>2782.6311646437061</v>
      </c>
      <c r="AA177" s="28">
        <f>((Scenario_DT!R$11*(IF(Scenario_DT!R$18=1,1,1+$M177/Scenario_DT!$C$19)*(1+$N177)^MAX(0,Scenario_DT!R$18-3))*(Scenario_DT!R$12+$O177)-Scenario_DT!R$13)*(1-Scenario_DT!R$14)+Scenario_DT!R$13-Scenario_DT!R$15)*Scenario_DT!R$16</f>
        <v>2886.2883628069453</v>
      </c>
      <c r="AB177" s="17">
        <f>(Scenario_DT!$R$11*(1+$M177/Scenario_DT!$C$19)*(1+$N177)^7*(Scenario_DT!$R$12+$O177)*(1+MIN(DCF_FCFF!$C$26+$Q177,(DCF_FCFF!$C$25+$P177)-0.02))*(1-DCF_FCFF!$C$27)*(1-DCF_FCFF!$C$28)/((DCF_FCFF!$C$25+$P177)-MIN(DCF_FCFF!$C$26+$Q177,(DCF_FCFF!$C$25+$P177)-0.02)))*(1+(DCF_FCFF!$C$25+$P177))^(-(Inputs!$C$9+9))</f>
        <v>24940.257887103042</v>
      </c>
      <c r="AC177" s="17">
        <f>SUMPRODUCT(R177:AA177*(1+(DCF_FCFF!$C$25+$P177))^(-Scenario_DT!$I$17:$R$17))+AB177</f>
        <v>39905.967967773031</v>
      </c>
      <c r="AD177" s="68">
        <f>((AC177-DCF_FCFF!$C$48)*(1-DCF_FCFF!$C$50)+DCF_FCFF!$C$57+DCF_FCFF!$C$58)/DCF_FCFF!$C$60</f>
        <v>286.6037194030572</v>
      </c>
      <c r="AE177" s="6"/>
      <c r="AF177" s="6"/>
      <c r="AG177" s="6"/>
    </row>
    <row r="178" spans="1:33" x14ac:dyDescent="0.3">
      <c r="A178" s="6"/>
      <c r="B178" s="72">
        <v>147</v>
      </c>
      <c r="C178" s="73">
        <v>0.31256994902858398</v>
      </c>
      <c r="D178" s="73">
        <v>5.0960482574886098E-2</v>
      </c>
      <c r="E178" s="73">
        <v>0.11160036824922701</v>
      </c>
      <c r="F178" s="73">
        <v>0.38450437798992798</v>
      </c>
      <c r="G178" s="73">
        <v>6.0528450826536101E-2</v>
      </c>
      <c r="H178" s="15">
        <f t="shared" si="21"/>
        <v>-0.48857883809051461</v>
      </c>
      <c r="I178" s="15">
        <f t="shared" si="22"/>
        <v>-1.6356112939747594</v>
      </c>
      <c r="J178" s="15">
        <f t="shared" si="23"/>
        <v>-1.2180611484188455</v>
      </c>
      <c r="K178" s="15">
        <f t="shared" si="24"/>
        <v>-0.29367173320954454</v>
      </c>
      <c r="L178" s="15">
        <f t="shared" si="25"/>
        <v>-1.5503526297132038</v>
      </c>
      <c r="M178" s="18">
        <f t="shared" si="26"/>
        <v>-9.7715767618102925E-3</v>
      </c>
      <c r="N178" s="18">
        <f t="shared" si="27"/>
        <v>-1.3286162802753092E-2</v>
      </c>
      <c r="O178" s="18">
        <f t="shared" si="28"/>
        <v>-1.4616733781026146E-2</v>
      </c>
      <c r="P178" s="18">
        <f t="shared" si="29"/>
        <v>-1.7620303992572674E-3</v>
      </c>
      <c r="Q178" s="18">
        <f t="shared" si="30"/>
        <v>-6.201410518852815E-3</v>
      </c>
      <c r="R178" s="28">
        <f>((Scenario_DT!I$11*(IF(Scenario_DT!I$18=1,1,1+$M178/Scenario_DT!$C$19)*(1+$N178)^MAX(0,Scenario_DT!I$18-3))*(Scenario_DT!I$12+$O178)-Scenario_DT!I$13)*(1-Scenario_DT!I$14)+Scenario_DT!I$13-Scenario_DT!I$15)*Scenario_DT!I$16</f>
        <v>890.37651590396524</v>
      </c>
      <c r="S178" s="28">
        <f>((Scenario_DT!J$11*(IF(Scenario_DT!J$18=1,1,1+$M178/Scenario_DT!$C$19)*(1+$N178)^MAX(0,Scenario_DT!J$18-3))*(Scenario_DT!J$12+$O178)-Scenario_DT!J$13)*(1-Scenario_DT!J$14)+Scenario_DT!J$13-Scenario_DT!J$15)*Scenario_DT!J$16</f>
        <v>1763.5406081168853</v>
      </c>
      <c r="T178" s="28">
        <f>((Scenario_DT!K$11*(IF(Scenario_DT!K$18=1,1,1+$M178/Scenario_DT!$C$19)*(1+$N178)^MAX(0,Scenario_DT!K$18-3))*(Scenario_DT!K$12+$O178)-Scenario_DT!K$13)*(1-Scenario_DT!K$14)+Scenario_DT!K$13-Scenario_DT!K$15)*Scenario_DT!K$16</f>
        <v>2025.3093873544153</v>
      </c>
      <c r="U178" s="28">
        <f>((Scenario_DT!L$11*(IF(Scenario_DT!L$18=1,1,1+$M178/Scenario_DT!$C$19)*(1+$N178)^MAX(0,Scenario_DT!L$18-3))*(Scenario_DT!L$12+$O178)-Scenario_DT!L$13)*(1-Scenario_DT!L$14)+Scenario_DT!L$13-Scenario_DT!L$15)*Scenario_DT!L$16</f>
        <v>2389.5385355537564</v>
      </c>
      <c r="V178" s="28">
        <f>((Scenario_DT!M$11*(IF(Scenario_DT!M$18=1,1,1+$M178/Scenario_DT!$C$19)*(1+$N178)^MAX(0,Scenario_DT!M$18-3))*(Scenario_DT!M$12+$O178)-Scenario_DT!M$13)*(1-Scenario_DT!M$14)+Scenario_DT!M$13-Scenario_DT!M$15)*Scenario_DT!M$16</f>
        <v>2474.7234321197875</v>
      </c>
      <c r="W178" s="28">
        <f>((Scenario_DT!N$11*(IF(Scenario_DT!N$18=1,1,1+$M178/Scenario_DT!$C$19)*(1+$N178)^MAX(0,Scenario_DT!N$18-3))*(Scenario_DT!N$12+$O178)-Scenario_DT!N$13)*(1-Scenario_DT!N$14)+Scenario_DT!N$13-Scenario_DT!N$15)*Scenario_DT!N$16</f>
        <v>2562.914313100729</v>
      </c>
      <c r="X178" s="28">
        <f>((Scenario_DT!O$11*(IF(Scenario_DT!O$18=1,1,1+$M178/Scenario_DT!$C$19)*(1+$N178)^MAX(0,Scenario_DT!O$18-3))*(Scenario_DT!O$12+$O178)-Scenario_DT!O$13)*(1-Scenario_DT!O$14)+Scenario_DT!O$13-Scenario_DT!O$15)*Scenario_DT!O$16</f>
        <v>2654.2180569800898</v>
      </c>
      <c r="Y178" s="28">
        <f>((Scenario_DT!P$11*(IF(Scenario_DT!P$18=1,1,1+$M178/Scenario_DT!$C$19)*(1+$N178)^MAX(0,Scenario_DT!P$18-3))*(Scenario_DT!P$12+$O178)-Scenario_DT!P$13)*(1-Scenario_DT!P$14)+Scenario_DT!P$13-Scenario_DT!P$15)*Scenario_DT!P$16</f>
        <v>2748.7453441580496</v>
      </c>
      <c r="Z178" s="28">
        <f>((Scenario_DT!Q$11*(IF(Scenario_DT!Q$18=1,1,1+$M178/Scenario_DT!$C$19)*(1+$N178)^MAX(0,Scenario_DT!Q$18-3))*(Scenario_DT!Q$12+$O178)-Scenario_DT!Q$13)*(1-Scenario_DT!Q$14)+Scenario_DT!Q$13-Scenario_DT!Q$15)*Scenario_DT!Q$16</f>
        <v>2846.6107919481638</v>
      </c>
      <c r="AA178" s="28">
        <f>((Scenario_DT!R$11*(IF(Scenario_DT!R$18=1,1,1+$M178/Scenario_DT!$C$19)*(1+$N178)^MAX(0,Scenario_DT!R$18-3))*(Scenario_DT!R$12+$O178)-Scenario_DT!R$13)*(1-Scenario_DT!R$14)+Scenario_DT!R$13-Scenario_DT!R$15)*Scenario_DT!R$16</f>
        <v>2947.933094354039</v>
      </c>
      <c r="AB178" s="17">
        <f>(Scenario_DT!$R$11*(1+$M178/Scenario_DT!$C$19)*(1+$N178)^7*(Scenario_DT!$R$12+$O178)*(1+MIN(DCF_FCFF!$C$26+$Q178,(DCF_FCFF!$C$25+$P178)-0.02))*(1-DCF_FCFF!$C$27)*(1-DCF_FCFF!$C$28)/((DCF_FCFF!$C$25+$P178)-MIN(DCF_FCFF!$C$26+$Q178,(DCF_FCFF!$C$25+$P178)-0.02)))*(1+(DCF_FCFF!$C$25+$P178))^(-(Inputs!$C$9+9))</f>
        <v>23093.079769278287</v>
      </c>
      <c r="AC178" s="17">
        <f>SUMPRODUCT(R178:AA178*(1+(DCF_FCFF!$C$25+$P178))^(-Scenario_DT!$I$17:$R$17))+AB178</f>
        <v>38547.716969075074</v>
      </c>
      <c r="AD178" s="68">
        <f>((AC178-DCF_FCFF!$C$48)*(1-DCF_FCFF!$C$50)+DCF_FCFF!$C$57+DCF_FCFF!$C$58)/DCF_FCFF!$C$60</f>
        <v>273.56618253844914</v>
      </c>
      <c r="AE178" s="6"/>
      <c r="AF178" s="6"/>
      <c r="AG178" s="6"/>
    </row>
    <row r="179" spans="1:33" x14ac:dyDescent="0.3">
      <c r="A179" s="6"/>
      <c r="B179" s="72">
        <v>148</v>
      </c>
      <c r="C179" s="73">
        <v>0.69818972560991299</v>
      </c>
      <c r="D179" s="73">
        <v>0.207020541524812</v>
      </c>
      <c r="E179" s="73">
        <v>0.302071568783639</v>
      </c>
      <c r="F179" s="73">
        <v>0.39412577717809799</v>
      </c>
      <c r="G179" s="73">
        <v>0.416609633069148</v>
      </c>
      <c r="H179" s="15">
        <f t="shared" si="21"/>
        <v>0.51920104731916317</v>
      </c>
      <c r="I179" s="15">
        <f t="shared" si="22"/>
        <v>-0.81680288537489754</v>
      </c>
      <c r="J179" s="15">
        <f t="shared" si="23"/>
        <v>-0.51845171941674506</v>
      </c>
      <c r="K179" s="15">
        <f t="shared" si="24"/>
        <v>-0.26858175448604538</v>
      </c>
      <c r="L179" s="15">
        <f t="shared" si="25"/>
        <v>-0.21057455901021058</v>
      </c>
      <c r="M179" s="18">
        <f t="shared" si="26"/>
        <v>1.0384020946383264E-2</v>
      </c>
      <c r="N179" s="18">
        <f t="shared" si="27"/>
        <v>-3.5821721996760689E-3</v>
      </c>
      <c r="O179" s="18">
        <f t="shared" si="28"/>
        <v>-6.2214206330009408E-3</v>
      </c>
      <c r="P179" s="18">
        <f t="shared" si="29"/>
        <v>-1.6114905269162723E-3</v>
      </c>
      <c r="Q179" s="18">
        <f t="shared" si="30"/>
        <v>-8.4229823604084237E-4</v>
      </c>
      <c r="R179" s="28">
        <f>((Scenario_DT!I$11*(IF(Scenario_DT!I$18=1,1,1+$M179/Scenario_DT!$C$19)*(1+$N179)^MAX(0,Scenario_DT!I$18-3))*(Scenario_DT!I$12+$O179)-Scenario_DT!I$13)*(1-Scenario_DT!I$14)+Scenario_DT!I$13-Scenario_DT!I$15)*Scenario_DT!I$16</f>
        <v>902.21300396893753</v>
      </c>
      <c r="S179" s="28">
        <f>((Scenario_DT!J$11*(IF(Scenario_DT!J$18=1,1,1+$M179/Scenario_DT!$C$19)*(1+$N179)^MAX(0,Scenario_DT!J$18-3))*(Scenario_DT!J$12+$O179)-Scenario_DT!J$13)*(1-Scenario_DT!J$14)+Scenario_DT!J$13-Scenario_DT!J$15)*Scenario_DT!J$16</f>
        <v>1837.2436955240028</v>
      </c>
      <c r="T179" s="28">
        <f>((Scenario_DT!K$11*(IF(Scenario_DT!K$18=1,1,1+$M179/Scenario_DT!$C$19)*(1+$N179)^MAX(0,Scenario_DT!K$18-3))*(Scenario_DT!K$12+$O179)-Scenario_DT!K$13)*(1-Scenario_DT!K$14)+Scenario_DT!K$13-Scenario_DT!K$15)*Scenario_DT!K$16</f>
        <v>2102.3752607525535</v>
      </c>
      <c r="U179" s="28">
        <f>((Scenario_DT!L$11*(IF(Scenario_DT!L$18=1,1,1+$M179/Scenario_DT!$C$19)*(1+$N179)^MAX(0,Scenario_DT!L$18-3))*(Scenario_DT!L$12+$O179)-Scenario_DT!L$13)*(1-Scenario_DT!L$14)+Scenario_DT!L$13-Scenario_DT!L$15)*Scenario_DT!L$16</f>
        <v>2494.7384386742215</v>
      </c>
      <c r="V179" s="28">
        <f>((Scenario_DT!M$11*(IF(Scenario_DT!M$18=1,1,1+$M179/Scenario_DT!$C$19)*(1+$N179)^MAX(0,Scenario_DT!M$18-3))*(Scenario_DT!M$12+$O179)-Scenario_DT!M$13)*(1-Scenario_DT!M$14)+Scenario_DT!M$13-Scenario_DT!M$15)*Scenario_DT!M$16</f>
        <v>2609.3070478435729</v>
      </c>
      <c r="W179" s="28">
        <f>((Scenario_DT!N$11*(IF(Scenario_DT!N$18=1,1,1+$M179/Scenario_DT!$C$19)*(1+$N179)^MAX(0,Scenario_DT!N$18-3))*(Scenario_DT!N$12+$O179)-Scenario_DT!N$13)*(1-Scenario_DT!N$14)+Scenario_DT!N$13-Scenario_DT!N$15)*Scenario_DT!N$16</f>
        <v>2729.1242196242888</v>
      </c>
      <c r="X179" s="28">
        <f>((Scenario_DT!O$11*(IF(Scenario_DT!O$18=1,1,1+$M179/Scenario_DT!$C$19)*(1+$N179)^MAX(0,Scenario_DT!O$18-3))*(Scenario_DT!O$12+$O179)-Scenario_DT!O$13)*(1-Scenario_DT!O$14)+Scenario_DT!O$13-Scenario_DT!O$15)*Scenario_DT!O$16</f>
        <v>2854.432391089324</v>
      </c>
      <c r="Y179" s="28">
        <f>((Scenario_DT!P$11*(IF(Scenario_DT!P$18=1,1,1+$M179/Scenario_DT!$C$19)*(1+$N179)^MAX(0,Scenario_DT!P$18-3))*(Scenario_DT!P$12+$O179)-Scenario_DT!P$13)*(1-Scenario_DT!P$14)+Scenario_DT!P$13-Scenario_DT!P$15)*Scenario_DT!P$16</f>
        <v>2985.4852179893337</v>
      </c>
      <c r="Z179" s="28">
        <f>((Scenario_DT!Q$11*(IF(Scenario_DT!Q$18=1,1,1+$M179/Scenario_DT!$C$19)*(1+$N179)^MAX(0,Scenario_DT!Q$18-3))*(Scenario_DT!Q$12+$O179)-Scenario_DT!Q$13)*(1-Scenario_DT!Q$14)+Scenario_DT!Q$13-Scenario_DT!Q$15)*Scenario_DT!Q$16</f>
        <v>3122.5480941012074</v>
      </c>
      <c r="AA179" s="28">
        <f>((Scenario_DT!R$11*(IF(Scenario_DT!R$18=1,1,1+$M179/Scenario_DT!$C$19)*(1+$N179)^MAX(0,Scenario_DT!R$18-3))*(Scenario_DT!R$12+$O179)-Scenario_DT!R$13)*(1-Scenario_DT!R$14)+Scenario_DT!R$13-Scenario_DT!R$15)*Scenario_DT!R$16</f>
        <v>3265.8986946213167</v>
      </c>
      <c r="AB179" s="17">
        <f>(Scenario_DT!$R$11*(1+$M179/Scenario_DT!$C$19)*(1+$N179)^7*(Scenario_DT!$R$12+$O179)*(1+MIN(DCF_FCFF!$C$26+$Q179,(DCF_FCFF!$C$25+$P179)-0.02))*(1-DCF_FCFF!$C$27)*(1-DCF_FCFF!$C$28)/((DCF_FCFF!$C$25+$P179)-MIN(DCF_FCFF!$C$26+$Q179,(DCF_FCFF!$C$25+$P179)-0.02)))*(1+(DCF_FCFF!$C$25+$P179))^(-(Inputs!$C$9+9))</f>
        <v>28352.153838634087</v>
      </c>
      <c r="AC179" s="17">
        <f>SUMPRODUCT(R179:AA179*(1+(DCF_FCFF!$C$25+$P179))^(-Scenario_DT!$I$17:$R$17))+AB179</f>
        <v>44767.958945631253</v>
      </c>
      <c r="AD179" s="68">
        <f>((AC179-DCF_FCFF!$C$48)*(1-DCF_FCFF!$C$50)+DCF_FCFF!$C$57+DCF_FCFF!$C$58)/DCF_FCFF!$C$60</f>
        <v>333.27284511692267</v>
      </c>
      <c r="AE179" s="6"/>
      <c r="AF179" s="6"/>
      <c r="AG179" s="6"/>
    </row>
    <row r="180" spans="1:33" x14ac:dyDescent="0.3">
      <c r="A180" s="6"/>
      <c r="B180" s="72">
        <v>149</v>
      </c>
      <c r="C180" s="73">
        <v>1.6607076748005301E-3</v>
      </c>
      <c r="D180" s="73">
        <v>0.112070370998698</v>
      </c>
      <c r="E180" s="73">
        <v>0.86276456374087795</v>
      </c>
      <c r="F180" s="73">
        <v>1.2330625119081301E-3</v>
      </c>
      <c r="G180" s="73">
        <v>0.50816735581287498</v>
      </c>
      <c r="H180" s="15">
        <f t="shared" si="21"/>
        <v>-2.9363106383469035</v>
      </c>
      <c r="I180" s="15">
        <f t="shared" si="22"/>
        <v>-1.215591058486895</v>
      </c>
      <c r="J180" s="15">
        <f t="shared" si="23"/>
        <v>1.0928244770200823</v>
      </c>
      <c r="K180" s="15">
        <f t="shared" si="24"/>
        <v>-3.0274671676513365</v>
      </c>
      <c r="L180" s="15">
        <f t="shared" si="25"/>
        <v>2.0473955308065291E-2</v>
      </c>
      <c r="M180" s="18">
        <f t="shared" si="26"/>
        <v>-5.8726212766938068E-2</v>
      </c>
      <c r="N180" s="18">
        <f t="shared" si="27"/>
        <v>-2.0167104451490545E-2</v>
      </c>
      <c r="O180" s="18">
        <f t="shared" si="28"/>
        <v>1.3113893724240988E-2</v>
      </c>
      <c r="P180" s="18">
        <f t="shared" si="29"/>
        <v>-1.8164803005908021E-2</v>
      </c>
      <c r="Q180" s="18">
        <f t="shared" si="30"/>
        <v>8.1895821232261164E-5</v>
      </c>
      <c r="R180" s="28">
        <f>((Scenario_DT!I$11*(IF(Scenario_DT!I$18=1,1,1+$M180/Scenario_DT!$C$19)*(1+$N180)^MAX(0,Scenario_DT!I$18-3))*(Scenario_DT!I$12+$O180)-Scenario_DT!I$13)*(1-Scenario_DT!I$14)+Scenario_DT!I$13-Scenario_DT!I$15)*Scenario_DT!I$16</f>
        <v>929.47371641488269</v>
      </c>
      <c r="S180" s="28">
        <f>((Scenario_DT!J$11*(IF(Scenario_DT!J$18=1,1,1+$M180/Scenario_DT!$C$19)*(1+$N180)^MAX(0,Scenario_DT!J$18-3))*(Scenario_DT!J$12+$O180)-Scenario_DT!J$13)*(1-Scenario_DT!J$14)+Scenario_DT!J$13-Scenario_DT!J$15)*Scenario_DT!J$16</f>
        <v>1729.3958000744374</v>
      </c>
      <c r="T180" s="28">
        <f>((Scenario_DT!K$11*(IF(Scenario_DT!K$18=1,1,1+$M180/Scenario_DT!$C$19)*(1+$N180)^MAX(0,Scenario_DT!K$18-3))*(Scenario_DT!K$12+$O180)-Scenario_DT!K$13)*(1-Scenario_DT!K$14)+Scenario_DT!K$13-Scenario_DT!K$15)*Scenario_DT!K$16</f>
        <v>1988.2596287708147</v>
      </c>
      <c r="U180" s="28">
        <f>((Scenario_DT!L$11*(IF(Scenario_DT!L$18=1,1,1+$M180/Scenario_DT!$C$19)*(1+$N180)^MAX(0,Scenario_DT!L$18-3))*(Scenario_DT!L$12+$O180)-Scenario_DT!L$13)*(1-Scenario_DT!L$14)+Scenario_DT!L$13-Scenario_DT!L$15)*Scenario_DT!L$16</f>
        <v>2334.2119482957792</v>
      </c>
      <c r="V180" s="28">
        <f>((Scenario_DT!M$11*(IF(Scenario_DT!M$18=1,1,1+$M180/Scenario_DT!$C$19)*(1+$N180)^MAX(0,Scenario_DT!M$18-3))*(Scenario_DT!M$12+$O180)-Scenario_DT!M$13)*(1-Scenario_DT!M$14)+Scenario_DT!M$13-Scenario_DT!M$15)*Scenario_DT!M$16</f>
        <v>2400.415771610737</v>
      </c>
      <c r="W180" s="28">
        <f>((Scenario_DT!N$11*(IF(Scenario_DT!N$18=1,1,1+$M180/Scenario_DT!$C$19)*(1+$N180)^MAX(0,Scenario_DT!N$18-3))*(Scenario_DT!N$12+$O180)-Scenario_DT!N$13)*(1-Scenario_DT!N$14)+Scenario_DT!N$13-Scenario_DT!N$15)*Scenario_DT!N$16</f>
        <v>2468.4516903487183</v>
      </c>
      <c r="X180" s="28">
        <f>((Scenario_DT!O$11*(IF(Scenario_DT!O$18=1,1,1+$M180/Scenario_DT!$C$19)*(1+$N180)^MAX(0,Scenario_DT!O$18-3))*(Scenario_DT!O$12+$O180)-Scenario_DT!O$13)*(1-Scenario_DT!O$14)+Scenario_DT!O$13-Scenario_DT!O$15)*Scenario_DT!O$16</f>
        <v>2538.3701514813074</v>
      </c>
      <c r="Y180" s="28">
        <f>((Scenario_DT!P$11*(IF(Scenario_DT!P$18=1,1,1+$M180/Scenario_DT!$C$19)*(1+$N180)^MAX(0,Scenario_DT!P$18-3))*(Scenario_DT!P$12+$O180)-Scenario_DT!P$13)*(1-Scenario_DT!P$14)+Scenario_DT!P$13-Scenario_DT!P$15)*Scenario_DT!P$16</f>
        <v>2610.2229627560223</v>
      </c>
      <c r="Z180" s="28">
        <f>((Scenario_DT!Q$11*(IF(Scenario_DT!Q$18=1,1,1+$M180/Scenario_DT!$C$19)*(1+$N180)^MAX(0,Scenario_DT!Q$18-3))*(Scenario_DT!Q$12+$O180)-Scenario_DT!Q$13)*(1-Scenario_DT!Q$14)+Scenario_DT!Q$13-Scenario_DT!Q$15)*Scenario_DT!Q$16</f>
        <v>2684.0633279649037</v>
      </c>
      <c r="AA180" s="28">
        <f>((Scenario_DT!R$11*(IF(Scenario_DT!R$18=1,1,1+$M180/Scenario_DT!$C$19)*(1+$N180)^MAX(0,Scenario_DT!R$18-3))*(Scenario_DT!R$12+$O180)-Scenario_DT!R$13)*(1-Scenario_DT!R$14)+Scenario_DT!R$13-Scenario_DT!R$15)*Scenario_DT!R$16</f>
        <v>2759.9458830599106</v>
      </c>
      <c r="AB180" s="17">
        <f>(Scenario_DT!$R$11*(1+$M180/Scenario_DT!$C$19)*(1+$N180)^7*(Scenario_DT!$R$12+$O180)*(1+MIN(DCF_FCFF!$C$26+$Q180,(DCF_FCFF!$C$25+$P180)-0.02))*(1-DCF_FCFF!$C$27)*(1-DCF_FCFF!$C$28)/((DCF_FCFF!$C$25+$P180)-MIN(DCF_FCFF!$C$26+$Q180,(DCF_FCFF!$C$25+$P180)-0.02)))*(1+(DCF_FCFF!$C$25+$P180))^(-(Inputs!$C$9+9))</f>
        <v>42865.271094282143</v>
      </c>
      <c r="AC180" s="17">
        <f>SUMPRODUCT(R180:AA180*(1+(DCF_FCFF!$C$25+$P180))^(-Scenario_DT!$I$17:$R$17))+AB180</f>
        <v>58885.494929887267</v>
      </c>
      <c r="AD180" s="68">
        <f>((AC180-DCF_FCFF!$C$48)*(1-DCF_FCFF!$C$50)+DCF_FCFF!$C$57+DCF_FCFF!$C$58)/DCF_FCFF!$C$60</f>
        <v>468.78380443785051</v>
      </c>
      <c r="AE180" s="6"/>
      <c r="AF180" s="6"/>
      <c r="AG180" s="6"/>
    </row>
    <row r="181" spans="1:33" x14ac:dyDescent="0.3">
      <c r="A181" s="6"/>
      <c r="B181" s="72">
        <v>150</v>
      </c>
      <c r="C181" s="73">
        <v>0.48950200650720799</v>
      </c>
      <c r="D181" s="73">
        <v>0.33309416101063799</v>
      </c>
      <c r="E181" s="73">
        <v>0.43132702014645002</v>
      </c>
      <c r="F181" s="73">
        <v>0.78058113752658398</v>
      </c>
      <c r="G181" s="73">
        <v>0.84120370621495599</v>
      </c>
      <c r="H181" s="15">
        <f t="shared" si="21"/>
        <v>-2.6317605000836838E-2</v>
      </c>
      <c r="I181" s="15">
        <f t="shared" si="22"/>
        <v>-0.43138518261975667</v>
      </c>
      <c r="J181" s="15">
        <f t="shared" si="23"/>
        <v>-0.17299667613463027</v>
      </c>
      <c r="K181" s="15">
        <f t="shared" si="24"/>
        <v>0.77415738617756003</v>
      </c>
      <c r="L181" s="15">
        <f t="shared" si="25"/>
        <v>0.9994172899503897</v>
      </c>
      <c r="M181" s="18">
        <f t="shared" si="26"/>
        <v>-5.2635210001673676E-4</v>
      </c>
      <c r="N181" s="18">
        <f t="shared" si="27"/>
        <v>-3.0939946357225355E-3</v>
      </c>
      <c r="O181" s="18">
        <f t="shared" si="28"/>
        <v>-2.0759601136155631E-3</v>
      </c>
      <c r="P181" s="18">
        <f t="shared" si="29"/>
        <v>4.6449443170653599E-3</v>
      </c>
      <c r="Q181" s="18">
        <f t="shared" si="30"/>
        <v>3.9976691598015588E-3</v>
      </c>
      <c r="R181" s="28">
        <f>((Scenario_DT!I$11*(IF(Scenario_DT!I$18=1,1,1+$M181/Scenario_DT!$C$19)*(1+$N181)^MAX(0,Scenario_DT!I$18-3))*(Scenario_DT!I$12+$O181)-Scenario_DT!I$13)*(1-Scenario_DT!I$14)+Scenario_DT!I$13-Scenario_DT!I$15)*Scenario_DT!I$16</f>
        <v>908.05765718155305</v>
      </c>
      <c r="S181" s="28">
        <f>((Scenario_DT!J$11*(IF(Scenario_DT!J$18=1,1,1+$M181/Scenario_DT!$C$19)*(1+$N181)^MAX(0,Scenario_DT!J$18-3))*(Scenario_DT!J$12+$O181)-Scenario_DT!J$13)*(1-Scenario_DT!J$14)+Scenario_DT!J$13-Scenario_DT!J$15)*Scenario_DT!J$16</f>
        <v>1824.1995978073714</v>
      </c>
      <c r="T181" s="28">
        <f>((Scenario_DT!K$11*(IF(Scenario_DT!K$18=1,1,1+$M181/Scenario_DT!$C$19)*(1+$N181)^MAX(0,Scenario_DT!K$18-3))*(Scenario_DT!K$12+$O181)-Scenario_DT!K$13)*(1-Scenario_DT!K$14)+Scenario_DT!K$13-Scenario_DT!K$15)*Scenario_DT!K$16</f>
        <v>2088.4863285780052</v>
      </c>
      <c r="U181" s="28">
        <f>((Scenario_DT!L$11*(IF(Scenario_DT!L$18=1,1,1+$M181/Scenario_DT!$C$19)*(1+$N181)^MAX(0,Scenario_DT!L$18-3))*(Scenario_DT!L$12+$O181)-Scenario_DT!L$13)*(1-Scenario_DT!L$14)+Scenario_DT!L$13-Scenario_DT!L$15)*Scenario_DT!L$16</f>
        <v>2481.2676377528774</v>
      </c>
      <c r="V181" s="28">
        <f>((Scenario_DT!M$11*(IF(Scenario_DT!M$18=1,1,1+$M181/Scenario_DT!$C$19)*(1+$N181)^MAX(0,Scenario_DT!M$18-3))*(Scenario_DT!M$12+$O181)-Scenario_DT!M$13)*(1-Scenario_DT!M$14)+Scenario_DT!M$13-Scenario_DT!M$15)*Scenario_DT!M$16</f>
        <v>2596.4938883260097</v>
      </c>
      <c r="W181" s="28">
        <f>((Scenario_DT!N$11*(IF(Scenario_DT!N$18=1,1,1+$M181/Scenario_DT!$C$19)*(1+$N181)^MAX(0,Scenario_DT!N$18-3))*(Scenario_DT!N$12+$O181)-Scenario_DT!N$13)*(1-Scenario_DT!N$14)+Scenario_DT!N$13-Scenario_DT!N$15)*Scenario_DT!N$16</f>
        <v>2717.0589757073758</v>
      </c>
      <c r="X181" s="28">
        <f>((Scenario_DT!O$11*(IF(Scenario_DT!O$18=1,1,1+$M181/Scenario_DT!$C$19)*(1+$N181)^MAX(0,Scenario_DT!O$18-3))*(Scenario_DT!O$12+$O181)-Scenario_DT!O$13)*(1-Scenario_DT!O$14)+Scenario_DT!O$13-Scenario_DT!O$15)*Scenario_DT!O$16</f>
        <v>2843.2123099328396</v>
      </c>
      <c r="Y181" s="28">
        <f>((Scenario_DT!P$11*(IF(Scenario_DT!P$18=1,1,1+$M181/Scenario_DT!$C$19)*(1+$N181)^MAX(0,Scenario_DT!P$18-3))*(Scenario_DT!P$12+$O181)-Scenario_DT!P$13)*(1-Scenario_DT!P$14)+Scenario_DT!P$13-Scenario_DT!P$15)*Scenario_DT!P$16</f>
        <v>2975.2149729843773</v>
      </c>
      <c r="Z181" s="28">
        <f>((Scenario_DT!Q$11*(IF(Scenario_DT!Q$18=1,1,1+$M181/Scenario_DT!$C$19)*(1+$N181)^MAX(0,Scenario_DT!Q$18-3))*(Scenario_DT!Q$12+$O181)-Scenario_DT!Q$13)*(1-Scenario_DT!Q$14)+Scenario_DT!Q$13-Scenario_DT!Q$15)*Scenario_DT!Q$16</f>
        <v>3113.3402652144555</v>
      </c>
      <c r="AA181" s="28">
        <f>((Scenario_DT!R$11*(IF(Scenario_DT!R$18=1,1,1+$M181/Scenario_DT!$C$19)*(1+$N181)^MAX(0,Scenario_DT!R$18-3))*(Scenario_DT!R$12+$O181)-Scenario_DT!R$13)*(1-Scenario_DT!R$14)+Scenario_DT!R$13-Scenario_DT!R$15)*Scenario_DT!R$16</f>
        <v>3257.8742773530666</v>
      </c>
      <c r="AB181" s="17">
        <f>(Scenario_DT!$R$11*(1+$M181/Scenario_DT!$C$19)*(1+$N181)^7*(Scenario_DT!$R$12+$O181)*(1+MIN(DCF_FCFF!$C$26+$Q181,(DCF_FCFF!$C$25+$P181)-0.02))*(1-DCF_FCFF!$C$27)*(1-DCF_FCFF!$C$28)/((DCF_FCFF!$C$25+$P181)-MIN(DCF_FCFF!$C$26+$Q181,(DCF_FCFF!$C$25+$P181)-0.02)))*(1+(DCF_FCFF!$C$25+$P181))^(-(Inputs!$C$9+9))</f>
        <v>26167.04306198538</v>
      </c>
      <c r="AC181" s="17">
        <f>SUMPRODUCT(R181:AA181*(1+(DCF_FCFF!$C$25+$P181))^(-Scenario_DT!$I$17:$R$17))+AB181</f>
        <v>42093.338047739235</v>
      </c>
      <c r="AD181" s="68">
        <f>((AC181-DCF_FCFF!$C$48)*(1-DCF_FCFF!$C$50)+DCF_FCFF!$C$57+DCF_FCFF!$C$58)/DCF_FCFF!$C$60</f>
        <v>307.59977836523558</v>
      </c>
      <c r="AE181" s="6"/>
      <c r="AF181" s="6"/>
      <c r="AG181" s="6"/>
    </row>
    <row r="182" spans="1:33" x14ac:dyDescent="0.3">
      <c r="A182" s="6"/>
      <c r="B182" s="72">
        <v>151</v>
      </c>
      <c r="C182" s="73">
        <v>0.26034854341524999</v>
      </c>
      <c r="D182" s="73">
        <v>0.32249044096773</v>
      </c>
      <c r="E182" s="73">
        <v>0.242482853028333</v>
      </c>
      <c r="F182" s="73">
        <v>0.47986340055106502</v>
      </c>
      <c r="G182" s="73">
        <v>0.68325835765881304</v>
      </c>
      <c r="H182" s="15">
        <f t="shared" si="21"/>
        <v>-0.64227123638038852</v>
      </c>
      <c r="I182" s="15">
        <f t="shared" si="22"/>
        <v>-0.4607459528456222</v>
      </c>
      <c r="J182" s="15">
        <f t="shared" si="23"/>
        <v>-0.69833821429584431</v>
      </c>
      <c r="K182" s="15">
        <f t="shared" si="24"/>
        <v>-5.0496421369291902E-2</v>
      </c>
      <c r="L182" s="15">
        <f t="shared" si="25"/>
        <v>0.47682985476630591</v>
      </c>
      <c r="M182" s="18">
        <f t="shared" si="26"/>
        <v>-1.284542472760777E-2</v>
      </c>
      <c r="N182" s="18">
        <f t="shared" si="27"/>
        <v>-5.7612265443629605E-3</v>
      </c>
      <c r="O182" s="18">
        <f t="shared" si="28"/>
        <v>-8.3800585715501311E-3</v>
      </c>
      <c r="P182" s="18">
        <f t="shared" si="29"/>
        <v>-3.0297852821575144E-4</v>
      </c>
      <c r="Q182" s="18">
        <f t="shared" si="30"/>
        <v>1.9073194190652237E-3</v>
      </c>
      <c r="R182" s="28">
        <f>((Scenario_DT!I$11*(IF(Scenario_DT!I$18=1,1,1+$M182/Scenario_DT!$C$19)*(1+$N182)^MAX(0,Scenario_DT!I$18-3))*(Scenario_DT!I$12+$O182)-Scenario_DT!I$13)*(1-Scenario_DT!I$14)+Scenario_DT!I$13-Scenario_DT!I$15)*Scenario_DT!I$16</f>
        <v>899.16955678052091</v>
      </c>
      <c r="S182" s="28">
        <f>((Scenario_DT!J$11*(IF(Scenario_DT!J$18=1,1,1+$M182/Scenario_DT!$C$19)*(1+$N182)^MAX(0,Scenario_DT!J$18-3))*(Scenario_DT!J$12+$O182)-Scenario_DT!J$13)*(1-Scenario_DT!J$14)+Scenario_DT!J$13-Scenario_DT!J$15)*Scenario_DT!J$16</f>
        <v>1775.4405128127823</v>
      </c>
      <c r="T182" s="28">
        <f>((Scenario_DT!K$11*(IF(Scenario_DT!K$18=1,1,1+$M182/Scenario_DT!$C$19)*(1+$N182)^MAX(0,Scenario_DT!K$18-3))*(Scenario_DT!K$12+$O182)-Scenario_DT!K$13)*(1-Scenario_DT!K$14)+Scenario_DT!K$13-Scenario_DT!K$15)*Scenario_DT!K$16</f>
        <v>2037.5370704592078</v>
      </c>
      <c r="U182" s="28">
        <f>((Scenario_DT!L$11*(IF(Scenario_DT!L$18=1,1,1+$M182/Scenario_DT!$C$19)*(1+$N182)^MAX(0,Scenario_DT!L$18-3))*(Scenario_DT!L$12+$O182)-Scenario_DT!L$13)*(1-Scenario_DT!L$14)+Scenario_DT!L$13-Scenario_DT!L$15)*Scenario_DT!L$16</f>
        <v>2420.7987444896166</v>
      </c>
      <c r="V182" s="28">
        <f>((Scenario_DT!M$11*(IF(Scenario_DT!M$18=1,1,1+$M182/Scenario_DT!$C$19)*(1+$N182)^MAX(0,Scenario_DT!M$18-3))*(Scenario_DT!M$12+$O182)-Scenario_DT!M$13)*(1-Scenario_DT!M$14)+Scenario_DT!M$13-Scenario_DT!M$15)*Scenario_DT!M$16</f>
        <v>2526.3710624364367</v>
      </c>
      <c r="W182" s="28">
        <f>((Scenario_DT!N$11*(IF(Scenario_DT!N$18=1,1,1+$M182/Scenario_DT!$C$19)*(1+$N182)^MAX(0,Scenario_DT!N$18-3))*(Scenario_DT!N$12+$O182)-Scenario_DT!N$13)*(1-Scenario_DT!N$14)+Scenario_DT!N$13-Scenario_DT!N$15)*Scenario_DT!N$16</f>
        <v>2636.5308346734068</v>
      </c>
      <c r="X182" s="28">
        <f>((Scenario_DT!O$11*(IF(Scenario_DT!O$18=1,1,1+$M182/Scenario_DT!$C$19)*(1+$N182)^MAX(0,Scenario_DT!O$18-3))*(Scenario_DT!O$12+$O182)-Scenario_DT!O$13)*(1-Scenario_DT!O$14)+Scenario_DT!O$13-Scenario_DT!O$15)*Scenario_DT!O$16</f>
        <v>2751.4791557746098</v>
      </c>
      <c r="Y182" s="28">
        <f>((Scenario_DT!P$11*(IF(Scenario_DT!P$18=1,1,1+$M182/Scenario_DT!$C$19)*(1+$N182)^MAX(0,Scenario_DT!P$18-3))*(Scenario_DT!P$12+$O182)-Scenario_DT!P$13)*(1-Scenario_DT!P$14)+Scenario_DT!P$13-Scenario_DT!P$15)*Scenario_DT!P$16</f>
        <v>2871.425953855985</v>
      </c>
      <c r="Z182" s="28">
        <f>((Scenario_DT!Q$11*(IF(Scenario_DT!Q$18=1,1,1+$M182/Scenario_DT!$C$19)*(1+$N182)^MAX(0,Scenario_DT!Q$18-3))*(Scenario_DT!Q$12+$O182)-Scenario_DT!Q$13)*(1-Scenario_DT!Q$14)+Scenario_DT!Q$13-Scenario_DT!Q$15)*Scenario_DT!Q$16</f>
        <v>2996.5903788270557</v>
      </c>
      <c r="AA182" s="28">
        <f>((Scenario_DT!R$11*(IF(Scenario_DT!R$18=1,1,1+$M182/Scenario_DT!$C$19)*(1+$N182)^MAX(0,Scenario_DT!R$18-3))*(Scenario_DT!R$12+$O182)-Scenario_DT!R$13)*(1-Scenario_DT!R$14)+Scenario_DT!R$13-Scenario_DT!R$15)*Scenario_DT!R$16</f>
        <v>3127.2012077109712</v>
      </c>
      <c r="AB182" s="17">
        <f>(Scenario_DT!$R$11*(1+$M182/Scenario_DT!$C$19)*(1+$N182)^7*(Scenario_DT!$R$12+$O182)*(1+MIN(DCF_FCFF!$C$26+$Q182,(DCF_FCFF!$C$25+$P182)-0.02))*(1-DCF_FCFF!$C$27)*(1-DCF_FCFF!$C$28)/((DCF_FCFF!$C$25+$P182)-MIN(DCF_FCFF!$C$26+$Q182,(DCF_FCFF!$C$25+$P182)-0.02)))*(1+(DCF_FCFF!$C$25+$P182))^(-(Inputs!$C$9+9))</f>
        <v>27727.392324017943</v>
      </c>
      <c r="AC182" s="17">
        <f>SUMPRODUCT(R182:AA182*(1+(DCF_FCFF!$C$25+$P182))^(-Scenario_DT!$I$17:$R$17))+AB182</f>
        <v>43510.676926146203</v>
      </c>
      <c r="AD182" s="68">
        <f>((AC182-DCF_FCFF!$C$48)*(1-DCF_FCFF!$C$50)+DCF_FCFF!$C$57+DCF_FCFF!$C$58)/DCF_FCFF!$C$60</f>
        <v>321.20448610672594</v>
      </c>
      <c r="AE182" s="6"/>
      <c r="AF182" s="6"/>
      <c r="AG182" s="6"/>
    </row>
    <row r="183" spans="1:33" x14ac:dyDescent="0.3">
      <c r="A183" s="6"/>
      <c r="B183" s="72">
        <v>152</v>
      </c>
      <c r="C183" s="73">
        <v>0.22825287546342099</v>
      </c>
      <c r="D183" s="73">
        <v>0.330735742054867</v>
      </c>
      <c r="E183" s="73">
        <v>0.93038461758915103</v>
      </c>
      <c r="F183" s="73">
        <v>4.8569289846958102E-2</v>
      </c>
      <c r="G183" s="73">
        <v>0.460769605239566</v>
      </c>
      <c r="H183" s="15">
        <f t="shared" si="21"/>
        <v>-0.74461292694113712</v>
      </c>
      <c r="I183" s="15">
        <f t="shared" si="22"/>
        <v>-0.43788246959800886</v>
      </c>
      <c r="J183" s="15">
        <f t="shared" si="23"/>
        <v>1.478661657404337</v>
      </c>
      <c r="K183" s="15">
        <f t="shared" si="24"/>
        <v>-1.6588869256652976</v>
      </c>
      <c r="L183" s="15">
        <f t="shared" si="25"/>
        <v>-9.8495039795875719E-2</v>
      </c>
      <c r="M183" s="18">
        <f t="shared" si="26"/>
        <v>-1.4892258538822742E-2</v>
      </c>
      <c r="N183" s="18">
        <f t="shared" si="27"/>
        <v>-6.0121904481144905E-3</v>
      </c>
      <c r="O183" s="18">
        <f t="shared" si="28"/>
        <v>1.7743939888852044E-2</v>
      </c>
      <c r="P183" s="18">
        <f t="shared" si="29"/>
        <v>-9.9533215539917858E-3</v>
      </c>
      <c r="Q183" s="18">
        <f t="shared" si="30"/>
        <v>-3.9398015918350291E-4</v>
      </c>
      <c r="R183" s="28">
        <f>((Scenario_DT!I$11*(IF(Scenario_DT!I$18=1,1,1+$M183/Scenario_DT!$C$19)*(1+$N183)^MAX(0,Scenario_DT!I$18-3))*(Scenario_DT!I$12+$O183)-Scenario_DT!I$13)*(1-Scenario_DT!I$14)+Scenario_DT!I$13-Scenario_DT!I$15)*Scenario_DT!I$16</f>
        <v>936.00158323788276</v>
      </c>
      <c r="S183" s="28">
        <f>((Scenario_DT!J$11*(IF(Scenario_DT!J$18=1,1,1+$M183/Scenario_DT!$C$19)*(1+$N183)^MAX(0,Scenario_DT!J$18-3))*(Scenario_DT!J$12+$O183)-Scenario_DT!J$13)*(1-Scenario_DT!J$14)+Scenario_DT!J$13-Scenario_DT!J$15)*Scenario_DT!J$16</f>
        <v>1850.4933985257871</v>
      </c>
      <c r="T183" s="28">
        <f>((Scenario_DT!K$11*(IF(Scenario_DT!K$18=1,1,1+$M183/Scenario_DT!$C$19)*(1+$N183)^MAX(0,Scenario_DT!K$18-3))*(Scenario_DT!K$12+$O183)-Scenario_DT!K$13)*(1-Scenario_DT!K$14)+Scenario_DT!K$13-Scenario_DT!K$15)*Scenario_DT!K$16</f>
        <v>2115.2468519937984</v>
      </c>
      <c r="U183" s="28">
        <f>((Scenario_DT!L$11*(IF(Scenario_DT!L$18=1,1,1+$M183/Scenario_DT!$C$19)*(1+$N183)^MAX(0,Scenario_DT!L$18-3))*(Scenario_DT!L$12+$O183)-Scenario_DT!L$13)*(1-Scenario_DT!L$14)+Scenario_DT!L$13-Scenario_DT!L$15)*Scenario_DT!L$16</f>
        <v>2502.1978236474101</v>
      </c>
      <c r="V183" s="28">
        <f>((Scenario_DT!M$11*(IF(Scenario_DT!M$18=1,1,1+$M183/Scenario_DT!$C$19)*(1+$N183)^MAX(0,Scenario_DT!M$18-3))*(Scenario_DT!M$12+$O183)-Scenario_DT!M$13)*(1-Scenario_DT!M$14)+Scenario_DT!M$13-Scenario_DT!M$15)*Scenario_DT!M$16</f>
        <v>2610.6838829544536</v>
      </c>
      <c r="W183" s="28">
        <f>((Scenario_DT!N$11*(IF(Scenario_DT!N$18=1,1,1+$M183/Scenario_DT!$C$19)*(1+$N183)^MAX(0,Scenario_DT!N$18-3))*(Scenario_DT!N$12+$O183)-Scenario_DT!N$13)*(1-Scenario_DT!N$14)+Scenario_DT!N$13-Scenario_DT!N$15)*Scenario_DT!N$16</f>
        <v>2723.8564577279708</v>
      </c>
      <c r="X183" s="28">
        <f>((Scenario_DT!O$11*(IF(Scenario_DT!O$18=1,1,1+$M183/Scenario_DT!$C$19)*(1+$N183)^MAX(0,Scenario_DT!O$18-3))*(Scenario_DT!O$12+$O183)-Scenario_DT!O$13)*(1-Scenario_DT!O$14)+Scenario_DT!O$13-Scenario_DT!O$15)*Scenario_DT!O$16</f>
        <v>2841.9197294298524</v>
      </c>
      <c r="Y183" s="28">
        <f>((Scenario_DT!P$11*(IF(Scenario_DT!P$18=1,1,1+$M183/Scenario_DT!$C$19)*(1+$N183)^MAX(0,Scenario_DT!P$18-3))*(Scenario_DT!P$12+$O183)-Scenario_DT!P$13)*(1-Scenario_DT!P$14)+Scenario_DT!P$13-Scenario_DT!P$15)*Scenario_DT!P$16</f>
        <v>2965.0867933865106</v>
      </c>
      <c r="Z183" s="28">
        <f>((Scenario_DT!Q$11*(IF(Scenario_DT!Q$18=1,1,1+$M183/Scenario_DT!$C$19)*(1+$N183)^MAX(0,Scenario_DT!Q$18-3))*(Scenario_DT!Q$12+$O183)-Scenario_DT!Q$13)*(1-Scenario_DT!Q$14)+Scenario_DT!Q$13-Scenario_DT!Q$15)*Scenario_DT!Q$16</f>
        <v>3093.580048152844</v>
      </c>
      <c r="AA183" s="28">
        <f>((Scenario_DT!R$11*(IF(Scenario_DT!R$18=1,1,1+$M183/Scenario_DT!$C$19)*(1+$N183)^MAX(0,Scenario_DT!R$18-3))*(Scenario_DT!R$12+$O183)-Scenario_DT!R$13)*(1-Scenario_DT!R$14)+Scenario_DT!R$13-Scenario_DT!R$15)*Scenario_DT!R$16</f>
        <v>3227.6316018877405</v>
      </c>
      <c r="AB183" s="17">
        <f>(Scenario_DT!$R$11*(1+$M183/Scenario_DT!$C$19)*(1+$N183)^7*(Scenario_DT!$R$12+$O183)*(1+MIN(DCF_FCFF!$C$26+$Q183,(DCF_FCFF!$C$25+$P183)-0.02))*(1-DCF_FCFF!$C$27)*(1-DCF_FCFF!$C$28)/((DCF_FCFF!$C$25+$P183)-MIN(DCF_FCFF!$C$26+$Q183,(DCF_FCFF!$C$25+$P183)-0.02)))*(1+(DCF_FCFF!$C$25+$P183))^(-(Inputs!$C$9+9))</f>
        <v>36643.574676187563</v>
      </c>
      <c r="AC183" s="17">
        <f>SUMPRODUCT(R183:AA183*(1+(DCF_FCFF!$C$25+$P183))^(-Scenario_DT!$I$17:$R$17))+AB183</f>
        <v>53658.956236690807</v>
      </c>
      <c r="AD183" s="68">
        <f>((AC183-DCF_FCFF!$C$48)*(1-DCF_FCFF!$C$50)+DCF_FCFF!$C$57+DCF_FCFF!$C$58)/DCF_FCFF!$C$60</f>
        <v>418.61546960712292</v>
      </c>
      <c r="AE183" s="6"/>
      <c r="AF183" s="6"/>
      <c r="AG183" s="6"/>
    </row>
    <row r="184" spans="1:33" x14ac:dyDescent="0.3">
      <c r="A184" s="6"/>
      <c r="B184" s="72">
        <v>153</v>
      </c>
      <c r="C184" s="73">
        <v>0.71155804159677805</v>
      </c>
      <c r="D184" s="73">
        <v>0.15045401155747401</v>
      </c>
      <c r="E184" s="73">
        <v>4.7374020005481902E-2</v>
      </c>
      <c r="F184" s="73">
        <v>0.138205371638531</v>
      </c>
      <c r="G184" s="73">
        <v>0.91882319353068298</v>
      </c>
      <c r="H184" s="15">
        <f t="shared" si="21"/>
        <v>0.55794210773601038</v>
      </c>
      <c r="I184" s="15">
        <f t="shared" si="22"/>
        <v>-1.0344881299882691</v>
      </c>
      <c r="J184" s="15">
        <f t="shared" si="23"/>
        <v>-1.6708665493800487</v>
      </c>
      <c r="K184" s="15">
        <f t="shared" si="24"/>
        <v>-1.088417716958052</v>
      </c>
      <c r="L184" s="15">
        <f t="shared" si="25"/>
        <v>1.3971994138835742</v>
      </c>
      <c r="M184" s="18">
        <f t="shared" si="26"/>
        <v>1.1158842154720208E-2</v>
      </c>
      <c r="N184" s="18">
        <f t="shared" si="27"/>
        <v>-4.9353755729223559E-3</v>
      </c>
      <c r="O184" s="18">
        <f t="shared" si="28"/>
        <v>-2.0050398592560584E-2</v>
      </c>
      <c r="P184" s="18">
        <f t="shared" si="29"/>
        <v>-6.5305063017483123E-3</v>
      </c>
      <c r="Q184" s="18">
        <f t="shared" si="30"/>
        <v>5.5887976555342965E-3</v>
      </c>
      <c r="R184" s="28">
        <f>((Scenario_DT!I$11*(IF(Scenario_DT!I$18=1,1,1+$M184/Scenario_DT!$C$19)*(1+$N184)^MAX(0,Scenario_DT!I$18-3))*(Scenario_DT!I$12+$O184)-Scenario_DT!I$13)*(1-Scenario_DT!I$14)+Scenario_DT!I$13-Scenario_DT!I$15)*Scenario_DT!I$16</f>
        <v>882.71563327138426</v>
      </c>
      <c r="S184" s="28">
        <f>((Scenario_DT!J$11*(IF(Scenario_DT!J$18=1,1,1+$M184/Scenario_DT!$C$19)*(1+$N184)^MAX(0,Scenario_DT!J$18-3))*(Scenario_DT!J$12+$O184)-Scenario_DT!J$13)*(1-Scenario_DT!J$14)+Scenario_DT!J$13-Scenario_DT!J$15)*Scenario_DT!J$16</f>
        <v>1795.5980036539754</v>
      </c>
      <c r="T184" s="28">
        <f>((Scenario_DT!K$11*(IF(Scenario_DT!K$18=1,1,1+$M184/Scenario_DT!$C$19)*(1+$N184)^MAX(0,Scenario_DT!K$18-3))*(Scenario_DT!K$12+$O184)-Scenario_DT!K$13)*(1-Scenario_DT!K$14)+Scenario_DT!K$13-Scenario_DT!K$15)*Scenario_DT!K$16</f>
        <v>2059.2430257643709</v>
      </c>
      <c r="U184" s="28">
        <f>((Scenario_DT!L$11*(IF(Scenario_DT!L$18=1,1,1+$M184/Scenario_DT!$C$19)*(1+$N184)^MAX(0,Scenario_DT!L$18-3))*(Scenario_DT!L$12+$O184)-Scenario_DT!L$13)*(1-Scenario_DT!L$14)+Scenario_DT!L$13-Scenario_DT!L$15)*Scenario_DT!L$16</f>
        <v>2445.7567047309863</v>
      </c>
      <c r="V184" s="28">
        <f>((Scenario_DT!M$11*(IF(Scenario_DT!M$18=1,1,1+$M184/Scenario_DT!$C$19)*(1+$N184)^MAX(0,Scenario_DT!M$18-3))*(Scenario_DT!M$12+$O184)-Scenario_DT!M$13)*(1-Scenario_DT!M$14)+Scenario_DT!M$13-Scenario_DT!M$15)*Scenario_DT!M$16</f>
        <v>2554.5613978240413</v>
      </c>
      <c r="W184" s="28">
        <f>((Scenario_DT!N$11*(IF(Scenario_DT!N$18=1,1,1+$M184/Scenario_DT!$C$19)*(1+$N184)^MAX(0,Scenario_DT!N$18-3))*(Scenario_DT!N$12+$O184)-Scenario_DT!N$13)*(1-Scenario_DT!N$14)+Scenario_DT!N$13-Scenario_DT!N$15)*Scenario_DT!N$16</f>
        <v>2668.191316911636</v>
      </c>
      <c r="X184" s="28">
        <f>((Scenario_DT!O$11*(IF(Scenario_DT!O$18=1,1,1+$M184/Scenario_DT!$C$19)*(1+$N184)^MAX(0,Scenario_DT!O$18-3))*(Scenario_DT!O$12+$O184)-Scenario_DT!O$13)*(1-Scenario_DT!O$14)+Scenario_DT!O$13-Scenario_DT!O$15)*Scenario_DT!O$16</f>
        <v>2786.8622961643523</v>
      </c>
      <c r="Y184" s="28">
        <f>((Scenario_DT!P$11*(IF(Scenario_DT!P$18=1,1,1+$M184/Scenario_DT!$C$19)*(1+$N184)^MAX(0,Scenario_DT!P$18-3))*(Scenario_DT!P$12+$O184)-Scenario_DT!P$13)*(1-Scenario_DT!P$14)+Scenario_DT!P$13-Scenario_DT!P$15)*Scenario_DT!P$16</f>
        <v>2910.7998433503403</v>
      </c>
      <c r="Z184" s="28">
        <f>((Scenario_DT!Q$11*(IF(Scenario_DT!Q$18=1,1,1+$M184/Scenario_DT!$C$19)*(1+$N184)^MAX(0,Scenario_DT!Q$18-3))*(Scenario_DT!Q$12+$O184)-Scenario_DT!Q$13)*(1-Scenario_DT!Q$14)+Scenario_DT!Q$13-Scenario_DT!Q$15)*Scenario_DT!Q$16</f>
        <v>3040.2395736238832</v>
      </c>
      <c r="AA184" s="28">
        <f>((Scenario_DT!R$11*(IF(Scenario_DT!R$18=1,1,1+$M184/Scenario_DT!$C$19)*(1+$N184)^MAX(0,Scenario_DT!R$18-3))*(Scenario_DT!R$12+$O184)-Scenario_DT!R$13)*(1-Scenario_DT!R$14)+Scenario_DT!R$13-Scenario_DT!R$15)*Scenario_DT!R$16</f>
        <v>3175.427662769775</v>
      </c>
      <c r="AB184" s="17">
        <f>(Scenario_DT!$R$11*(1+$M184/Scenario_DT!$C$19)*(1+$N184)^7*(Scenario_DT!$R$12+$O184)*(1+MIN(DCF_FCFF!$C$26+$Q184,(DCF_FCFF!$C$25+$P184)-0.02))*(1-DCF_FCFF!$C$27)*(1-DCF_FCFF!$C$28)/((DCF_FCFF!$C$25+$P184)-MIN(DCF_FCFF!$C$26+$Q184,(DCF_FCFF!$C$25+$P184)-0.02)))*(1+(DCF_FCFF!$C$25+$P184))^(-(Inputs!$C$9+9))</f>
        <v>37546.939952947992</v>
      </c>
      <c r="AC184" s="17">
        <f>SUMPRODUCT(R184:AA184*(1+(DCF_FCFF!$C$25+$P184))^(-Scenario_DT!$I$17:$R$17))+AB184</f>
        <v>53923.970976203957</v>
      </c>
      <c r="AD184" s="68">
        <f>((AC184-DCF_FCFF!$C$48)*(1-DCF_FCFF!$C$50)+DCF_FCFF!$C$57+DCF_FCFF!$C$58)/DCF_FCFF!$C$60</f>
        <v>421.15928473361964</v>
      </c>
      <c r="AE184" s="6"/>
      <c r="AF184" s="6"/>
      <c r="AG184" s="6"/>
    </row>
    <row r="185" spans="1:33" x14ac:dyDescent="0.3">
      <c r="A185" s="6"/>
      <c r="B185" s="72">
        <v>154</v>
      </c>
      <c r="C185" s="73">
        <v>9.2597818211234105E-3</v>
      </c>
      <c r="D185" s="73">
        <v>0.18832197481135199</v>
      </c>
      <c r="E185" s="73">
        <v>3.1283512901644599E-2</v>
      </c>
      <c r="F185" s="73">
        <v>0.110629467562203</v>
      </c>
      <c r="G185" s="73">
        <v>0.62014928662829605</v>
      </c>
      <c r="H185" s="15">
        <f t="shared" si="21"/>
        <v>-2.3550630390857372</v>
      </c>
      <c r="I185" s="15">
        <f t="shared" si="22"/>
        <v>-0.88409682012683377</v>
      </c>
      <c r="J185" s="15">
        <f t="shared" si="23"/>
        <v>-1.8622559184010699</v>
      </c>
      <c r="K185" s="15">
        <f t="shared" si="24"/>
        <v>-1.2231873691718422</v>
      </c>
      <c r="L185" s="15">
        <f t="shared" si="25"/>
        <v>0.30587289160196646</v>
      </c>
      <c r="M185" s="18">
        <f t="shared" si="26"/>
        <v>-4.7101260781714747E-2</v>
      </c>
      <c r="N185" s="18">
        <f t="shared" si="27"/>
        <v>-1.5545454601421984E-2</v>
      </c>
      <c r="O185" s="18">
        <f t="shared" si="28"/>
        <v>-2.2347071020812837E-2</v>
      </c>
      <c r="P185" s="18">
        <f t="shared" si="29"/>
        <v>-7.3391242150310535E-3</v>
      </c>
      <c r="Q185" s="18">
        <f t="shared" si="30"/>
        <v>1.2234915664078659E-3</v>
      </c>
      <c r="R185" s="28">
        <f>((Scenario_DT!I$11*(IF(Scenario_DT!I$18=1,1,1+$M185/Scenario_DT!$C$19)*(1+$N185)^MAX(0,Scenario_DT!I$18-3))*(Scenario_DT!I$12+$O185)-Scenario_DT!I$13)*(1-Scenario_DT!I$14)+Scenario_DT!I$13-Scenario_DT!I$15)*Scenario_DT!I$16</f>
        <v>879.47757230726745</v>
      </c>
      <c r="S185" s="28">
        <f>((Scenario_DT!J$11*(IF(Scenario_DT!J$18=1,1,1+$M185/Scenario_DT!$C$19)*(1+$N185)^MAX(0,Scenario_DT!J$18-3))*(Scenario_DT!J$12+$O185)-Scenario_DT!J$13)*(1-Scenario_DT!J$14)+Scenario_DT!J$13-Scenario_DT!J$15)*Scenario_DT!J$16</f>
        <v>1653.0706501346444</v>
      </c>
      <c r="T185" s="28">
        <f>((Scenario_DT!K$11*(IF(Scenario_DT!K$18=1,1,1+$M185/Scenario_DT!$C$19)*(1+$N185)^MAX(0,Scenario_DT!K$18-3))*(Scenario_DT!K$12+$O185)-Scenario_DT!K$13)*(1-Scenario_DT!K$14)+Scenario_DT!K$13-Scenario_DT!K$15)*Scenario_DT!K$16</f>
        <v>1909.5570390179878</v>
      </c>
      <c r="U185" s="28">
        <f>((Scenario_DT!L$11*(IF(Scenario_DT!L$18=1,1,1+$M185/Scenario_DT!$C$19)*(1+$N185)^MAX(0,Scenario_DT!L$18-3))*(Scenario_DT!L$12+$O185)-Scenario_DT!L$13)*(1-Scenario_DT!L$14)+Scenario_DT!L$13-Scenario_DT!L$15)*Scenario_DT!L$16</f>
        <v>2263.0359403302009</v>
      </c>
      <c r="V185" s="28">
        <f>((Scenario_DT!M$11*(IF(Scenario_DT!M$18=1,1,1+$M185/Scenario_DT!$C$19)*(1+$N185)^MAX(0,Scenario_DT!M$18-3))*(Scenario_DT!M$12+$O185)-Scenario_DT!M$13)*(1-Scenario_DT!M$14)+Scenario_DT!M$13-Scenario_DT!M$15)*Scenario_DT!M$16</f>
        <v>2338.2519449063816</v>
      </c>
      <c r="W185" s="28">
        <f>((Scenario_DT!N$11*(IF(Scenario_DT!N$18=1,1,1+$M185/Scenario_DT!$C$19)*(1+$N185)^MAX(0,Scenario_DT!N$18-3))*(Scenario_DT!N$12+$O185)-Scenario_DT!N$13)*(1-Scenario_DT!N$14)+Scenario_DT!N$13-Scenario_DT!N$15)*Scenario_DT!N$16</f>
        <v>2415.9324153951852</v>
      </c>
      <c r="X185" s="28">
        <f>((Scenario_DT!O$11*(IF(Scenario_DT!O$18=1,1,1+$M185/Scenario_DT!$C$19)*(1+$N185)^MAX(0,Scenario_DT!O$18-3))*(Scenario_DT!O$12+$O185)-Scenario_DT!O$13)*(1-Scenario_DT!O$14)+Scenario_DT!O$13-Scenario_DT!O$15)*Scenario_DT!O$16</f>
        <v>2496.1585746584051</v>
      </c>
      <c r="Y185" s="28">
        <f>((Scenario_DT!P$11*(IF(Scenario_DT!P$18=1,1,1+$M185/Scenario_DT!$C$19)*(1+$N185)^MAX(0,Scenario_DT!P$18-3))*(Scenario_DT!P$12+$O185)-Scenario_DT!P$13)*(1-Scenario_DT!P$14)+Scenario_DT!P$13-Scenario_DT!P$15)*Scenario_DT!P$16</f>
        <v>2579.0143160204921</v>
      </c>
      <c r="Z185" s="28">
        <f>((Scenario_DT!Q$11*(IF(Scenario_DT!Q$18=1,1,1+$M185/Scenario_DT!$C$19)*(1+$N185)^MAX(0,Scenario_DT!Q$18-3))*(Scenario_DT!Q$12+$O185)-Scenario_DT!Q$13)*(1-Scenario_DT!Q$14)+Scenario_DT!Q$13-Scenario_DT!Q$15)*Scenario_DT!Q$16</f>
        <v>2664.5862905198019</v>
      </c>
      <c r="AA185" s="28">
        <f>((Scenario_DT!R$11*(IF(Scenario_DT!R$18=1,1,1+$M185/Scenario_DT!$C$19)*(1+$N185)^MAX(0,Scenario_DT!R$18-3))*(Scenario_DT!R$12+$O185)-Scenario_DT!R$13)*(1-Scenario_DT!R$14)+Scenario_DT!R$13-Scenario_DT!R$15)*Scenario_DT!R$16</f>
        <v>2752.9639969843015</v>
      </c>
      <c r="AB185" s="17">
        <f>(Scenario_DT!$R$11*(1+$M185/Scenario_DT!$C$19)*(1+$N185)^7*(Scenario_DT!$R$12+$O185)*(1+MIN(DCF_FCFF!$C$26+$Q185,(DCF_FCFF!$C$25+$P185)-0.02))*(1-DCF_FCFF!$C$27)*(1-DCF_FCFF!$C$28)/((DCF_FCFF!$C$25+$P185)-MIN(DCF_FCFF!$C$26+$Q185,(DCF_FCFF!$C$25+$P185)-0.02)))*(1+(DCF_FCFF!$C$25+$P185))^(-(Inputs!$C$9+9))</f>
        <v>29910.594682904266</v>
      </c>
      <c r="AC185" s="17">
        <f>SUMPRODUCT(R185:AA185*(1+(DCF_FCFF!$C$25+$P185))^(-Scenario_DT!$I$17:$R$17))+AB185</f>
        <v>44833.764705524583</v>
      </c>
      <c r="AD185" s="68">
        <f>((AC185-DCF_FCFF!$C$48)*(1-DCF_FCFF!$C$50)+DCF_FCFF!$C$57+DCF_FCFF!$C$58)/DCF_FCFF!$C$60</f>
        <v>333.90449937032304</v>
      </c>
      <c r="AE185" s="6"/>
      <c r="AF185" s="6"/>
      <c r="AG185" s="6"/>
    </row>
    <row r="186" spans="1:33" x14ac:dyDescent="0.3">
      <c r="A186" s="6"/>
      <c r="B186" s="72">
        <v>155</v>
      </c>
      <c r="C186" s="73">
        <v>0.241638908739086</v>
      </c>
      <c r="D186" s="73">
        <v>0.56921205043067702</v>
      </c>
      <c r="E186" s="73">
        <v>0.59019538276612604</v>
      </c>
      <c r="F186" s="73">
        <v>0.84943533308977903</v>
      </c>
      <c r="G186" s="73">
        <v>4.7413929118739198E-3</v>
      </c>
      <c r="H186" s="15">
        <f t="shared" si="21"/>
        <v>-0.70104037698711219</v>
      </c>
      <c r="I186" s="15">
        <f t="shared" si="22"/>
        <v>0.17436846091416899</v>
      </c>
      <c r="J186" s="15">
        <f t="shared" si="23"/>
        <v>0.22804760178713901</v>
      </c>
      <c r="K186" s="15">
        <f t="shared" si="24"/>
        <v>1.0340146086763959</v>
      </c>
      <c r="L186" s="15">
        <f t="shared" si="25"/>
        <v>-2.5941400221809849</v>
      </c>
      <c r="M186" s="18">
        <f t="shared" si="26"/>
        <v>-1.4020807539742244E-2</v>
      </c>
      <c r="N186" s="18">
        <f t="shared" si="27"/>
        <v>-1.5961013737847342E-3</v>
      </c>
      <c r="O186" s="18">
        <f t="shared" si="28"/>
        <v>2.7365712214456684E-3</v>
      </c>
      <c r="P186" s="18">
        <f t="shared" si="29"/>
        <v>6.2040876520583757E-3</v>
      </c>
      <c r="Q186" s="18">
        <f t="shared" si="30"/>
        <v>-1.037656008872394E-2</v>
      </c>
      <c r="R186" s="28">
        <f>((Scenario_DT!I$11*(IF(Scenario_DT!I$18=1,1,1+$M186/Scenario_DT!$C$19)*(1+$N186)^MAX(0,Scenario_DT!I$18-3))*(Scenario_DT!I$12+$O186)-Scenario_DT!I$13)*(1-Scenario_DT!I$14)+Scenario_DT!I$13-Scenario_DT!I$15)*Scenario_DT!I$16</f>
        <v>914.84280845648266</v>
      </c>
      <c r="S186" s="28">
        <f>((Scenario_DT!J$11*(IF(Scenario_DT!J$18=1,1,1+$M186/Scenario_DT!$C$19)*(1+$N186)^MAX(0,Scenario_DT!J$18-3))*(Scenario_DT!J$12+$O186)-Scenario_DT!J$13)*(1-Scenario_DT!J$14)+Scenario_DT!J$13-Scenario_DT!J$15)*Scenario_DT!J$16</f>
        <v>1806.6890506456007</v>
      </c>
      <c r="T186" s="28">
        <f>((Scenario_DT!K$11*(IF(Scenario_DT!K$18=1,1,1+$M186/Scenario_DT!$C$19)*(1+$N186)^MAX(0,Scenario_DT!K$18-3))*(Scenario_DT!K$12+$O186)-Scenario_DT!K$13)*(1-Scenario_DT!K$14)+Scenario_DT!K$13-Scenario_DT!K$15)*Scenario_DT!K$16</f>
        <v>2069.8808277758862</v>
      </c>
      <c r="U186" s="28">
        <f>((Scenario_DT!L$11*(IF(Scenario_DT!L$18=1,1,1+$M186/Scenario_DT!$C$19)*(1+$N186)^MAX(0,Scenario_DT!L$18-3))*(Scenario_DT!L$12+$O186)-Scenario_DT!L$13)*(1-Scenario_DT!L$14)+Scenario_DT!L$13-Scenario_DT!L$15)*Scenario_DT!L$16</f>
        <v>2465.2978395890013</v>
      </c>
      <c r="V186" s="28">
        <f>((Scenario_DT!M$11*(IF(Scenario_DT!M$18=1,1,1+$M186/Scenario_DT!$C$19)*(1+$N186)^MAX(0,Scenario_DT!M$18-3))*(Scenario_DT!M$12+$O186)-Scenario_DT!M$13)*(1-Scenario_DT!M$14)+Scenario_DT!M$13-Scenario_DT!M$15)*Scenario_DT!M$16</f>
        <v>2583.6814125275555</v>
      </c>
      <c r="W186" s="28">
        <f>((Scenario_DT!N$11*(IF(Scenario_DT!N$18=1,1,1+$M186/Scenario_DT!$C$19)*(1+$N186)^MAX(0,Scenario_DT!N$18-3))*(Scenario_DT!N$12+$O186)-Scenario_DT!N$13)*(1-Scenario_DT!N$14)+Scenario_DT!N$13-Scenario_DT!N$15)*Scenario_DT!N$16</f>
        <v>2707.7400851576595</v>
      </c>
      <c r="X186" s="28">
        <f>((Scenario_DT!O$11*(IF(Scenario_DT!O$18=1,1,1+$M186/Scenario_DT!$C$19)*(1+$N186)^MAX(0,Scenario_DT!O$18-3))*(Scenario_DT!O$12+$O186)-Scenario_DT!O$13)*(1-Scenario_DT!O$14)+Scenario_DT!O$13-Scenario_DT!O$15)*Scenario_DT!O$16</f>
        <v>2837.7481047746755</v>
      </c>
      <c r="Y186" s="28">
        <f>((Scenario_DT!P$11*(IF(Scenario_DT!P$18=1,1,1+$M186/Scenario_DT!$C$19)*(1+$N186)^MAX(0,Scenario_DT!P$18-3))*(Scenario_DT!P$12+$O186)-Scenario_DT!P$13)*(1-Scenario_DT!P$14)+Scenario_DT!P$13-Scenario_DT!P$15)*Scenario_DT!P$16</f>
        <v>2973.9929923424684</v>
      </c>
      <c r="Z186" s="28">
        <f>((Scenario_DT!Q$11*(IF(Scenario_DT!Q$18=1,1,1+$M186/Scenario_DT!$C$19)*(1+$N186)^MAX(0,Scenario_DT!Q$18-3))*(Scenario_DT!Q$12+$O186)-Scenario_DT!Q$13)*(1-Scenario_DT!Q$14)+Scenario_DT!Q$13-Scenario_DT!Q$15)*Scenario_DT!Q$16</f>
        <v>3116.776185089484</v>
      </c>
      <c r="AA186" s="28">
        <f>((Scenario_DT!R$11*(IF(Scenario_DT!R$18=1,1,1+$M186/Scenario_DT!$C$19)*(1+$N186)^MAX(0,Scenario_DT!R$18-3))*(Scenario_DT!R$12+$O186)-Scenario_DT!R$13)*(1-Scenario_DT!R$14)+Scenario_DT!R$13-Scenario_DT!R$15)*Scenario_DT!R$16</f>
        <v>3266.4137102124132</v>
      </c>
      <c r="AB186" s="17">
        <f>(Scenario_DT!$R$11*(1+$M186/Scenario_DT!$C$19)*(1+$N186)^7*(Scenario_DT!$R$12+$O186)*(1+MIN(DCF_FCFF!$C$26+$Q186,(DCF_FCFF!$C$25+$P186)-0.02))*(1-DCF_FCFF!$C$27)*(1-DCF_FCFF!$C$28)/((DCF_FCFF!$C$25+$P186)-MIN(DCF_FCFF!$C$26+$Q186,(DCF_FCFF!$C$25+$P186)-0.02)))*(1+(DCF_FCFF!$C$25+$P186))^(-(Inputs!$C$9+9))</f>
        <v>19454.782465716129</v>
      </c>
      <c r="AC186" s="17">
        <f>SUMPRODUCT(R186:AA186*(1+(DCF_FCFF!$C$25+$P186))^(-Scenario_DT!$I$17:$R$17))+AB186</f>
        <v>35228.07495272017</v>
      </c>
      <c r="AD186" s="68">
        <f>((AC186-DCF_FCFF!$C$48)*(1-DCF_FCFF!$C$50)+DCF_FCFF!$C$57+DCF_FCFF!$C$58)/DCF_FCFF!$C$60</f>
        <v>241.70170741049583</v>
      </c>
      <c r="AE186" s="6"/>
      <c r="AF186" s="6"/>
      <c r="AG186" s="6"/>
    </row>
    <row r="187" spans="1:33" x14ac:dyDescent="0.3">
      <c r="A187" s="6"/>
      <c r="B187" s="72">
        <v>156</v>
      </c>
      <c r="C187" s="73">
        <v>0.85336945934236696</v>
      </c>
      <c r="D187" s="73">
        <v>0.619119086426974</v>
      </c>
      <c r="E187" s="73">
        <v>0.16274348610495801</v>
      </c>
      <c r="F187" s="73">
        <v>0.77293738813528401</v>
      </c>
      <c r="G187" s="73">
        <v>0.85549154179058595</v>
      </c>
      <c r="H187" s="15">
        <f t="shared" si="21"/>
        <v>1.0509945752896623</v>
      </c>
      <c r="I187" s="15">
        <f t="shared" si="22"/>
        <v>0.30316800952803113</v>
      </c>
      <c r="J187" s="15">
        <f t="shared" si="23"/>
        <v>-0.98324479654545305</v>
      </c>
      <c r="K187" s="15">
        <f t="shared" si="24"/>
        <v>0.74855539748976074</v>
      </c>
      <c r="L187" s="15">
        <f t="shared" si="25"/>
        <v>1.0602807010012991</v>
      </c>
      <c r="M187" s="18">
        <f t="shared" si="26"/>
        <v>2.1019891505793246E-2</v>
      </c>
      <c r="N187" s="18">
        <f t="shared" si="27"/>
        <v>6.3043878840869519E-3</v>
      </c>
      <c r="O187" s="18">
        <f t="shared" si="28"/>
        <v>-1.1798937558545436E-2</v>
      </c>
      <c r="P187" s="18">
        <f t="shared" si="29"/>
        <v>4.4913323849385643E-3</v>
      </c>
      <c r="Q187" s="18">
        <f t="shared" si="30"/>
        <v>4.2411228040051966E-3</v>
      </c>
      <c r="R187" s="28">
        <f>((Scenario_DT!I$11*(IF(Scenario_DT!I$18=1,1,1+$M187/Scenario_DT!$C$19)*(1+$N187)^MAX(0,Scenario_DT!I$18-3))*(Scenario_DT!I$12+$O187)-Scenario_DT!I$13)*(1-Scenario_DT!I$14)+Scenario_DT!I$13-Scenario_DT!I$15)*Scenario_DT!I$16</f>
        <v>894.34930533645513</v>
      </c>
      <c r="S187" s="28">
        <f>((Scenario_DT!J$11*(IF(Scenario_DT!J$18=1,1,1+$M187/Scenario_DT!$C$19)*(1+$N187)^MAX(0,Scenario_DT!J$18-3))*(Scenario_DT!J$12+$O187)-Scenario_DT!J$13)*(1-Scenario_DT!J$14)+Scenario_DT!J$13-Scenario_DT!J$15)*Scenario_DT!J$16</f>
        <v>1844.790708749666</v>
      </c>
      <c r="T187" s="28">
        <f>((Scenario_DT!K$11*(IF(Scenario_DT!K$18=1,1,1+$M187/Scenario_DT!$C$19)*(1+$N187)^MAX(0,Scenario_DT!K$18-3))*(Scenario_DT!K$12+$O187)-Scenario_DT!K$13)*(1-Scenario_DT!K$14)+Scenario_DT!K$13-Scenario_DT!K$15)*Scenario_DT!K$16</f>
        <v>2110.5580788762704</v>
      </c>
      <c r="U187" s="28">
        <f>((Scenario_DT!L$11*(IF(Scenario_DT!L$18=1,1,1+$M187/Scenario_DT!$C$19)*(1+$N187)^MAX(0,Scenario_DT!L$18-3))*(Scenario_DT!L$12+$O187)-Scenario_DT!L$13)*(1-Scenario_DT!L$14)+Scenario_DT!L$13-Scenario_DT!L$15)*Scenario_DT!L$16</f>
        <v>2528.4020270124433</v>
      </c>
      <c r="V187" s="28">
        <f>((Scenario_DT!M$11*(IF(Scenario_DT!M$18=1,1,1+$M187/Scenario_DT!$C$19)*(1+$N187)^MAX(0,Scenario_DT!M$18-3))*(Scenario_DT!M$12+$O187)-Scenario_DT!M$13)*(1-Scenario_DT!M$14)+Scenario_DT!M$13-Scenario_DT!M$15)*Scenario_DT!M$16</f>
        <v>2670.9494321081793</v>
      </c>
      <c r="W187" s="28">
        <f>((Scenario_DT!N$11*(IF(Scenario_DT!N$18=1,1,1+$M187/Scenario_DT!$C$19)*(1+$N187)^MAX(0,Scenario_DT!N$18-3))*(Scenario_DT!N$12+$O187)-Scenario_DT!N$13)*(1-Scenario_DT!N$14)+Scenario_DT!N$13-Scenario_DT!N$15)*Scenario_DT!N$16</f>
        <v>2821.5351200565665</v>
      </c>
      <c r="X187" s="28">
        <f>((Scenario_DT!O$11*(IF(Scenario_DT!O$18=1,1,1+$M187/Scenario_DT!$C$19)*(1+$N187)^MAX(0,Scenario_DT!O$18-3))*(Scenario_DT!O$12+$O187)-Scenario_DT!O$13)*(1-Scenario_DT!O$14)+Scenario_DT!O$13-Scenario_DT!O$15)*Scenario_DT!O$16</f>
        <v>2980.615224891139</v>
      </c>
      <c r="Y187" s="28">
        <f>((Scenario_DT!P$11*(IF(Scenario_DT!P$18=1,1,1+$M187/Scenario_DT!$C$19)*(1+$N187)^MAX(0,Scenario_DT!P$18-3))*(Scenario_DT!P$12+$O187)-Scenario_DT!P$13)*(1-Scenario_DT!P$14)+Scenario_DT!P$13-Scenario_DT!P$15)*Scenario_DT!P$16</f>
        <v>3148.6717762967214</v>
      </c>
      <c r="Z187" s="28">
        <f>((Scenario_DT!Q$11*(IF(Scenario_DT!Q$18=1,1,1+$M187/Scenario_DT!$C$19)*(1+$N187)^MAX(0,Scenario_DT!Q$18-3))*(Scenario_DT!Q$12+$O187)-Scenario_DT!Q$13)*(1-Scenario_DT!Q$14)+Scenario_DT!Q$13-Scenario_DT!Q$15)*Scenario_DT!Q$16</f>
        <v>3326.2141691443876</v>
      </c>
      <c r="AA187" s="28">
        <f>((Scenario_DT!R$11*(IF(Scenario_DT!R$18=1,1,1+$M187/Scenario_DT!$C$19)*(1+$N187)^MAX(0,Scenario_DT!R$18-3))*(Scenario_DT!R$12+$O187)-Scenario_DT!R$13)*(1-Scenario_DT!R$14)+Scenario_DT!R$13-Scenario_DT!R$15)*Scenario_DT!R$16</f>
        <v>3513.7807163811403</v>
      </c>
      <c r="AB187" s="17">
        <f>(Scenario_DT!$R$11*(1+$M187/Scenario_DT!$C$19)*(1+$N187)^7*(Scenario_DT!$R$12+$O187)*(1+MIN(DCF_FCFF!$C$26+$Q187,(DCF_FCFF!$C$25+$P187)-0.02))*(1-DCF_FCFF!$C$27)*(1-DCF_FCFF!$C$28)/((DCF_FCFF!$C$25+$P187)-MIN(DCF_FCFF!$C$26+$Q187,(DCF_FCFF!$C$25+$P187)-0.02)))*(1+(DCF_FCFF!$C$25+$P187))^(-(Inputs!$C$9+9))</f>
        <v>28470.375884019944</v>
      </c>
      <c r="AC187" s="17">
        <f>SUMPRODUCT(R187:AA187*(1+(DCF_FCFF!$C$25+$P187))^(-Scenario_DT!$I$17:$R$17))+AB187</f>
        <v>44974.259095028268</v>
      </c>
      <c r="AD187" s="68">
        <f>((AC187-DCF_FCFF!$C$48)*(1-DCF_FCFF!$C$50)+DCF_FCFF!$C$57+DCF_FCFF!$C$58)/DCF_FCFF!$C$60</f>
        <v>335.25307248691252</v>
      </c>
      <c r="AE187" s="6"/>
      <c r="AF187" s="6"/>
      <c r="AG187" s="6"/>
    </row>
    <row r="188" spans="1:33" x14ac:dyDescent="0.3">
      <c r="A188" s="6"/>
      <c r="B188" s="72">
        <v>157</v>
      </c>
      <c r="C188" s="73">
        <v>0.25426348375415703</v>
      </c>
      <c r="D188" s="73">
        <v>0.91879368090268099</v>
      </c>
      <c r="E188" s="73">
        <v>0.45445743029865798</v>
      </c>
      <c r="F188" s="73">
        <v>0.60342445433332204</v>
      </c>
      <c r="G188" s="73">
        <v>0.98464953361764396</v>
      </c>
      <c r="H188" s="15">
        <f t="shared" si="21"/>
        <v>-0.66113308793749237</v>
      </c>
      <c r="I188" s="15">
        <f t="shared" si="22"/>
        <v>1.3970031023736325</v>
      </c>
      <c r="J188" s="15">
        <f t="shared" si="23"/>
        <v>-0.11440738431365652</v>
      </c>
      <c r="K188" s="15">
        <f t="shared" si="24"/>
        <v>0.26222096459252808</v>
      </c>
      <c r="L188" s="15">
        <f t="shared" si="25"/>
        <v>2.1609275966950627</v>
      </c>
      <c r="M188" s="18">
        <f t="shared" si="26"/>
        <v>-1.3222661758749848E-2</v>
      </c>
      <c r="N188" s="18">
        <f t="shared" si="27"/>
        <v>7.0341890548199382E-3</v>
      </c>
      <c r="O188" s="18">
        <f t="shared" si="28"/>
        <v>-1.3728886117638783E-3</v>
      </c>
      <c r="P188" s="18">
        <f t="shared" si="29"/>
        <v>1.5733257875551686E-3</v>
      </c>
      <c r="Q188" s="18">
        <f t="shared" si="30"/>
        <v>8.6437103867802508E-3</v>
      </c>
      <c r="R188" s="28">
        <f>((Scenario_DT!I$11*(IF(Scenario_DT!I$18=1,1,1+$M188/Scenario_DT!$C$19)*(1+$N188)^MAX(0,Scenario_DT!I$18-3))*(Scenario_DT!I$12+$O188)-Scenario_DT!I$13)*(1-Scenario_DT!I$14)+Scenario_DT!I$13-Scenario_DT!I$15)*Scenario_DT!I$16</f>
        <v>909.0489123371093</v>
      </c>
      <c r="S188" s="28">
        <f>((Scenario_DT!J$11*(IF(Scenario_DT!J$18=1,1,1+$M188/Scenario_DT!$C$19)*(1+$N188)^MAX(0,Scenario_DT!J$18-3))*(Scenario_DT!J$12+$O188)-Scenario_DT!J$13)*(1-Scenario_DT!J$14)+Scenario_DT!J$13-Scenario_DT!J$15)*Scenario_DT!J$16</f>
        <v>1796.017268442276</v>
      </c>
      <c r="T188" s="28">
        <f>((Scenario_DT!K$11*(IF(Scenario_DT!K$18=1,1,1+$M188/Scenario_DT!$C$19)*(1+$N188)^MAX(0,Scenario_DT!K$18-3))*(Scenario_DT!K$12+$O188)-Scenario_DT!K$13)*(1-Scenario_DT!K$14)+Scenario_DT!K$13-Scenario_DT!K$15)*Scenario_DT!K$16</f>
        <v>2058.8485036956658</v>
      </c>
      <c r="U188" s="28">
        <f>((Scenario_DT!L$11*(IF(Scenario_DT!L$18=1,1,1+$M188/Scenario_DT!$C$19)*(1+$N188)^MAX(0,Scenario_DT!L$18-3))*(Scenario_DT!L$12+$O188)-Scenario_DT!L$13)*(1-Scenario_DT!L$14)+Scenario_DT!L$13-Scenario_DT!L$15)*Scenario_DT!L$16</f>
        <v>2474.9576913595547</v>
      </c>
      <c r="V188" s="28">
        <f>((Scenario_DT!M$11*(IF(Scenario_DT!M$18=1,1,1+$M188/Scenario_DT!$C$19)*(1+$N188)^MAX(0,Scenario_DT!M$18-3))*(Scenario_DT!M$12+$O188)-Scenario_DT!M$13)*(1-Scenario_DT!M$14)+Scenario_DT!M$13-Scenario_DT!M$15)*Scenario_DT!M$16</f>
        <v>2616.3885686031531</v>
      </c>
      <c r="W188" s="28">
        <f>((Scenario_DT!N$11*(IF(Scenario_DT!N$18=1,1,1+$M188/Scenario_DT!$C$19)*(1+$N188)^MAX(0,Scenario_DT!N$18-3))*(Scenario_DT!N$12+$O188)-Scenario_DT!N$13)*(1-Scenario_DT!N$14)+Scenario_DT!N$13-Scenario_DT!N$15)*Scenario_DT!N$16</f>
        <v>2765.9040879506047</v>
      </c>
      <c r="X188" s="28">
        <f>((Scenario_DT!O$11*(IF(Scenario_DT!O$18=1,1,1+$M188/Scenario_DT!$C$19)*(1+$N188)^MAX(0,Scenario_DT!O$18-3))*(Scenario_DT!O$12+$O188)-Scenario_DT!O$13)*(1-Scenario_DT!O$14)+Scenario_DT!O$13-Scenario_DT!O$15)*Scenario_DT!O$16</f>
        <v>2923.9692964308142</v>
      </c>
      <c r="Y188" s="28">
        <f>((Scenario_DT!P$11*(IF(Scenario_DT!P$18=1,1,1+$M188/Scenario_DT!$C$19)*(1+$N188)^MAX(0,Scenario_DT!P$18-3))*(Scenario_DT!P$12+$O188)-Scenario_DT!P$13)*(1-Scenario_DT!P$14)+Scenario_DT!P$13-Scenario_DT!P$15)*Scenario_DT!P$16</f>
        <v>3091.0760022255786</v>
      </c>
      <c r="Z188" s="28">
        <f>((Scenario_DT!Q$11*(IF(Scenario_DT!Q$18=1,1,1+$M188/Scenario_DT!$C$19)*(1+$N188)^MAX(0,Scenario_DT!Q$18-3))*(Scenario_DT!Q$12+$O188)-Scenario_DT!Q$13)*(1-Scenario_DT!Q$14)+Scenario_DT!Q$13-Scenario_DT!Q$15)*Scenario_DT!Q$16</f>
        <v>3267.7443139166694</v>
      </c>
      <c r="AA188" s="28">
        <f>((Scenario_DT!R$11*(IF(Scenario_DT!R$18=1,1,1+$M188/Scenario_DT!$C$19)*(1+$N188)^MAX(0,Scenario_DT!R$18-3))*(Scenario_DT!R$12+$O188)-Scenario_DT!R$13)*(1-Scenario_DT!R$14)+Scenario_DT!R$13-Scenario_DT!R$15)*Scenario_DT!R$16</f>
        <v>3454.5242682230651</v>
      </c>
      <c r="AB188" s="17">
        <f>(Scenario_DT!$R$11*(1+$M188/Scenario_DT!$C$19)*(1+$N188)^7*(Scenario_DT!$R$12+$O188)*(1+MIN(DCF_FCFF!$C$26+$Q188,(DCF_FCFF!$C$25+$P188)-0.02))*(1-DCF_FCFF!$C$27)*(1-DCF_FCFF!$C$28)/((DCF_FCFF!$C$25+$P188)-MIN(DCF_FCFF!$C$26+$Q188,(DCF_FCFF!$C$25+$P188)-0.02)))*(1+(DCF_FCFF!$C$25+$P188))^(-(Inputs!$C$9+9))</f>
        <v>33703.141941464142</v>
      </c>
      <c r="AC188" s="17">
        <f>SUMPRODUCT(R188:AA188*(1+(DCF_FCFF!$C$25+$P188))^(-Scenario_DT!$I$17:$R$17))+AB188</f>
        <v>50102.279730212911</v>
      </c>
      <c r="AD188" s="68">
        <f>((AC188-DCF_FCFF!$C$48)*(1-DCF_FCFF!$C$50)+DCF_FCFF!$C$57+DCF_FCFF!$C$58)/DCF_FCFF!$C$60</f>
        <v>384.47575528838337</v>
      </c>
      <c r="AE188" s="6"/>
      <c r="AF188" s="6"/>
      <c r="AG188" s="6"/>
    </row>
    <row r="189" spans="1:33" x14ac:dyDescent="0.3">
      <c r="A189" s="6"/>
      <c r="B189" s="72">
        <v>158</v>
      </c>
      <c r="C189" s="73">
        <v>0.36153607863919901</v>
      </c>
      <c r="D189" s="73">
        <v>0.81315934582011296</v>
      </c>
      <c r="E189" s="73">
        <v>0.31839911782845998</v>
      </c>
      <c r="F189" s="73">
        <v>0.799213522241491</v>
      </c>
      <c r="G189" s="73">
        <v>0.60073391886264305</v>
      </c>
      <c r="H189" s="15">
        <f t="shared" si="21"/>
        <v>-0.35435593001598742</v>
      </c>
      <c r="I189" s="15">
        <f t="shared" si="22"/>
        <v>0.8895988790128635</v>
      </c>
      <c r="J189" s="15">
        <f t="shared" si="23"/>
        <v>-0.47218010978990194</v>
      </c>
      <c r="K189" s="15">
        <f t="shared" si="24"/>
        <v>0.83881531442381763</v>
      </c>
      <c r="L189" s="15">
        <f t="shared" si="25"/>
        <v>0.25524722001427658</v>
      </c>
      <c r="M189" s="18">
        <f t="shared" si="26"/>
        <v>-7.0871186003197487E-3</v>
      </c>
      <c r="N189" s="18">
        <f t="shared" si="27"/>
        <v>4.7458981071624431E-3</v>
      </c>
      <c r="O189" s="18">
        <f t="shared" si="28"/>
        <v>-5.666161317478823E-3</v>
      </c>
      <c r="P189" s="18">
        <f t="shared" si="29"/>
        <v>5.0328918865429062E-3</v>
      </c>
      <c r="Q189" s="18">
        <f t="shared" si="30"/>
        <v>1.0209888800571064E-3</v>
      </c>
      <c r="R189" s="28">
        <f>((Scenario_DT!I$11*(IF(Scenario_DT!I$18=1,1,1+$M189/Scenario_DT!$C$19)*(1+$N189)^MAX(0,Scenario_DT!I$18-3))*(Scenario_DT!I$12+$O189)-Scenario_DT!I$13)*(1-Scenario_DT!I$14)+Scenario_DT!I$13-Scenario_DT!I$15)*Scenario_DT!I$16</f>
        <v>902.99585984879104</v>
      </c>
      <c r="S189" s="28">
        <f>((Scenario_DT!J$11*(IF(Scenario_DT!J$18=1,1,1+$M189/Scenario_DT!$C$19)*(1+$N189)^MAX(0,Scenario_DT!J$18-3))*(Scenario_DT!J$12+$O189)-Scenario_DT!J$13)*(1-Scenario_DT!J$14)+Scenario_DT!J$13-Scenario_DT!J$15)*Scenario_DT!J$16</f>
        <v>1797.4499976018824</v>
      </c>
      <c r="T189" s="28">
        <f>((Scenario_DT!K$11*(IF(Scenario_DT!K$18=1,1,1+$M189/Scenario_DT!$C$19)*(1+$N189)^MAX(0,Scenario_DT!K$18-3))*(Scenario_DT!K$12+$O189)-Scenario_DT!K$13)*(1-Scenario_DT!K$14)+Scenario_DT!K$13-Scenario_DT!K$15)*Scenario_DT!K$16</f>
        <v>2060.5419006810262</v>
      </c>
      <c r="U189" s="28">
        <f>((Scenario_DT!L$11*(IF(Scenario_DT!L$18=1,1,1+$M189/Scenario_DT!$C$19)*(1+$N189)^MAX(0,Scenario_DT!L$18-3))*(Scenario_DT!L$12+$O189)-Scenario_DT!L$13)*(1-Scenario_DT!L$14)+Scenario_DT!L$13-Scenario_DT!L$15)*Scenario_DT!L$16</f>
        <v>2471.1020256814822</v>
      </c>
      <c r="V189" s="28">
        <f>((Scenario_DT!M$11*(IF(Scenario_DT!M$18=1,1,1+$M189/Scenario_DT!$C$19)*(1+$N189)^MAX(0,Scenario_DT!M$18-3))*(Scenario_DT!M$12+$O189)-Scenario_DT!M$13)*(1-Scenario_DT!M$14)+Scenario_DT!M$13-Scenario_DT!M$15)*Scenario_DT!M$16</f>
        <v>2606.3337663044363</v>
      </c>
      <c r="W189" s="28">
        <f>((Scenario_DT!N$11*(IF(Scenario_DT!N$18=1,1,1+$M189/Scenario_DT!$C$19)*(1+$N189)^MAX(0,Scenario_DT!N$18-3))*(Scenario_DT!N$12+$O189)-Scenario_DT!N$13)*(1-Scenario_DT!N$14)+Scenario_DT!N$13-Scenario_DT!N$15)*Scenario_DT!N$16</f>
        <v>2748.965723308404</v>
      </c>
      <c r="X189" s="28">
        <f>((Scenario_DT!O$11*(IF(Scenario_DT!O$18=1,1,1+$M189/Scenario_DT!$C$19)*(1+$N189)^MAX(0,Scenario_DT!O$18-3))*(Scenario_DT!O$12+$O189)-Scenario_DT!O$13)*(1-Scenario_DT!O$14)+Scenario_DT!O$13-Scenario_DT!O$15)*Scenario_DT!O$16</f>
        <v>2899.4055953130082</v>
      </c>
      <c r="Y189" s="28">
        <f>((Scenario_DT!P$11*(IF(Scenario_DT!P$18=1,1,1+$M189/Scenario_DT!$C$19)*(1+$N189)^MAX(0,Scenario_DT!P$18-3))*(Scenario_DT!P$12+$O189)-Scenario_DT!P$13)*(1-Scenario_DT!P$14)+Scenario_DT!P$13-Scenario_DT!P$15)*Scenario_DT!P$16</f>
        <v>3058.083557443168</v>
      </c>
      <c r="Z189" s="28">
        <f>((Scenario_DT!Q$11*(IF(Scenario_DT!Q$18=1,1,1+$M189/Scenario_DT!$C$19)*(1+$N189)^MAX(0,Scenario_DT!Q$18-3))*(Scenario_DT!Q$12+$O189)-Scenario_DT!Q$13)*(1-Scenario_DT!Q$14)+Scenario_DT!Q$13-Scenario_DT!Q$15)*Scenario_DT!Q$16</f>
        <v>3225.4535000633696</v>
      </c>
      <c r="AA189" s="28">
        <f>((Scenario_DT!R$11*(IF(Scenario_DT!R$18=1,1,1+$M189/Scenario_DT!$C$19)*(1+$N189)^MAX(0,Scenario_DT!R$18-3))*(Scenario_DT!R$12+$O189)-Scenario_DT!R$13)*(1-Scenario_DT!R$14)+Scenario_DT!R$13-Scenario_DT!R$15)*Scenario_DT!R$16</f>
        <v>3401.9943357529032</v>
      </c>
      <c r="AB189" s="17">
        <f>(Scenario_DT!$R$11*(1+$M189/Scenario_DT!$C$19)*(1+$N189)^7*(Scenario_DT!$R$12+$O189)*(1+MIN(DCF_FCFF!$C$26+$Q189,(DCF_FCFF!$C$25+$P189)-0.02))*(1-DCF_FCFF!$C$27)*(1-DCF_FCFF!$C$28)/((DCF_FCFF!$C$25+$P189)-MIN(DCF_FCFF!$C$26+$Q189,(DCF_FCFF!$C$25+$P189)-0.02)))*(1+(DCF_FCFF!$C$25+$P189))^(-(Inputs!$C$9+9))</f>
        <v>25466.910487541918</v>
      </c>
      <c r="AC189" s="17">
        <f>SUMPRODUCT(R189:AA189*(1+(DCF_FCFF!$C$25+$P189))^(-Scenario_DT!$I$17:$R$17))+AB189</f>
        <v>41528.464825299365</v>
      </c>
      <c r="AD189" s="68">
        <f>((AC189-DCF_FCFF!$C$48)*(1-DCF_FCFF!$C$50)+DCF_FCFF!$C$57+DCF_FCFF!$C$58)/DCF_FCFF!$C$60</f>
        <v>302.17769108648554</v>
      </c>
      <c r="AE189" s="6"/>
      <c r="AF189" s="6"/>
      <c r="AG189" s="6"/>
    </row>
    <row r="190" spans="1:33" x14ac:dyDescent="0.3">
      <c r="A190" s="6"/>
      <c r="B190" s="72">
        <v>159</v>
      </c>
      <c r="C190" s="73">
        <v>0.21635569522540099</v>
      </c>
      <c r="D190" s="73">
        <v>0.41402609378923599</v>
      </c>
      <c r="E190" s="73">
        <v>0.31763563436356201</v>
      </c>
      <c r="F190" s="73">
        <v>7.8108393080363894E-2</v>
      </c>
      <c r="G190" s="73">
        <v>2.98347700996975E-2</v>
      </c>
      <c r="H190" s="15">
        <f t="shared" si="21"/>
        <v>-0.78456034066954117</v>
      </c>
      <c r="I190" s="15">
        <f t="shared" si="22"/>
        <v>-0.21720038125416327</v>
      </c>
      <c r="J190" s="15">
        <f t="shared" si="23"/>
        <v>-0.47432064914133065</v>
      </c>
      <c r="K190" s="15">
        <f t="shared" si="24"/>
        <v>-1.4179108777504366</v>
      </c>
      <c r="L190" s="15">
        <f t="shared" si="25"/>
        <v>-1.8832275262705407</v>
      </c>
      <c r="M190" s="18">
        <f t="shared" si="26"/>
        <v>-1.5691206813390823E-2</v>
      </c>
      <c r="N190" s="18">
        <f t="shared" si="27"/>
        <v>-4.6430497457003311E-3</v>
      </c>
      <c r="O190" s="18">
        <f t="shared" si="28"/>
        <v>-5.6918477896959682E-3</v>
      </c>
      <c r="P190" s="18">
        <f t="shared" si="29"/>
        <v>-8.5074652665026191E-3</v>
      </c>
      <c r="Q190" s="18">
        <f t="shared" si="30"/>
        <v>-7.5329101050821629E-3</v>
      </c>
      <c r="R190" s="28">
        <f>((Scenario_DT!I$11*(IF(Scenario_DT!I$18=1,1,1+$M190/Scenario_DT!$C$19)*(1+$N190)^MAX(0,Scenario_DT!I$18-3))*(Scenario_DT!I$12+$O190)-Scenario_DT!I$13)*(1-Scenario_DT!I$14)+Scenario_DT!I$13-Scenario_DT!I$15)*Scenario_DT!I$16</f>
        <v>902.95964468725151</v>
      </c>
      <c r="S190" s="28">
        <f>((Scenario_DT!J$11*(IF(Scenario_DT!J$18=1,1,1+$M190/Scenario_DT!$C$19)*(1+$N190)^MAX(0,Scenario_DT!J$18-3))*(Scenario_DT!J$12+$O190)-Scenario_DT!J$13)*(1-Scenario_DT!J$14)+Scenario_DT!J$13-Scenario_DT!J$15)*Scenario_DT!J$16</f>
        <v>1776.9149360884999</v>
      </c>
      <c r="T190" s="28">
        <f>((Scenario_DT!K$11*(IF(Scenario_DT!K$18=1,1,1+$M190/Scenario_DT!$C$19)*(1+$N190)^MAX(0,Scenario_DT!K$18-3))*(Scenario_DT!K$12+$O190)-Scenario_DT!K$13)*(1-Scenario_DT!K$14)+Scenario_DT!K$13-Scenario_DT!K$15)*Scenario_DT!K$16</f>
        <v>2038.9682939796135</v>
      </c>
      <c r="U190" s="28">
        <f>((Scenario_DT!L$11*(IF(Scenario_DT!L$18=1,1,1+$M190/Scenario_DT!$C$19)*(1+$N190)^MAX(0,Scenario_DT!L$18-3))*(Scenario_DT!L$12+$O190)-Scenario_DT!L$13)*(1-Scenario_DT!L$14)+Scenario_DT!L$13-Scenario_DT!L$15)*Scenario_DT!L$16</f>
        <v>2425.0528737281497</v>
      </c>
      <c r="V190" s="28">
        <f>((Scenario_DT!M$11*(IF(Scenario_DT!M$18=1,1,1+$M190/Scenario_DT!$C$19)*(1+$N190)^MAX(0,Scenario_DT!M$18-3))*(Scenario_DT!M$12+$O190)-Scenario_DT!M$13)*(1-Scenario_DT!M$14)+Scenario_DT!M$13-Scenario_DT!M$15)*Scenario_DT!M$16</f>
        <v>2533.679195989921</v>
      </c>
      <c r="W190" s="28">
        <f>((Scenario_DT!N$11*(IF(Scenario_DT!N$18=1,1,1+$M190/Scenario_DT!$C$19)*(1+$N190)^MAX(0,Scenario_DT!N$18-3))*(Scenario_DT!N$12+$O190)-Scenario_DT!N$13)*(1-Scenario_DT!N$14)+Scenario_DT!N$13-Scenario_DT!N$15)*Scenario_DT!N$16</f>
        <v>2647.156572459302</v>
      </c>
      <c r="X190" s="28">
        <f>((Scenario_DT!O$11*(IF(Scenario_DT!O$18=1,1,1+$M190/Scenario_DT!$C$19)*(1+$N190)^MAX(0,Scenario_DT!O$18-3))*(Scenario_DT!O$12+$O190)-Scenario_DT!O$13)*(1-Scenario_DT!O$14)+Scenario_DT!O$13-Scenario_DT!O$15)*Scenario_DT!O$16</f>
        <v>2765.7035211014672</v>
      </c>
      <c r="Y190" s="28">
        <f>((Scenario_DT!P$11*(IF(Scenario_DT!P$18=1,1,1+$M190/Scenario_DT!$C$19)*(1+$N190)^MAX(0,Scenario_DT!P$18-3))*(Scenario_DT!P$12+$O190)-Scenario_DT!P$13)*(1-Scenario_DT!P$14)+Scenario_DT!P$13-Scenario_DT!P$15)*Scenario_DT!P$16</f>
        <v>2889.5484226318745</v>
      </c>
      <c r="Z190" s="28">
        <f>((Scenario_DT!Q$11*(IF(Scenario_DT!Q$18=1,1,1+$M190/Scenario_DT!$C$19)*(1+$N190)^MAX(0,Scenario_DT!Q$18-3))*(Scenario_DT!Q$12+$O190)-Scenario_DT!Q$13)*(1-Scenario_DT!Q$14)+Scenario_DT!Q$13-Scenario_DT!Q$15)*Scenario_DT!Q$16</f>
        <v>3018.9299658900259</v>
      </c>
      <c r="AA190" s="28">
        <f>((Scenario_DT!R$11*(IF(Scenario_DT!R$18=1,1,1+$M190/Scenario_DT!$C$19)*(1+$N190)^MAX(0,Scenario_DT!R$18-3))*(Scenario_DT!R$12+$O190)-Scenario_DT!R$13)*(1-Scenario_DT!R$14)+Scenario_DT!R$13-Scenario_DT!R$15)*Scenario_DT!R$16</f>
        <v>3154.0976133285149</v>
      </c>
      <c r="AB190" s="17">
        <f>(Scenario_DT!$R$11*(1+$M190/Scenario_DT!$C$19)*(1+$N190)^7*(Scenario_DT!$R$12+$O190)*(1+MIN(DCF_FCFF!$C$26+$Q190,(DCF_FCFF!$C$25+$P190)-0.02))*(1-DCF_FCFF!$C$27)*(1-DCF_FCFF!$C$28)/((DCF_FCFF!$C$25+$P190)-MIN(DCF_FCFF!$C$26+$Q190,(DCF_FCFF!$C$25+$P190)-0.02)))*(1+(DCF_FCFF!$C$25+$P190))^(-(Inputs!$C$9+9))</f>
        <v>29021.570080470668</v>
      </c>
      <c r="AC190" s="17">
        <f>SUMPRODUCT(R190:AA190*(1+(DCF_FCFF!$C$25+$P190))^(-Scenario_DT!$I$17:$R$17))+AB190</f>
        <v>45429.500756132518</v>
      </c>
      <c r="AD190" s="68">
        <f>((AC190-DCF_FCFF!$C$48)*(1-DCF_FCFF!$C$50)+DCF_FCFF!$C$57+DCF_FCFF!$C$58)/DCF_FCFF!$C$60</f>
        <v>339.62283179107772</v>
      </c>
      <c r="AE190" s="6"/>
      <c r="AF190" s="6"/>
      <c r="AG190" s="6"/>
    </row>
    <row r="191" spans="1:33" x14ac:dyDescent="0.3">
      <c r="A191" s="6"/>
      <c r="B191" s="72">
        <v>160</v>
      </c>
      <c r="C191" s="73">
        <v>0.34647865540718098</v>
      </c>
      <c r="D191" s="73">
        <v>1.9034147817486601E-2</v>
      </c>
      <c r="E191" s="73">
        <v>0.165487757581775</v>
      </c>
      <c r="F191" s="73">
        <v>0.72518332085086901</v>
      </c>
      <c r="G191" s="73">
        <v>0.70809123568358801</v>
      </c>
      <c r="H191" s="15">
        <f t="shared" si="21"/>
        <v>-0.39484496142432352</v>
      </c>
      <c r="I191" s="15">
        <f t="shared" si="22"/>
        <v>-2.0741186206711419</v>
      </c>
      <c r="J191" s="15">
        <f t="shared" si="23"/>
        <v>-0.97215083551661119</v>
      </c>
      <c r="K191" s="15">
        <f t="shared" si="24"/>
        <v>0.59830962083513262</v>
      </c>
      <c r="L191" s="15">
        <f t="shared" si="25"/>
        <v>0.54781705220075072</v>
      </c>
      <c r="M191" s="18">
        <f t="shared" si="26"/>
        <v>-7.89689922848647E-3</v>
      </c>
      <c r="N191" s="18">
        <f t="shared" si="27"/>
        <v>-1.5949295173405684E-2</v>
      </c>
      <c r="O191" s="18">
        <f t="shared" si="28"/>
        <v>-1.1665810026199335E-2</v>
      </c>
      <c r="P191" s="18">
        <f t="shared" si="29"/>
        <v>3.5898577250107959E-3</v>
      </c>
      <c r="Q191" s="18">
        <f t="shared" si="30"/>
        <v>2.1912682088030028E-3</v>
      </c>
      <c r="R191" s="28">
        <f>((Scenario_DT!I$11*(IF(Scenario_DT!I$18=1,1,1+$M191/Scenario_DT!$C$19)*(1+$N191)^MAX(0,Scenario_DT!I$18-3))*(Scenario_DT!I$12+$O191)-Scenario_DT!I$13)*(1-Scenario_DT!I$14)+Scenario_DT!I$13-Scenario_DT!I$15)*Scenario_DT!I$16</f>
        <v>894.5370008303513</v>
      </c>
      <c r="S191" s="28">
        <f>((Scenario_DT!J$11*(IF(Scenario_DT!J$18=1,1,1+$M191/Scenario_DT!$C$19)*(1+$N191)^MAX(0,Scenario_DT!J$18-3))*(Scenario_DT!J$12+$O191)-Scenario_DT!J$13)*(1-Scenario_DT!J$14)+Scenario_DT!J$13-Scenario_DT!J$15)*Scenario_DT!J$16</f>
        <v>1777.0359733000432</v>
      </c>
      <c r="T191" s="28">
        <f>((Scenario_DT!K$11*(IF(Scenario_DT!K$18=1,1,1+$M191/Scenario_DT!$C$19)*(1+$N191)^MAX(0,Scenario_DT!K$18-3))*(Scenario_DT!K$12+$O191)-Scenario_DT!K$13)*(1-Scenario_DT!K$14)+Scenario_DT!K$13-Scenario_DT!K$15)*Scenario_DT!K$16</f>
        <v>2039.3587495429479</v>
      </c>
      <c r="U191" s="28">
        <f>((Scenario_DT!L$11*(IF(Scenario_DT!L$18=1,1,1+$M191/Scenario_DT!$C$19)*(1+$N191)^MAX(0,Scenario_DT!L$18-3))*(Scenario_DT!L$12+$O191)-Scenario_DT!L$13)*(1-Scenario_DT!L$14)+Scenario_DT!L$13-Scenario_DT!L$15)*Scenario_DT!L$16</f>
        <v>2397.7230156848186</v>
      </c>
      <c r="V191" s="28">
        <f>((Scenario_DT!M$11*(IF(Scenario_DT!M$18=1,1,1+$M191/Scenario_DT!$C$19)*(1+$N191)^MAX(0,Scenario_DT!M$18-3))*(Scenario_DT!M$12+$O191)-Scenario_DT!M$13)*(1-Scenario_DT!M$14)+Scenario_DT!M$13-Scenario_DT!M$15)*Scenario_DT!M$16</f>
        <v>2476.4510453978269</v>
      </c>
      <c r="W191" s="28">
        <f>((Scenario_DT!N$11*(IF(Scenario_DT!N$18=1,1,1+$M191/Scenario_DT!$C$19)*(1+$N191)^MAX(0,Scenario_DT!N$18-3))*(Scenario_DT!N$12+$O191)-Scenario_DT!N$13)*(1-Scenario_DT!N$14)+Scenario_DT!N$13-Scenario_DT!N$15)*Scenario_DT!N$16</f>
        <v>2557.7277695157336</v>
      </c>
      <c r="X191" s="28">
        <f>((Scenario_DT!O$11*(IF(Scenario_DT!O$18=1,1,1+$M191/Scenario_DT!$C$19)*(1+$N191)^MAX(0,Scenario_DT!O$18-3))*(Scenario_DT!O$12+$O191)-Scenario_DT!O$13)*(1-Scenario_DT!O$14)+Scenario_DT!O$13-Scenario_DT!O$15)*Scenario_DT!O$16</f>
        <v>2641.636115315297</v>
      </c>
      <c r="Y191" s="28">
        <f>((Scenario_DT!P$11*(IF(Scenario_DT!P$18=1,1,1+$M191/Scenario_DT!$C$19)*(1+$N191)^MAX(0,Scenario_DT!P$18-3))*(Scenario_DT!P$12+$O191)-Scenario_DT!P$13)*(1-Scenario_DT!P$14)+Scenario_DT!P$13-Scenario_DT!P$15)*Scenario_DT!P$16</f>
        <v>2728.2617002876345</v>
      </c>
      <c r="Z191" s="28">
        <f>((Scenario_DT!Q$11*(IF(Scenario_DT!Q$18=1,1,1+$M191/Scenario_DT!$C$19)*(1+$N191)^MAX(0,Scenario_DT!Q$18-3))*(Scenario_DT!Q$12+$O191)-Scenario_DT!Q$13)*(1-Scenario_DT!Q$14)+Scenario_DT!Q$13-Scenario_DT!Q$15)*Scenario_DT!Q$16</f>
        <v>2817.6929188027166</v>
      </c>
      <c r="AA191" s="28">
        <f>((Scenario_DT!R$11*(IF(Scenario_DT!R$18=1,1,1+$M191/Scenario_DT!$C$19)*(1+$N191)^MAX(0,Scenario_DT!R$18-3))*(Scenario_DT!R$12+$O191)-Scenario_DT!R$13)*(1-Scenario_DT!R$14)+Scenario_DT!R$13-Scenario_DT!R$15)*Scenario_DT!R$16</f>
        <v>2910.0210315369345</v>
      </c>
      <c r="AB191" s="17">
        <f>(Scenario_DT!$R$11*(1+$M191/Scenario_DT!$C$19)*(1+$N191)^7*(Scenario_DT!$R$12+$O191)*(1+MIN(DCF_FCFF!$C$26+$Q191,(DCF_FCFF!$C$25+$P191)-0.02))*(1-DCF_FCFF!$C$27)*(1-DCF_FCFF!$C$28)/((DCF_FCFF!$C$25+$P191)-MIN(DCF_FCFF!$C$26+$Q191,(DCF_FCFF!$C$25+$P191)-0.02)))*(1+(DCF_FCFF!$C$25+$P191))^(-(Inputs!$C$9+9))</f>
        <v>23228.929447941959</v>
      </c>
      <c r="AC191" s="17">
        <f>SUMPRODUCT(R191:AA191*(1+(DCF_FCFF!$C$25+$P191))^(-Scenario_DT!$I$17:$R$17))+AB191</f>
        <v>38328.039338982446</v>
      </c>
      <c r="AD191" s="68">
        <f>((AC191-DCF_FCFF!$C$48)*(1-DCF_FCFF!$C$50)+DCF_FCFF!$C$57+DCF_FCFF!$C$58)/DCF_FCFF!$C$60</f>
        <v>271.45754782851122</v>
      </c>
      <c r="AE191" s="6"/>
      <c r="AF191" s="6"/>
      <c r="AG191" s="6"/>
    </row>
    <row r="192" spans="1:33" x14ac:dyDescent="0.3">
      <c r="A192" s="6"/>
      <c r="B192" s="72">
        <v>161</v>
      </c>
      <c r="C192" s="73">
        <v>0.738580386457383</v>
      </c>
      <c r="D192" s="73">
        <v>0.31715317112997898</v>
      </c>
      <c r="E192" s="73">
        <v>0.89001945711769603</v>
      </c>
      <c r="F192" s="73">
        <v>0.59383054802844804</v>
      </c>
      <c r="G192" s="73">
        <v>0.126026341746627</v>
      </c>
      <c r="H192" s="15">
        <f t="shared" si="21"/>
        <v>0.63897495149462291</v>
      </c>
      <c r="I192" s="15">
        <f t="shared" si="22"/>
        <v>-0.47567442735748761</v>
      </c>
      <c r="J192" s="15">
        <f t="shared" si="23"/>
        <v>1.2266316023344195</v>
      </c>
      <c r="K192" s="15">
        <f t="shared" si="24"/>
        <v>0.23740977910914021</v>
      </c>
      <c r="L192" s="15">
        <f t="shared" si="25"/>
        <v>-1.1453778167462885</v>
      </c>
      <c r="M192" s="18">
        <f t="shared" si="26"/>
        <v>1.2779499029892458E-2</v>
      </c>
      <c r="N192" s="18">
        <f t="shared" si="27"/>
        <v>-7.3966929819910688E-4</v>
      </c>
      <c r="O192" s="18">
        <f t="shared" si="28"/>
        <v>1.4719579228013034E-2</v>
      </c>
      <c r="P192" s="18">
        <f t="shared" si="29"/>
        <v>1.4244586746548413E-3</v>
      </c>
      <c r="Q192" s="18">
        <f t="shared" si="30"/>
        <v>-4.5815112669851544E-3</v>
      </c>
      <c r="R192" s="28">
        <f>((Scenario_DT!I$11*(IF(Scenario_DT!I$18=1,1,1+$M192/Scenario_DT!$C$19)*(1+$N192)^MAX(0,Scenario_DT!I$18-3))*(Scenario_DT!I$12+$O192)-Scenario_DT!I$13)*(1-Scenario_DT!I$14)+Scenario_DT!I$13-Scenario_DT!I$15)*Scenario_DT!I$16</f>
        <v>931.73756017703806</v>
      </c>
      <c r="S192" s="28">
        <f>((Scenario_DT!J$11*(IF(Scenario_DT!J$18=1,1,1+$M192/Scenario_DT!$C$19)*(1+$N192)^MAX(0,Scenario_DT!J$18-3))*(Scenario_DT!J$12+$O192)-Scenario_DT!J$13)*(1-Scenario_DT!J$14)+Scenario_DT!J$13-Scenario_DT!J$15)*Scenario_DT!J$16</f>
        <v>1908.8975816154989</v>
      </c>
      <c r="T192" s="28">
        <f>((Scenario_DT!K$11*(IF(Scenario_DT!K$18=1,1,1+$M192/Scenario_DT!$C$19)*(1+$N192)^MAX(0,Scenario_DT!K$18-3))*(Scenario_DT!K$12+$O192)-Scenario_DT!K$13)*(1-Scenario_DT!K$14)+Scenario_DT!K$13-Scenario_DT!K$15)*Scenario_DT!K$16</f>
        <v>2176.7136122246316</v>
      </c>
      <c r="U192" s="28">
        <f>((Scenario_DT!L$11*(IF(Scenario_DT!L$18=1,1,1+$M192/Scenario_DT!$C$19)*(1+$N192)^MAX(0,Scenario_DT!L$18-3))*(Scenario_DT!L$12+$O192)-Scenario_DT!L$13)*(1-Scenario_DT!L$14)+Scenario_DT!L$13-Scenario_DT!L$15)*Scenario_DT!L$16</f>
        <v>2580.7757440110572</v>
      </c>
      <c r="V192" s="28">
        <f>((Scenario_DT!M$11*(IF(Scenario_DT!M$18=1,1,1+$M192/Scenario_DT!$C$19)*(1+$N192)^MAX(0,Scenario_DT!M$18-3))*(Scenario_DT!M$12+$O192)-Scenario_DT!M$13)*(1-Scenario_DT!M$14)+Scenario_DT!M$13-Scenario_DT!M$15)*Scenario_DT!M$16</f>
        <v>2707.0756288875327</v>
      </c>
      <c r="W192" s="28">
        <f>((Scenario_DT!N$11*(IF(Scenario_DT!N$18=1,1,1+$M192/Scenario_DT!$C$19)*(1+$N192)^MAX(0,Scenario_DT!N$18-3))*(Scenario_DT!N$12+$O192)-Scenario_DT!N$13)*(1-Scenario_DT!N$14)+Scenario_DT!N$13-Scenario_DT!N$15)*Scenario_DT!N$16</f>
        <v>2839.5481451787182</v>
      </c>
      <c r="X192" s="28">
        <f>((Scenario_DT!O$11*(IF(Scenario_DT!O$18=1,1,1+$M192/Scenario_DT!$C$19)*(1+$N192)^MAX(0,Scenario_DT!O$18-3))*(Scenario_DT!O$12+$O192)-Scenario_DT!O$13)*(1-Scenario_DT!O$14)+Scenario_DT!O$13-Scenario_DT!O$15)*Scenario_DT!O$16</f>
        <v>2978.4972428037736</v>
      </c>
      <c r="Y192" s="28">
        <f>((Scenario_DT!P$11*(IF(Scenario_DT!P$18=1,1,1+$M192/Scenario_DT!$C$19)*(1+$N192)^MAX(0,Scenario_DT!P$18-3))*(Scenario_DT!P$12+$O192)-Scenario_DT!P$13)*(1-Scenario_DT!P$14)+Scenario_DT!P$13-Scenario_DT!P$15)*Scenario_DT!P$16</f>
        <v>3124.2418592997051</v>
      </c>
      <c r="Z192" s="28">
        <f>((Scenario_DT!Q$11*(IF(Scenario_DT!Q$18=1,1,1+$M192/Scenario_DT!$C$19)*(1+$N192)^MAX(0,Scenario_DT!Q$18-3))*(Scenario_DT!Q$12+$O192)-Scenario_DT!Q$13)*(1-Scenario_DT!Q$14)+Scenario_DT!Q$13-Scenario_DT!Q$15)*Scenario_DT!Q$16</f>
        <v>3277.1166589559666</v>
      </c>
      <c r="AA192" s="28">
        <f>((Scenario_DT!R$11*(IF(Scenario_DT!R$18=1,1,1+$M192/Scenario_DT!$C$19)*(1+$N192)^MAX(0,Scenario_DT!R$18-3))*(Scenario_DT!R$12+$O192)-Scenario_DT!R$13)*(1-Scenario_DT!R$14)+Scenario_DT!R$13-Scenario_DT!R$15)*Scenario_DT!R$16</f>
        <v>3437.4728083968089</v>
      </c>
      <c r="AB192" s="17">
        <f>(Scenario_DT!$R$11*(1+$M192/Scenario_DT!$C$19)*(1+$N192)^7*(Scenario_DT!$R$12+$O192)*(1+MIN(DCF_FCFF!$C$26+$Q192,(DCF_FCFF!$C$25+$P192)-0.02))*(1-DCF_FCFF!$C$27)*(1-DCF_FCFF!$C$28)/((DCF_FCFF!$C$25+$P192)-MIN(DCF_FCFF!$C$26+$Q192,(DCF_FCFF!$C$25+$P192)-0.02)))*(1+(DCF_FCFF!$C$25+$P192))^(-(Inputs!$C$9+9))</f>
        <v>25470.740084202542</v>
      </c>
      <c r="AC192" s="17">
        <f>SUMPRODUCT(R192:AA192*(1+(DCF_FCFF!$C$25+$P192))^(-Scenario_DT!$I$17:$R$17))+AB192</f>
        <v>42345.471134176805</v>
      </c>
      <c r="AD192" s="68">
        <f>((AC192-DCF_FCFF!$C$48)*(1-DCF_FCFF!$C$50)+DCF_FCFF!$C$57+DCF_FCFF!$C$58)/DCF_FCFF!$C$60</f>
        <v>310.01994548631143</v>
      </c>
      <c r="AE192" s="6"/>
      <c r="AF192" s="6"/>
      <c r="AG192" s="6"/>
    </row>
    <row r="193" spans="1:33" x14ac:dyDescent="0.3">
      <c r="A193" s="6"/>
      <c r="B193" s="72">
        <v>162</v>
      </c>
      <c r="C193" s="73">
        <v>0.143718661455534</v>
      </c>
      <c r="D193" s="73">
        <v>0.69309542692970205</v>
      </c>
      <c r="E193" s="73">
        <v>0.17294393644207801</v>
      </c>
      <c r="F193" s="73">
        <v>0.50729270158204298</v>
      </c>
      <c r="G193" s="73">
        <v>0.99177447592871104</v>
      </c>
      <c r="H193" s="15">
        <f t="shared" si="21"/>
        <v>-1.0637602496039089</v>
      </c>
      <c r="I193" s="15">
        <f t="shared" si="22"/>
        <v>0.50464364953659036</v>
      </c>
      <c r="J193" s="15">
        <f t="shared" si="23"/>
        <v>-0.94259544051199518</v>
      </c>
      <c r="K193" s="15">
        <f t="shared" si="24"/>
        <v>1.828111018771145E-2</v>
      </c>
      <c r="L193" s="15">
        <f t="shared" si="25"/>
        <v>2.3987520942559795</v>
      </c>
      <c r="M193" s="18">
        <f t="shared" si="26"/>
        <v>-2.1275204992078179E-2</v>
      </c>
      <c r="N193" s="18">
        <f t="shared" si="27"/>
        <v>-7.5876723555820872E-4</v>
      </c>
      <c r="O193" s="18">
        <f t="shared" si="28"/>
        <v>-1.1311145286143942E-2</v>
      </c>
      <c r="P193" s="18">
        <f t="shared" si="29"/>
        <v>1.096866611262687E-4</v>
      </c>
      <c r="Q193" s="18">
        <f t="shared" si="30"/>
        <v>9.5950083770239177E-3</v>
      </c>
      <c r="R193" s="28">
        <f>((Scenario_DT!I$11*(IF(Scenario_DT!I$18=1,1,1+$M193/Scenario_DT!$C$19)*(1+$N193)^MAX(0,Scenario_DT!I$18-3))*(Scenario_DT!I$12+$O193)-Scenario_DT!I$13)*(1-Scenario_DT!I$14)+Scenario_DT!I$13-Scenario_DT!I$15)*Scenario_DT!I$16</f>
        <v>895.03703994607145</v>
      </c>
      <c r="S193" s="28">
        <f>((Scenario_DT!J$11*(IF(Scenario_DT!J$18=1,1,1+$M193/Scenario_DT!$C$19)*(1+$N193)^MAX(0,Scenario_DT!J$18-3))*(Scenario_DT!J$12+$O193)-Scenario_DT!J$13)*(1-Scenario_DT!J$14)+Scenario_DT!J$13-Scenario_DT!J$15)*Scenario_DT!J$16</f>
        <v>1746.5709439554739</v>
      </c>
      <c r="T193" s="28">
        <f>((Scenario_DT!K$11*(IF(Scenario_DT!K$18=1,1,1+$M193/Scenario_DT!$C$19)*(1+$N193)^MAX(0,Scenario_DT!K$18-3))*(Scenario_DT!K$12+$O193)-Scenario_DT!K$13)*(1-Scenario_DT!K$14)+Scenario_DT!K$13-Scenario_DT!K$15)*Scenario_DT!K$16</f>
        <v>2007.3321104714009</v>
      </c>
      <c r="U193" s="28">
        <f>((Scenario_DT!L$11*(IF(Scenario_DT!L$18=1,1,1+$M193/Scenario_DT!$C$19)*(1+$N193)^MAX(0,Scenario_DT!L$18-3))*(Scenario_DT!L$12+$O193)-Scenario_DT!L$13)*(1-Scenario_DT!L$14)+Scenario_DT!L$13-Scenario_DT!L$15)*Scenario_DT!L$16</f>
        <v>2401.0171709426654</v>
      </c>
      <c r="V193" s="28">
        <f>((Scenario_DT!M$11*(IF(Scenario_DT!M$18=1,1,1+$M193/Scenario_DT!$C$19)*(1+$N193)^MAX(0,Scenario_DT!M$18-3))*(Scenario_DT!M$12+$O193)-Scenario_DT!M$13)*(1-Scenario_DT!M$14)+Scenario_DT!M$13-Scenario_DT!M$15)*Scenario_DT!M$16</f>
        <v>2518.4202515697239</v>
      </c>
      <c r="W193" s="28">
        <f>((Scenario_DT!N$11*(IF(Scenario_DT!N$18=1,1,1+$M193/Scenario_DT!$C$19)*(1+$N193)^MAX(0,Scenario_DT!N$18-3))*(Scenario_DT!N$12+$O193)-Scenario_DT!N$13)*(1-Scenario_DT!N$14)+Scenario_DT!N$13-Scenario_DT!N$15)*Scenario_DT!N$16</f>
        <v>2641.5556474759405</v>
      </c>
      <c r="X193" s="28">
        <f>((Scenario_DT!O$11*(IF(Scenario_DT!O$18=1,1,1+$M193/Scenario_DT!$C$19)*(1+$N193)^MAX(0,Scenario_DT!O$18-3))*(Scenario_DT!O$12+$O193)-Scenario_DT!O$13)*(1-Scenario_DT!O$14)+Scenario_DT!O$13-Scenario_DT!O$15)*Scenario_DT!O$16</f>
        <v>2770.7055173645676</v>
      </c>
      <c r="Y193" s="28">
        <f>((Scenario_DT!P$11*(IF(Scenario_DT!P$18=1,1,1+$M193/Scenario_DT!$C$19)*(1+$N193)^MAX(0,Scenario_DT!P$18-3))*(Scenario_DT!P$12+$O193)-Scenario_DT!P$13)*(1-Scenario_DT!P$14)+Scenario_DT!P$13-Scenario_DT!P$15)*Scenario_DT!P$16</f>
        <v>2906.1659291445444</v>
      </c>
      <c r="Z193" s="28">
        <f>((Scenario_DT!Q$11*(IF(Scenario_DT!Q$18=1,1,1+$M193/Scenario_DT!$C$19)*(1+$N193)^MAX(0,Scenario_DT!Q$18-3))*(Scenario_DT!Q$12+$O193)-Scenario_DT!Q$13)*(1-Scenario_DT!Q$14)+Scenario_DT!Q$13-Scenario_DT!Q$15)*Scenario_DT!Q$16</f>
        <v>3048.2475456978582</v>
      </c>
      <c r="AA193" s="28">
        <f>((Scenario_DT!R$11*(IF(Scenario_DT!R$18=1,1,1+$M193/Scenario_DT!$C$19)*(1+$N193)^MAX(0,Scenario_DT!R$18-3))*(Scenario_DT!R$12+$O193)-Scenario_DT!R$13)*(1-Scenario_DT!R$14)+Scenario_DT!R$13-Scenario_DT!R$15)*Scenario_DT!R$16</f>
        <v>3197.2763444537682</v>
      </c>
      <c r="AB193" s="17">
        <f>(Scenario_DT!$R$11*(1+$M193/Scenario_DT!$C$19)*(1+$N193)^7*(Scenario_DT!$R$12+$O193)*(1+MIN(DCF_FCFF!$C$26+$Q193,(DCF_FCFF!$C$25+$P193)-0.02))*(1-DCF_FCFF!$C$27)*(1-DCF_FCFF!$C$28)/((DCF_FCFF!$C$25+$P193)-MIN(DCF_FCFF!$C$26+$Q193,(DCF_FCFF!$C$25+$P193)-0.02)))*(1+(DCF_FCFF!$C$25+$P193))^(-(Inputs!$C$9+9))</f>
        <v>33509.135791873894</v>
      </c>
      <c r="AC193" s="17">
        <f>SUMPRODUCT(R193:AA193*(1+(DCF_FCFF!$C$25+$P193))^(-Scenario_DT!$I$17:$R$17))+AB193</f>
        <v>49279.987574651997</v>
      </c>
      <c r="AD193" s="68">
        <f>((AC193-DCF_FCFF!$C$48)*(1-DCF_FCFF!$C$50)+DCF_FCFF!$C$57+DCF_FCFF!$C$58)/DCF_FCFF!$C$60</f>
        <v>376.5827632700595</v>
      </c>
      <c r="AE193" s="6"/>
      <c r="AF193" s="6"/>
      <c r="AG193" s="6"/>
    </row>
    <row r="194" spans="1:33" x14ac:dyDescent="0.3">
      <c r="A194" s="6"/>
      <c r="B194" s="72">
        <v>163</v>
      </c>
      <c r="C194" s="73">
        <v>4.0076047333394999E-3</v>
      </c>
      <c r="D194" s="73">
        <v>1.6579801897556899E-2</v>
      </c>
      <c r="E194" s="73">
        <v>0.99308458193050697</v>
      </c>
      <c r="F194" s="73">
        <v>0.58463883413416595</v>
      </c>
      <c r="G194" s="73">
        <v>0.12690997551851299</v>
      </c>
      <c r="H194" s="15">
        <f t="shared" si="21"/>
        <v>-2.6514284446417138</v>
      </c>
      <c r="I194" s="15">
        <f t="shared" si="22"/>
        <v>-2.1301454889741103</v>
      </c>
      <c r="J194" s="15">
        <f t="shared" si="23"/>
        <v>2.4616271561380123</v>
      </c>
      <c r="K194" s="15">
        <f t="shared" si="24"/>
        <v>0.2137752432013687</v>
      </c>
      <c r="L194" s="15">
        <f t="shared" si="25"/>
        <v>-1.1411200925127758</v>
      </c>
      <c r="M194" s="18">
        <f t="shared" si="26"/>
        <v>-5.3028568892834277E-2</v>
      </c>
      <c r="N194" s="18">
        <f t="shared" si="27"/>
        <v>-2.5363794636234092E-2</v>
      </c>
      <c r="O194" s="18">
        <f t="shared" si="28"/>
        <v>2.9539525873656148E-2</v>
      </c>
      <c r="P194" s="18">
        <f t="shared" si="29"/>
        <v>1.2826514592082121E-3</v>
      </c>
      <c r="Q194" s="18">
        <f t="shared" si="30"/>
        <v>-4.5644803700511036E-3</v>
      </c>
      <c r="R194" s="28">
        <f>((Scenario_DT!I$11*(IF(Scenario_DT!I$18=1,1,1+$M194/Scenario_DT!$C$19)*(1+$N194)^MAX(0,Scenario_DT!I$18-3))*(Scenario_DT!I$12+$O194)-Scenario_DT!I$13)*(1-Scenario_DT!I$14)+Scenario_DT!I$13-Scenario_DT!I$15)*Scenario_DT!I$16</f>
        <v>952.63209007744342</v>
      </c>
      <c r="S194" s="28">
        <f>((Scenario_DT!J$11*(IF(Scenario_DT!J$18=1,1,1+$M194/Scenario_DT!$C$19)*(1+$N194)^MAX(0,Scenario_DT!J$18-3))*(Scenario_DT!J$12+$O194)-Scenario_DT!J$13)*(1-Scenario_DT!J$14)+Scenario_DT!J$13-Scenario_DT!J$15)*Scenario_DT!J$16</f>
        <v>1791.4645322749525</v>
      </c>
      <c r="T194" s="28">
        <f>((Scenario_DT!K$11*(IF(Scenario_DT!K$18=1,1,1+$M194/Scenario_DT!$C$19)*(1+$N194)^MAX(0,Scenario_DT!K$18-3))*(Scenario_DT!K$12+$O194)-Scenario_DT!K$13)*(1-Scenario_DT!K$14)+Scenario_DT!K$13-Scenario_DT!K$15)*Scenario_DT!K$16</f>
        <v>2052.7769005538275</v>
      </c>
      <c r="U194" s="28">
        <f>((Scenario_DT!L$11*(IF(Scenario_DT!L$18=1,1,1+$M194/Scenario_DT!$C$19)*(1+$N194)^MAX(0,Scenario_DT!L$18-3))*(Scenario_DT!L$12+$O194)-Scenario_DT!L$13)*(1-Scenario_DT!L$14)+Scenario_DT!L$13-Scenario_DT!L$15)*Scenario_DT!L$16</f>
        <v>2388.5080700576491</v>
      </c>
      <c r="V194" s="28">
        <f>((Scenario_DT!M$11*(IF(Scenario_DT!M$18=1,1,1+$M194/Scenario_DT!$C$19)*(1+$N194)^MAX(0,Scenario_DT!M$18-3))*(Scenario_DT!M$12+$O194)-Scenario_DT!M$13)*(1-Scenario_DT!M$14)+Scenario_DT!M$13-Scenario_DT!M$15)*Scenario_DT!M$16</f>
        <v>2443.1519226616988</v>
      </c>
      <c r="W194" s="28">
        <f>((Scenario_DT!N$11*(IF(Scenario_DT!N$18=1,1,1+$M194/Scenario_DT!$C$19)*(1+$N194)^MAX(0,Scenario_DT!N$18-3))*(Scenario_DT!N$12+$O194)-Scenario_DT!N$13)*(1-Scenario_DT!N$14)+Scenario_DT!N$13-Scenario_DT!N$15)*Scenario_DT!N$16</f>
        <v>2498.9879539064714</v>
      </c>
      <c r="X194" s="28">
        <f>((Scenario_DT!O$11*(IF(Scenario_DT!O$18=1,1,1+$M194/Scenario_DT!$C$19)*(1+$N194)^MAX(0,Scenario_DT!O$18-3))*(Scenario_DT!O$12+$O194)-Scenario_DT!O$13)*(1-Scenario_DT!O$14)+Scenario_DT!O$13-Scenario_DT!O$15)*Scenario_DT!O$16</f>
        <v>2556.0409983472446</v>
      </c>
      <c r="Y194" s="28">
        <f>((Scenario_DT!P$11*(IF(Scenario_DT!P$18=1,1,1+$M194/Scenario_DT!$C$19)*(1+$N194)^MAX(0,Scenario_DT!P$18-3))*(Scenario_DT!P$12+$O194)-Scenario_DT!P$13)*(1-Scenario_DT!P$14)+Scenario_DT!P$13-Scenario_DT!P$15)*Scenario_DT!P$16</f>
        <v>2614.3363455679832</v>
      </c>
      <c r="Z194" s="28">
        <f>((Scenario_DT!Q$11*(IF(Scenario_DT!Q$18=1,1,1+$M194/Scenario_DT!$C$19)*(1+$N194)^MAX(0,Scenario_DT!Q$18-3))*(Scenario_DT!Q$12+$O194)-Scenario_DT!Q$13)*(1-Scenario_DT!Q$14)+Scenario_DT!Q$13-Scenario_DT!Q$15)*Scenario_DT!Q$16</f>
        <v>2673.8997454284809</v>
      </c>
      <c r="AA194" s="28">
        <f>((Scenario_DT!R$11*(IF(Scenario_DT!R$18=1,1,1+$M194/Scenario_DT!$C$19)*(1+$N194)^MAX(0,Scenario_DT!R$18-3))*(Scenario_DT!R$12+$O194)-Scenario_DT!R$13)*(1-Scenario_DT!R$14)+Scenario_DT!R$13-Scenario_DT!R$15)*Scenario_DT!R$16</f>
        <v>2734.7574132014915</v>
      </c>
      <c r="AB194" s="17">
        <f>(Scenario_DT!$R$11*(1+$M194/Scenario_DT!$C$19)*(1+$N194)^7*(Scenario_DT!$R$12+$O194)*(1+MIN(DCF_FCFF!$C$26+$Q194,(DCF_FCFF!$C$25+$P194)-0.02))*(1-DCF_FCFF!$C$27)*(1-DCF_FCFF!$C$28)/((DCF_FCFF!$C$25+$P194)-MIN(DCF_FCFF!$C$26+$Q194,(DCF_FCFF!$C$25+$P194)-0.02)))*(1+(DCF_FCFF!$C$25+$P194))^(-(Inputs!$C$9+9))</f>
        <v>20388.936696888035</v>
      </c>
      <c r="AC194" s="17">
        <f>SUMPRODUCT(R194:AA194*(1+(DCF_FCFF!$C$25+$P194))^(-Scenario_DT!$I$17:$R$17))+AB194</f>
        <v>35380.920468630844</v>
      </c>
      <c r="AD194" s="68">
        <f>((AC194-DCF_FCFF!$C$48)*(1-DCF_FCFF!$C$50)+DCF_FCFF!$C$57+DCF_FCFF!$C$58)/DCF_FCFF!$C$60</f>
        <v>243.16883612984569</v>
      </c>
      <c r="AE194" s="6"/>
      <c r="AF194" s="6"/>
      <c r="AG194" s="6"/>
    </row>
    <row r="195" spans="1:33" x14ac:dyDescent="0.3">
      <c r="A195" s="6"/>
      <c r="B195" s="72">
        <v>164</v>
      </c>
      <c r="C195" s="73">
        <v>0.89730219975409398</v>
      </c>
      <c r="D195" s="73">
        <v>0.88038030012769197</v>
      </c>
      <c r="E195" s="73">
        <v>0.53620041311137501</v>
      </c>
      <c r="F195" s="73">
        <v>0.62179202986075699</v>
      </c>
      <c r="G195" s="73">
        <v>0.273187191500876</v>
      </c>
      <c r="H195" s="15">
        <f t="shared" si="21"/>
        <v>1.2663282121605064</v>
      </c>
      <c r="I195" s="15">
        <f t="shared" si="22"/>
        <v>1.1768900355426517</v>
      </c>
      <c r="J195" s="15">
        <f t="shared" si="23"/>
        <v>9.0865864947483832E-2</v>
      </c>
      <c r="K195" s="15">
        <f t="shared" si="24"/>
        <v>0.31019070267368676</v>
      </c>
      <c r="L195" s="15">
        <f t="shared" si="25"/>
        <v>-0.60320190132180518</v>
      </c>
      <c r="M195" s="18">
        <f t="shared" si="26"/>
        <v>2.5326564243210128E-2</v>
      </c>
      <c r="N195" s="18">
        <f t="shared" si="27"/>
        <v>1.3219046194567685E-2</v>
      </c>
      <c r="O195" s="18">
        <f t="shared" si="28"/>
        <v>1.0903903793698061E-3</v>
      </c>
      <c r="P195" s="18">
        <f t="shared" si="29"/>
        <v>1.8611442160421205E-3</v>
      </c>
      <c r="Q195" s="18">
        <f t="shared" si="30"/>
        <v>-2.4128076052872208E-3</v>
      </c>
      <c r="R195" s="28">
        <f>((Scenario_DT!I$11*(IF(Scenario_DT!I$18=1,1,1+$M195/Scenario_DT!$C$19)*(1+$N195)^MAX(0,Scenario_DT!I$18-3))*(Scenario_DT!I$12+$O195)-Scenario_DT!I$13)*(1-Scenario_DT!I$14)+Scenario_DT!I$13-Scenario_DT!I$15)*Scenario_DT!I$16</f>
        <v>912.5218706252831</v>
      </c>
      <c r="S195" s="28">
        <f>((Scenario_DT!J$11*(IF(Scenario_DT!J$18=1,1,1+$M195/Scenario_DT!$C$19)*(1+$N195)^MAX(0,Scenario_DT!J$18-3))*(Scenario_DT!J$12+$O195)-Scenario_DT!J$13)*(1-Scenario_DT!J$14)+Scenario_DT!J$13-Scenario_DT!J$15)*Scenario_DT!J$16</f>
        <v>1896.0776375801629</v>
      </c>
      <c r="T195" s="28">
        <f>((Scenario_DT!K$11*(IF(Scenario_DT!K$18=1,1,1+$M195/Scenario_DT!$C$19)*(1+$N195)^MAX(0,Scenario_DT!K$18-3))*(Scenario_DT!K$12+$O195)-Scenario_DT!K$13)*(1-Scenario_DT!K$14)+Scenario_DT!K$13-Scenario_DT!K$15)*Scenario_DT!K$16</f>
        <v>2163.8545744458183</v>
      </c>
      <c r="U195" s="28">
        <f>((Scenario_DT!L$11*(IF(Scenario_DT!L$18=1,1,1+$M195/Scenario_DT!$C$19)*(1+$N195)^MAX(0,Scenario_DT!L$18-3))*(Scenario_DT!L$12+$O195)-Scenario_DT!L$13)*(1-Scenario_DT!L$14)+Scenario_DT!L$13-Scenario_DT!L$15)*Scenario_DT!L$16</f>
        <v>2603.2285339382479</v>
      </c>
      <c r="V195" s="28">
        <f>((Scenario_DT!M$11*(IF(Scenario_DT!M$18=1,1,1+$M195/Scenario_DT!$C$19)*(1+$N195)^MAX(0,Scenario_DT!M$18-3))*(Scenario_DT!M$12+$O195)-Scenario_DT!M$13)*(1-Scenario_DT!M$14)+Scenario_DT!M$13-Scenario_DT!M$15)*Scenario_DT!M$16</f>
        <v>2769.0355623035271</v>
      </c>
      <c r="W195" s="28">
        <f>((Scenario_DT!N$11*(IF(Scenario_DT!N$18=1,1,1+$M195/Scenario_DT!$C$19)*(1+$N195)^MAX(0,Scenario_DT!N$18-3))*(Scenario_DT!N$12+$O195)-Scenario_DT!N$13)*(1-Scenario_DT!N$14)+Scenario_DT!N$13-Scenario_DT!N$15)*Scenario_DT!N$16</f>
        <v>2945.413011924205</v>
      </c>
      <c r="X195" s="28">
        <f>((Scenario_DT!O$11*(IF(Scenario_DT!O$18=1,1,1+$M195/Scenario_DT!$C$19)*(1+$N195)^MAX(0,Scenario_DT!O$18-3))*(Scenario_DT!O$12+$O195)-Scenario_DT!O$13)*(1-Scenario_DT!O$14)+Scenario_DT!O$13-Scenario_DT!O$15)*Scenario_DT!O$16</f>
        <v>3133.0380117021523</v>
      </c>
      <c r="Y195" s="28">
        <f>((Scenario_DT!P$11*(IF(Scenario_DT!P$18=1,1,1+$M195/Scenario_DT!$C$19)*(1+$N195)^MAX(0,Scenario_DT!P$18-3))*(Scenario_DT!P$12+$O195)-Scenario_DT!P$13)*(1-Scenario_DT!P$14)+Scenario_DT!P$13-Scenario_DT!P$15)*Scenario_DT!P$16</f>
        <v>3332.6310575938619</v>
      </c>
      <c r="Z195" s="28">
        <f>((Scenario_DT!Q$11*(IF(Scenario_DT!Q$18=1,1,1+$M195/Scenario_DT!$C$19)*(1+$N195)^MAX(0,Scenario_DT!Q$18-3))*(Scenario_DT!Q$12+$O195)-Scenario_DT!Q$13)*(1-Scenario_DT!Q$14)+Scenario_DT!Q$13-Scenario_DT!Q$15)*Scenario_DT!Q$16</f>
        <v>3544.958788135018</v>
      </c>
      <c r="AA195" s="28">
        <f>((Scenario_DT!R$11*(IF(Scenario_DT!R$18=1,1,1+$M195/Scenario_DT!$C$19)*(1+$N195)^MAX(0,Scenario_DT!R$18-3))*(Scenario_DT!R$12+$O195)-Scenario_DT!R$13)*(1-Scenario_DT!R$14)+Scenario_DT!R$13-Scenario_DT!R$15)*Scenario_DT!R$16</f>
        <v>3770.8369374994072</v>
      </c>
      <c r="AB195" s="17">
        <f>(Scenario_DT!$R$11*(1+$M195/Scenario_DT!$C$19)*(1+$N195)^7*(Scenario_DT!$R$12+$O195)*(1+MIN(DCF_FCFF!$C$26+$Q195,(DCF_FCFF!$C$25+$P195)-0.02))*(1-DCF_FCFF!$C$27)*(1-DCF_FCFF!$C$28)/((DCF_FCFF!$C$25+$P195)-MIN(DCF_FCFF!$C$26+$Q195,(DCF_FCFF!$C$25+$P195)-0.02)))*(1+(DCF_FCFF!$C$25+$P195))^(-(Inputs!$C$9+9))</f>
        <v>28756.532680081902</v>
      </c>
      <c r="AC195" s="17">
        <f>SUMPRODUCT(R195:AA195*(1+(DCF_FCFF!$C$25+$P195))^(-Scenario_DT!$I$17:$R$17))+AB195</f>
        <v>46175.592737161671</v>
      </c>
      <c r="AD195" s="68">
        <f>((AC195-DCF_FCFF!$C$48)*(1-DCF_FCFF!$C$50)+DCF_FCFF!$C$57+DCF_FCFF!$C$58)/DCF_FCFF!$C$60</f>
        <v>346.78439597647542</v>
      </c>
      <c r="AE195" s="6"/>
      <c r="AF195" s="6"/>
      <c r="AG195" s="6"/>
    </row>
    <row r="196" spans="1:33" x14ac:dyDescent="0.3">
      <c r="A196" s="6"/>
      <c r="B196" s="72">
        <v>165</v>
      </c>
      <c r="C196" s="73">
        <v>5.05196963720052E-2</v>
      </c>
      <c r="D196" s="73">
        <v>0.59456760889086402</v>
      </c>
      <c r="E196" s="73">
        <v>0.294755193202763</v>
      </c>
      <c r="F196" s="73">
        <v>0.66362104666035204</v>
      </c>
      <c r="G196" s="73">
        <v>0.83624517684260102</v>
      </c>
      <c r="H196" s="15">
        <f t="shared" si="21"/>
        <v>-1.6398354135414166</v>
      </c>
      <c r="I196" s="15">
        <f t="shared" si="22"/>
        <v>0.23931055401988985</v>
      </c>
      <c r="J196" s="15">
        <f t="shared" si="23"/>
        <v>-0.53954567982652557</v>
      </c>
      <c r="K196" s="15">
        <f t="shared" si="24"/>
        <v>0.42236597829754907</v>
      </c>
      <c r="L196" s="15">
        <f t="shared" si="25"/>
        <v>0.97914235520380122</v>
      </c>
      <c r="M196" s="18">
        <f t="shared" si="26"/>
        <v>-3.2796708270828333E-2</v>
      </c>
      <c r="N196" s="18">
        <f t="shared" si="27"/>
        <v>-4.9013495007660434E-3</v>
      </c>
      <c r="O196" s="18">
        <f t="shared" si="28"/>
        <v>-6.474548157918307E-3</v>
      </c>
      <c r="P196" s="18">
        <f t="shared" si="29"/>
        <v>2.5341958697852945E-3</v>
      </c>
      <c r="Q196" s="18">
        <f t="shared" si="30"/>
        <v>3.9165694208152047E-3</v>
      </c>
      <c r="R196" s="28">
        <f>((Scenario_DT!I$11*(IF(Scenario_DT!I$18=1,1,1+$M196/Scenario_DT!$C$19)*(1+$N196)^MAX(0,Scenario_DT!I$18-3))*(Scenario_DT!I$12+$O196)-Scenario_DT!I$13)*(1-Scenario_DT!I$14)+Scenario_DT!I$13-Scenario_DT!I$15)*Scenario_DT!I$16</f>
        <v>901.85612139948819</v>
      </c>
      <c r="S196" s="28">
        <f>((Scenario_DT!J$11*(IF(Scenario_DT!J$18=1,1,1+$M196/Scenario_DT!$C$19)*(1+$N196)^MAX(0,Scenario_DT!J$18-3))*(Scenario_DT!J$12+$O196)-Scenario_DT!J$13)*(1-Scenario_DT!J$14)+Scenario_DT!J$13-Scenario_DT!J$15)*Scenario_DT!J$16</f>
        <v>1733.8997530230308</v>
      </c>
      <c r="T196" s="28">
        <f>((Scenario_DT!K$11*(IF(Scenario_DT!K$18=1,1,1+$M196/Scenario_DT!$C$19)*(1+$N196)^MAX(0,Scenario_DT!K$18-3))*(Scenario_DT!K$12+$O196)-Scenario_DT!K$13)*(1-Scenario_DT!K$14)+Scenario_DT!K$13-Scenario_DT!K$15)*Scenario_DT!K$16</f>
        <v>1993.8088522976186</v>
      </c>
      <c r="U196" s="28">
        <f>((Scenario_DT!L$11*(IF(Scenario_DT!L$18=1,1,1+$M196/Scenario_DT!$C$19)*(1+$N196)^MAX(0,Scenario_DT!L$18-3))*(Scenario_DT!L$12+$O196)-Scenario_DT!L$13)*(1-Scenario_DT!L$14)+Scenario_DT!L$13-Scenario_DT!L$15)*Scenario_DT!L$16</f>
        <v>2376.7049404651325</v>
      </c>
      <c r="V196" s="28">
        <f>((Scenario_DT!M$11*(IF(Scenario_DT!M$18=1,1,1+$M196/Scenario_DT!$C$19)*(1+$N196)^MAX(0,Scenario_DT!M$18-3))*(Scenario_DT!M$12+$O196)-Scenario_DT!M$13)*(1-Scenario_DT!M$14)+Scenario_DT!M$13-Scenario_DT!M$15)*Scenario_DT!M$16</f>
        <v>2482.5003978806967</v>
      </c>
      <c r="W196" s="28">
        <f>((Scenario_DT!N$11*(IF(Scenario_DT!N$18=1,1,1+$M196/Scenario_DT!$C$19)*(1+$N196)^MAX(0,Scenario_DT!N$18-3))*(Scenario_DT!N$12+$O196)-Scenario_DT!N$13)*(1-Scenario_DT!N$14)+Scenario_DT!N$13-Scenario_DT!N$15)*Scenario_DT!N$16</f>
        <v>2592.9900495142074</v>
      </c>
      <c r="X196" s="28">
        <f>((Scenario_DT!O$11*(IF(Scenario_DT!O$18=1,1,1+$M196/Scenario_DT!$C$19)*(1+$N196)^MAX(0,Scenario_DT!O$18-3))*(Scenario_DT!O$12+$O196)-Scenario_DT!O$13)*(1-Scenario_DT!O$14)+Scenario_DT!O$13-Scenario_DT!O$15)*Scenario_DT!O$16</f>
        <v>2708.3840290184949</v>
      </c>
      <c r="Y196" s="28">
        <f>((Scenario_DT!P$11*(IF(Scenario_DT!P$18=1,1,1+$M196/Scenario_DT!$C$19)*(1+$N196)^MAX(0,Scenario_DT!P$18-3))*(Scenario_DT!P$12+$O196)-Scenario_DT!P$13)*(1-Scenario_DT!P$14)+Scenario_DT!P$13-Scenario_DT!P$15)*Scenario_DT!P$16</f>
        <v>2828.9018958758375</v>
      </c>
      <c r="Z196" s="28">
        <f>((Scenario_DT!Q$11*(IF(Scenario_DT!Q$18=1,1,1+$M196/Scenario_DT!$C$19)*(1+$N196)^MAX(0,Scenario_DT!Q$18-3))*(Scenario_DT!Q$12+$O196)-Scenario_DT!Q$13)*(1-Scenario_DT!Q$14)+Scenario_DT!Q$13-Scenario_DT!Q$15)*Scenario_DT!Q$16</f>
        <v>2954.7730584282099</v>
      </c>
      <c r="AA196" s="28">
        <f>((Scenario_DT!R$11*(IF(Scenario_DT!R$18=1,1,1+$M196/Scenario_DT!$C$19)*(1+$N196)^MAX(0,Scenario_DT!R$18-3))*(Scenario_DT!R$12+$O196)-Scenario_DT!R$13)*(1-Scenario_DT!R$14)+Scenario_DT!R$13-Scenario_DT!R$15)*Scenario_DT!R$16</f>
        <v>3086.2372158967237</v>
      </c>
      <c r="AB196" s="17">
        <f>(Scenario_DT!$R$11*(1+$M196/Scenario_DT!$C$19)*(1+$N196)^7*(Scenario_DT!$R$12+$O196)*(1+MIN(DCF_FCFF!$C$26+$Q196,(DCF_FCFF!$C$25+$P196)-0.02))*(1-DCF_FCFF!$C$27)*(1-DCF_FCFF!$C$28)/((DCF_FCFF!$C$25+$P196)-MIN(DCF_FCFF!$C$26+$Q196,(DCF_FCFF!$C$25+$P196)-0.02)))*(1+(DCF_FCFF!$C$25+$P196))^(-(Inputs!$C$9+9))</f>
        <v>26301.503954962354</v>
      </c>
      <c r="AC196" s="17">
        <f>SUMPRODUCT(R196:AA196*(1+(DCF_FCFF!$C$25+$P196))^(-Scenario_DT!$I$17:$R$17))+AB196</f>
        <v>41646.610763432698</v>
      </c>
      <c r="AD196" s="68">
        <f>((AC196-DCF_FCFF!$C$48)*(1-DCF_FCFF!$C$50)+DCF_FCFF!$C$57+DCF_FCFF!$C$58)/DCF_FCFF!$C$60</f>
        <v>303.31174659264286</v>
      </c>
      <c r="AE196" s="6"/>
      <c r="AF196" s="6"/>
      <c r="AG196" s="6"/>
    </row>
    <row r="197" spans="1:33" x14ac:dyDescent="0.3">
      <c r="A197" s="6"/>
      <c r="B197" s="72">
        <v>166</v>
      </c>
      <c r="C197" s="73">
        <v>1.81605439143641E-2</v>
      </c>
      <c r="D197" s="73">
        <v>0.59571377468572695</v>
      </c>
      <c r="E197" s="73">
        <v>0.231280539686852</v>
      </c>
      <c r="F197" s="73">
        <v>0.87388849790380096</v>
      </c>
      <c r="G197" s="73">
        <v>0.25366450656182898</v>
      </c>
      <c r="H197" s="15">
        <f t="shared" si="21"/>
        <v>-2.0933145143701037</v>
      </c>
      <c r="I197" s="15">
        <f t="shared" si="22"/>
        <v>0.24226807350086657</v>
      </c>
      <c r="J197" s="15">
        <f t="shared" si="23"/>
        <v>-0.73463620970797971</v>
      </c>
      <c r="K197" s="15">
        <f t="shared" si="24"/>
        <v>1.1449665737982413</v>
      </c>
      <c r="L197" s="15">
        <f t="shared" si="25"/>
        <v>-0.66300240602998428</v>
      </c>
      <c r="M197" s="18">
        <f t="shared" si="26"/>
        <v>-4.1866290287402075E-2</v>
      </c>
      <c r="N197" s="18">
        <f t="shared" si="27"/>
        <v>-6.6947756080590866E-3</v>
      </c>
      <c r="O197" s="18">
        <f t="shared" si="28"/>
        <v>-8.8156345164957569E-3</v>
      </c>
      <c r="P197" s="18">
        <f t="shared" si="29"/>
        <v>6.8697994427894477E-3</v>
      </c>
      <c r="Q197" s="18">
        <f t="shared" si="30"/>
        <v>-2.652009624119937E-3</v>
      </c>
      <c r="R197" s="28">
        <f>((Scenario_DT!I$11*(IF(Scenario_DT!I$18=1,1,1+$M197/Scenario_DT!$C$19)*(1+$N197)^MAX(0,Scenario_DT!I$18-3))*(Scenario_DT!I$12+$O197)-Scenario_DT!I$13)*(1-Scenario_DT!I$14)+Scenario_DT!I$13-Scenario_DT!I$15)*Scenario_DT!I$16</f>
        <v>898.55544157328188</v>
      </c>
      <c r="S197" s="28">
        <f>((Scenario_DT!J$11*(IF(Scenario_DT!J$18=1,1,1+$M197/Scenario_DT!$C$19)*(1+$N197)^MAX(0,Scenario_DT!J$18-3))*(Scenario_DT!J$12+$O197)-Scenario_DT!J$13)*(1-Scenario_DT!J$14)+Scenario_DT!J$13-Scenario_DT!J$15)*Scenario_DT!J$16</f>
        <v>1705.409013411032</v>
      </c>
      <c r="T197" s="28">
        <f>((Scenario_DT!K$11*(IF(Scenario_DT!K$18=1,1,1+$M197/Scenario_DT!$C$19)*(1+$N197)^MAX(0,Scenario_DT!K$18-3))*(Scenario_DT!K$12+$O197)-Scenario_DT!K$13)*(1-Scenario_DT!K$14)+Scenario_DT!K$13-Scenario_DT!K$15)*Scenario_DT!K$16</f>
        <v>1963.9747290340824</v>
      </c>
      <c r="U197" s="28">
        <f>((Scenario_DT!L$11*(IF(Scenario_DT!L$18=1,1,1+$M197/Scenario_DT!$C$19)*(1+$N197)^MAX(0,Scenario_DT!L$18-3))*(Scenario_DT!L$12+$O197)-Scenario_DT!L$13)*(1-Scenario_DT!L$14)+Scenario_DT!L$13-Scenario_DT!L$15)*Scenario_DT!L$16</f>
        <v>2340.9259731829516</v>
      </c>
      <c r="V197" s="28">
        <f>((Scenario_DT!M$11*(IF(Scenario_DT!M$18=1,1,1+$M197/Scenario_DT!$C$19)*(1+$N197)^MAX(0,Scenario_DT!M$18-3))*(Scenario_DT!M$12+$O197)-Scenario_DT!M$13)*(1-Scenario_DT!M$14)+Scenario_DT!M$13-Scenario_DT!M$15)*Scenario_DT!M$16</f>
        <v>2440.6766470339512</v>
      </c>
      <c r="W197" s="28">
        <f>((Scenario_DT!N$11*(IF(Scenario_DT!N$18=1,1,1+$M197/Scenario_DT!$C$19)*(1+$N197)^MAX(0,Scenario_DT!N$18-3))*(Scenario_DT!N$12+$O197)-Scenario_DT!N$13)*(1-Scenario_DT!N$14)+Scenario_DT!N$13-Scenario_DT!N$15)*Scenario_DT!N$16</f>
        <v>2544.6595972909226</v>
      </c>
      <c r="X197" s="28">
        <f>((Scenario_DT!O$11*(IF(Scenario_DT!O$18=1,1,1+$M197/Scenario_DT!$C$19)*(1+$N197)^MAX(0,Scenario_DT!O$18-3))*(Scenario_DT!O$12+$O197)-Scenario_DT!O$13)*(1-Scenario_DT!O$14)+Scenario_DT!O$13-Scenario_DT!O$15)*Scenario_DT!O$16</f>
        <v>2653.0560407014977</v>
      </c>
      <c r="Y197" s="28">
        <f>((Scenario_DT!P$11*(IF(Scenario_DT!P$18=1,1,1+$M197/Scenario_DT!$C$19)*(1+$N197)^MAX(0,Scenario_DT!P$18-3))*(Scenario_DT!P$12+$O197)-Scenario_DT!P$13)*(1-Scenario_DT!P$14)+Scenario_DT!P$13-Scenario_DT!P$15)*Scenario_DT!P$16</f>
        <v>2766.0549705337494</v>
      </c>
      <c r="Z197" s="28">
        <f>((Scenario_DT!Q$11*(IF(Scenario_DT!Q$18=1,1,1+$M197/Scenario_DT!$C$19)*(1+$N197)^MAX(0,Scenario_DT!Q$18-3))*(Scenario_DT!Q$12+$O197)-Scenario_DT!Q$13)*(1-Scenario_DT!Q$14)+Scenario_DT!Q$13-Scenario_DT!Q$15)*Scenario_DT!Q$16</f>
        <v>2883.8534904912922</v>
      </c>
      <c r="AA197" s="28">
        <f>((Scenario_DT!R$11*(IF(Scenario_DT!R$18=1,1,1+$M197/Scenario_DT!$C$19)*(1+$N197)^MAX(0,Scenario_DT!R$18-3))*(Scenario_DT!R$12+$O197)-Scenario_DT!R$13)*(1-Scenario_DT!R$14)+Scenario_DT!R$13-Scenario_DT!R$15)*Scenario_DT!R$16</f>
        <v>3006.6571629699542</v>
      </c>
      <c r="AB197" s="17">
        <f>(Scenario_DT!$R$11*(1+$M197/Scenario_DT!$C$19)*(1+$N197)^7*(Scenario_DT!$R$12+$O197)*(1+MIN(DCF_FCFF!$C$26+$Q197,(DCF_FCFF!$C$25+$P197)-0.02))*(1-DCF_FCFF!$C$27)*(1-DCF_FCFF!$C$28)/((DCF_FCFF!$C$25+$P197)-MIN(DCF_FCFF!$C$26+$Q197,(DCF_FCFF!$C$25+$P197)-0.02)))*(1+(DCF_FCFF!$C$25+$P197))^(-(Inputs!$C$9+9))</f>
        <v>20066.71583364734</v>
      </c>
      <c r="AC197" s="17">
        <f>SUMPRODUCT(R197:AA197*(1+(DCF_FCFF!$C$25+$P197))^(-Scenario_DT!$I$17:$R$17))+AB197</f>
        <v>34864.647278867466</v>
      </c>
      <c r="AD197" s="68">
        <f>((AC197-DCF_FCFF!$C$48)*(1-DCF_FCFF!$C$50)+DCF_FCFF!$C$57+DCF_FCFF!$C$58)/DCF_FCFF!$C$60</f>
        <v>238.21324931253341</v>
      </c>
      <c r="AE197" s="6"/>
      <c r="AF197" s="6"/>
      <c r="AG197" s="6"/>
    </row>
    <row r="198" spans="1:33" x14ac:dyDescent="0.3">
      <c r="A198" s="6"/>
      <c r="B198" s="72">
        <v>167</v>
      </c>
      <c r="C198" s="73">
        <v>0.61077013323541796</v>
      </c>
      <c r="D198" s="73">
        <v>0.55354084008961202</v>
      </c>
      <c r="E198" s="73">
        <v>0.39616650005924903</v>
      </c>
      <c r="F198" s="73">
        <v>0.67762076359979395</v>
      </c>
      <c r="G198" s="73">
        <v>0.72576963471543399</v>
      </c>
      <c r="H198" s="15">
        <f t="shared" si="21"/>
        <v>0.28132683007001569</v>
      </c>
      <c r="I198" s="15">
        <f t="shared" si="22"/>
        <v>0.13461242181063704</v>
      </c>
      <c r="J198" s="15">
        <f t="shared" si="23"/>
        <v>-0.26328230130976316</v>
      </c>
      <c r="K198" s="15">
        <f t="shared" si="24"/>
        <v>0.46105593813197121</v>
      </c>
      <c r="L198" s="15">
        <f t="shared" si="25"/>
        <v>0.60006828106748356</v>
      </c>
      <c r="M198" s="18">
        <f t="shared" si="26"/>
        <v>5.6265366014003138E-3</v>
      </c>
      <c r="N198" s="18">
        <f t="shared" si="27"/>
        <v>2.0579295359037277E-3</v>
      </c>
      <c r="O198" s="18">
        <f t="shared" si="28"/>
        <v>-3.1593876157171579E-3</v>
      </c>
      <c r="P198" s="18">
        <f t="shared" si="29"/>
        <v>2.7663356287918272E-3</v>
      </c>
      <c r="Q198" s="18">
        <f t="shared" si="30"/>
        <v>2.4002731242699343E-3</v>
      </c>
      <c r="R198" s="28">
        <f>((Scenario_DT!I$11*(IF(Scenario_DT!I$18=1,1,1+$M198/Scenario_DT!$C$19)*(1+$N198)^MAX(0,Scenario_DT!I$18-3))*(Scenario_DT!I$12+$O198)-Scenario_DT!I$13)*(1-Scenario_DT!I$14)+Scenario_DT!I$13-Scenario_DT!I$15)*Scenario_DT!I$16</f>
        <v>906.53014099820416</v>
      </c>
      <c r="S198" s="28">
        <f>((Scenario_DT!J$11*(IF(Scenario_DT!J$18=1,1,1+$M198/Scenario_DT!$C$19)*(1+$N198)^MAX(0,Scenario_DT!J$18-3))*(Scenario_DT!J$12+$O198)-Scenario_DT!J$13)*(1-Scenario_DT!J$14)+Scenario_DT!J$13-Scenario_DT!J$15)*Scenario_DT!J$16</f>
        <v>1835.514181801163</v>
      </c>
      <c r="T198" s="28">
        <f>((Scenario_DT!K$11*(IF(Scenario_DT!K$18=1,1,1+$M198/Scenario_DT!$C$19)*(1+$N198)^MAX(0,Scenario_DT!K$18-3))*(Scenario_DT!K$12+$O198)-Scenario_DT!K$13)*(1-Scenario_DT!K$14)+Scenario_DT!K$13-Scenario_DT!K$15)*Scenario_DT!K$16</f>
        <v>2100.4211543638253</v>
      </c>
      <c r="U198" s="28">
        <f>((Scenario_DT!L$11*(IF(Scenario_DT!L$18=1,1,1+$M198/Scenario_DT!$C$19)*(1+$N198)^MAX(0,Scenario_DT!L$18-3))*(Scenario_DT!L$12+$O198)-Scenario_DT!L$13)*(1-Scenario_DT!L$14)+Scenario_DT!L$13-Scenario_DT!L$15)*Scenario_DT!L$16</f>
        <v>2506.8760247927389</v>
      </c>
      <c r="V198" s="28">
        <f>((Scenario_DT!M$11*(IF(Scenario_DT!M$18=1,1,1+$M198/Scenario_DT!$C$19)*(1+$N198)^MAX(0,Scenario_DT!M$18-3))*(Scenario_DT!M$12+$O198)-Scenario_DT!M$13)*(1-Scenario_DT!M$14)+Scenario_DT!M$13-Scenario_DT!M$15)*Scenario_DT!M$16</f>
        <v>2636.9517828459043</v>
      </c>
      <c r="W198" s="28">
        <f>((Scenario_DT!N$11*(IF(Scenario_DT!N$18=1,1,1+$M198/Scenario_DT!$C$19)*(1+$N198)^MAX(0,Scenario_DT!N$18-3))*(Scenario_DT!N$12+$O198)-Scenario_DT!N$13)*(1-Scenario_DT!N$14)+Scenario_DT!N$13-Scenario_DT!N$15)*Scenario_DT!N$16</f>
        <v>2773.7727258735058</v>
      </c>
      <c r="X198" s="28">
        <f>((Scenario_DT!O$11*(IF(Scenario_DT!O$18=1,1,1+$M198/Scenario_DT!$C$19)*(1+$N198)^MAX(0,Scenario_DT!O$18-3))*(Scenario_DT!O$12+$O198)-Scenario_DT!O$13)*(1-Scenario_DT!O$14)+Scenario_DT!O$13-Scenario_DT!O$15)*Scenario_DT!O$16</f>
        <v>2917.6911569946365</v>
      </c>
      <c r="Y198" s="28">
        <f>((Scenario_DT!P$11*(IF(Scenario_DT!P$18=1,1,1+$M198/Scenario_DT!$C$19)*(1+$N198)^MAX(0,Scenario_DT!P$18-3))*(Scenario_DT!P$12+$O198)-Scenario_DT!P$13)*(1-Scenario_DT!P$14)+Scenario_DT!P$13-Scenario_DT!P$15)*Scenario_DT!P$16</f>
        <v>3069.0777991467371</v>
      </c>
      <c r="Z198" s="28">
        <f>((Scenario_DT!Q$11*(IF(Scenario_DT!Q$18=1,1,1+$M198/Scenario_DT!$C$19)*(1+$N198)^MAX(0,Scenario_DT!Q$18-3))*(Scenario_DT!Q$12+$O198)-Scenario_DT!Q$13)*(1-Scenario_DT!Q$14)+Scenario_DT!Q$13-Scenario_DT!Q$15)*Scenario_DT!Q$16</f>
        <v>3228.3227580426928</v>
      </c>
      <c r="AA198" s="28">
        <f>((Scenario_DT!R$11*(IF(Scenario_DT!R$18=1,1,1+$M198/Scenario_DT!$C$19)*(1+$N198)^MAX(0,Scenario_DT!R$18-3))*(Scenario_DT!R$12+$O198)-Scenario_DT!R$13)*(1-Scenario_DT!R$14)+Scenario_DT!R$13-Scenario_DT!R$15)*Scenario_DT!R$16</f>
        <v>3395.8365354554558</v>
      </c>
      <c r="AB198" s="17">
        <f>(Scenario_DT!$R$11*(1+$M198/Scenario_DT!$C$19)*(1+$N198)^7*(Scenario_DT!$R$12+$O198)*(1+MIN(DCF_FCFF!$C$26+$Q198,(DCF_FCFF!$C$25+$P198)-0.02))*(1-DCF_FCFF!$C$27)*(1-DCF_FCFF!$C$28)/((DCF_FCFF!$C$25+$P198)-MIN(DCF_FCFF!$C$26+$Q198,(DCF_FCFF!$C$25+$P198)-0.02)))*(1+(DCF_FCFF!$C$25+$P198))^(-(Inputs!$C$9+9))</f>
        <v>27823.546654709964</v>
      </c>
      <c r="AC198" s="17">
        <f>SUMPRODUCT(R198:AA198*(1+(DCF_FCFF!$C$25+$P198))^(-Scenario_DT!$I$17:$R$17))+AB198</f>
        <v>44191.230439214443</v>
      </c>
      <c r="AD198" s="68">
        <f>((AC198-DCF_FCFF!$C$48)*(1-DCF_FCFF!$C$50)+DCF_FCFF!$C$57+DCF_FCFF!$C$58)/DCF_FCFF!$C$60</f>
        <v>327.7369617120973</v>
      </c>
      <c r="AE198" s="6"/>
      <c r="AF198" s="6"/>
      <c r="AG198" s="6"/>
    </row>
    <row r="199" spans="1:33" x14ac:dyDescent="0.3">
      <c r="A199" s="6"/>
      <c r="B199" s="72">
        <v>168</v>
      </c>
      <c r="C199" s="73">
        <v>0.56693779531938704</v>
      </c>
      <c r="D199" s="73">
        <v>0.75842223718475399</v>
      </c>
      <c r="E199" s="73">
        <v>0.98341707599293804</v>
      </c>
      <c r="F199" s="73">
        <v>0.41927238790080501</v>
      </c>
      <c r="G199" s="73">
        <v>0.514583051885531</v>
      </c>
      <c r="H199" s="15">
        <f t="shared" si="21"/>
        <v>0.16858330997647522</v>
      </c>
      <c r="I199" s="15">
        <f t="shared" si="22"/>
        <v>0.70123635436614251</v>
      </c>
      <c r="J199" s="15">
        <f t="shared" si="23"/>
        <v>2.1300698382691845</v>
      </c>
      <c r="K199" s="15">
        <f t="shared" si="24"/>
        <v>-0.20375523551365199</v>
      </c>
      <c r="L199" s="15">
        <f t="shared" si="25"/>
        <v>3.6562434734808219E-2</v>
      </c>
      <c r="M199" s="18">
        <f t="shared" si="26"/>
        <v>3.3716661995295046E-3</v>
      </c>
      <c r="N199" s="18">
        <f t="shared" si="27"/>
        <v>5.5326412154120316E-3</v>
      </c>
      <c r="O199" s="18">
        <f t="shared" si="28"/>
        <v>2.5560838059230213E-2</v>
      </c>
      <c r="P199" s="18">
        <f t="shared" si="29"/>
        <v>-1.222531413081912E-3</v>
      </c>
      <c r="Q199" s="18">
        <f t="shared" si="30"/>
        <v>1.4624973893923287E-4</v>
      </c>
      <c r="R199" s="28">
        <f>((Scenario_DT!I$11*(IF(Scenario_DT!I$18=1,1,1+$M199/Scenario_DT!$C$19)*(1+$N199)^MAX(0,Scenario_DT!I$18-3))*(Scenario_DT!I$12+$O199)-Scenario_DT!I$13)*(1-Scenario_DT!I$14)+Scenario_DT!I$13-Scenario_DT!I$15)*Scenario_DT!I$16</f>
        <v>947.02256843133534</v>
      </c>
      <c r="S199" s="28">
        <f>((Scenario_DT!J$11*(IF(Scenario_DT!J$18=1,1,1+$M199/Scenario_DT!$C$19)*(1+$N199)^MAX(0,Scenario_DT!J$18-3))*(Scenario_DT!J$12+$O199)-Scenario_DT!J$13)*(1-Scenario_DT!J$14)+Scenario_DT!J$13-Scenario_DT!J$15)*Scenario_DT!J$16</f>
        <v>1919.7089092835972</v>
      </c>
      <c r="T199" s="28">
        <f>((Scenario_DT!K$11*(IF(Scenario_DT!K$18=1,1,1+$M199/Scenario_DT!$C$19)*(1+$N199)^MAX(0,Scenario_DT!K$18-3))*(Scenario_DT!K$12+$O199)-Scenario_DT!K$13)*(1-Scenario_DT!K$14)+Scenario_DT!K$13-Scenario_DT!K$15)*Scenario_DT!K$16</f>
        <v>2187.5978053034714</v>
      </c>
      <c r="U199" s="28">
        <f>((Scenario_DT!L$11*(IF(Scenario_DT!L$18=1,1,1+$M199/Scenario_DT!$C$19)*(1+$N199)^MAX(0,Scenario_DT!L$18-3))*(Scenario_DT!L$12+$O199)-Scenario_DT!L$13)*(1-Scenario_DT!L$14)+Scenario_DT!L$13-Scenario_DT!L$15)*Scenario_DT!L$16</f>
        <v>2608.7016004941088</v>
      </c>
      <c r="V199" s="28">
        <f>((Scenario_DT!M$11*(IF(Scenario_DT!M$18=1,1,1+$M199/Scenario_DT!$C$19)*(1+$N199)^MAX(0,Scenario_DT!M$18-3))*(Scenario_DT!M$12+$O199)-Scenario_DT!M$13)*(1-Scenario_DT!M$14)+Scenario_DT!M$13-Scenario_DT!M$15)*Scenario_DT!M$16</f>
        <v>2753.6679420081991</v>
      </c>
      <c r="W199" s="28">
        <f>((Scenario_DT!N$11*(IF(Scenario_DT!N$18=1,1,1+$M199/Scenario_DT!$C$19)*(1+$N199)^MAX(0,Scenario_DT!N$18-3))*(Scenario_DT!N$12+$O199)-Scenario_DT!N$13)*(1-Scenario_DT!N$14)+Scenario_DT!N$13-Scenario_DT!N$15)*Scenario_DT!N$16</f>
        <v>2906.6907861357718</v>
      </c>
      <c r="X199" s="28">
        <f>((Scenario_DT!O$11*(IF(Scenario_DT!O$18=1,1,1+$M199/Scenario_DT!$C$19)*(1+$N199)^MAX(0,Scenario_DT!O$18-3))*(Scenario_DT!O$12+$O199)-Scenario_DT!O$13)*(1-Scenario_DT!O$14)+Scenario_DT!O$13-Scenario_DT!O$15)*Scenario_DT!O$16</f>
        <v>3068.2206717425793</v>
      </c>
      <c r="Y199" s="28">
        <f>((Scenario_DT!P$11*(IF(Scenario_DT!P$18=1,1,1+$M199/Scenario_DT!$C$19)*(1+$N199)^MAX(0,Scenario_DT!P$18-3))*(Scenario_DT!P$12+$O199)-Scenario_DT!P$13)*(1-Scenario_DT!P$14)+Scenario_DT!P$13-Scenario_DT!P$15)*Scenario_DT!P$16</f>
        <v>3238.7333467146059</v>
      </c>
      <c r="Z199" s="28">
        <f>((Scenario_DT!Q$11*(IF(Scenario_DT!Q$18=1,1,1+$M199/Scenario_DT!$C$19)*(1+$N199)^MAX(0,Scenario_DT!Q$18-3))*(Scenario_DT!Q$12+$O199)-Scenario_DT!Q$13)*(1-Scenario_DT!Q$14)+Scenario_DT!Q$13-Scenario_DT!Q$15)*Scenario_DT!Q$16</f>
        <v>3418.7311779760353</v>
      </c>
      <c r="AA199" s="28">
        <f>((Scenario_DT!R$11*(IF(Scenario_DT!R$18=1,1,1+$M199/Scenario_DT!$C$19)*(1+$N199)^MAX(0,Scenario_DT!R$18-3))*(Scenario_DT!R$12+$O199)-Scenario_DT!R$13)*(1-Scenario_DT!R$14)+Scenario_DT!R$13-Scenario_DT!R$15)*Scenario_DT!R$16</f>
        <v>3608.7446403401841</v>
      </c>
      <c r="AB199" s="17">
        <f>(Scenario_DT!$R$11*(1+$M199/Scenario_DT!$C$19)*(1+$N199)^7*(Scenario_DT!$R$12+$O199)*(1+MIN(DCF_FCFF!$C$26+$Q199,(DCF_FCFF!$C$25+$P199)-0.02))*(1-DCF_FCFF!$C$27)*(1-DCF_FCFF!$C$28)/((DCF_FCFF!$C$25+$P199)-MIN(DCF_FCFF!$C$26+$Q199,(DCF_FCFF!$C$25+$P199)-0.02)))*(1+(DCF_FCFF!$C$25+$P199))^(-(Inputs!$C$9+9))</f>
        <v>31608.853599309448</v>
      </c>
      <c r="AC199" s="17">
        <f>SUMPRODUCT(R199:AA199*(1+(DCF_FCFF!$C$25+$P199))^(-Scenario_DT!$I$17:$R$17))+AB199</f>
        <v>49074.177154210105</v>
      </c>
      <c r="AD199" s="68">
        <f>((AC199-DCF_FCFF!$C$48)*(1-DCF_FCFF!$C$50)+DCF_FCFF!$C$57+DCF_FCFF!$C$58)/DCF_FCFF!$C$60</f>
        <v>374.60723669492432</v>
      </c>
      <c r="AE199" s="6"/>
      <c r="AF199" s="6"/>
      <c r="AG199" s="6"/>
    </row>
    <row r="200" spans="1:33" x14ac:dyDescent="0.3">
      <c r="A200" s="6"/>
      <c r="B200" s="72">
        <v>169</v>
      </c>
      <c r="C200" s="73">
        <v>1.24698779412132E-2</v>
      </c>
      <c r="D200" s="73">
        <v>0.79602855631037805</v>
      </c>
      <c r="E200" s="73">
        <v>0.52023006704599395</v>
      </c>
      <c r="F200" s="73">
        <v>0.40796143036056498</v>
      </c>
      <c r="G200" s="73">
        <v>9.4071963089395805E-2</v>
      </c>
      <c r="H200" s="15">
        <f t="shared" si="21"/>
        <v>-2.2423345886227737</v>
      </c>
      <c r="I200" s="15">
        <f t="shared" si="22"/>
        <v>0.82751912376487069</v>
      </c>
      <c r="J200" s="15">
        <f t="shared" si="23"/>
        <v>5.0731010177753784E-2</v>
      </c>
      <c r="K200" s="15">
        <f t="shared" si="24"/>
        <v>-0.23279208323910602</v>
      </c>
      <c r="L200" s="15">
        <f t="shared" si="25"/>
        <v>-1.3160897341378184</v>
      </c>
      <c r="M200" s="18">
        <f t="shared" si="26"/>
        <v>-4.4846691772455476E-2</v>
      </c>
      <c r="N200" s="18">
        <f t="shared" si="27"/>
        <v>-3.2361176881085586E-3</v>
      </c>
      <c r="O200" s="18">
        <f t="shared" si="28"/>
        <v>6.0877212213304537E-4</v>
      </c>
      <c r="P200" s="18">
        <f t="shared" si="29"/>
        <v>-1.3967524994346362E-3</v>
      </c>
      <c r="Q200" s="18">
        <f t="shared" si="30"/>
        <v>-5.2643589365512734E-3</v>
      </c>
      <c r="R200" s="28">
        <f>((Scenario_DT!I$11*(IF(Scenario_DT!I$18=1,1,1+$M200/Scenario_DT!$C$19)*(1+$N200)^MAX(0,Scenario_DT!I$18-3))*(Scenario_DT!I$12+$O200)-Scenario_DT!I$13)*(1-Scenario_DT!I$14)+Scenario_DT!I$13-Scenario_DT!I$15)*Scenario_DT!I$16</f>
        <v>911.84284071262334</v>
      </c>
      <c r="S200" s="28">
        <f>((Scenario_DT!J$11*(IF(Scenario_DT!J$18=1,1,1+$M200/Scenario_DT!$C$19)*(1+$N200)^MAX(0,Scenario_DT!J$18-3))*(Scenario_DT!J$12+$O200)-Scenario_DT!J$13)*(1-Scenario_DT!J$14)+Scenario_DT!J$13-Scenario_DT!J$15)*Scenario_DT!J$16</f>
        <v>1726.2462071457194</v>
      </c>
      <c r="T200" s="28">
        <f>((Scenario_DT!K$11*(IF(Scenario_DT!K$18=1,1,1+$M200/Scenario_DT!$C$19)*(1+$N200)^MAX(0,Scenario_DT!K$18-3))*(Scenario_DT!K$12+$O200)-Scenario_DT!K$13)*(1-Scenario_DT!K$14)+Scenario_DT!K$13-Scenario_DT!K$15)*Scenario_DT!K$16</f>
        <v>1985.4675489019346</v>
      </c>
      <c r="U200" s="28">
        <f>((Scenario_DT!L$11*(IF(Scenario_DT!L$18=1,1,1+$M200/Scenario_DT!$C$19)*(1+$N200)^MAX(0,Scenario_DT!L$18-3))*(Scenario_DT!L$12+$O200)-Scenario_DT!L$13)*(1-Scenario_DT!L$14)+Scenario_DT!L$13-Scenario_DT!L$15)*Scenario_DT!L$16</f>
        <v>2371.8824947638905</v>
      </c>
      <c r="V200" s="28">
        <f>((Scenario_DT!M$11*(IF(Scenario_DT!M$18=1,1,1+$M200/Scenario_DT!$C$19)*(1+$N200)^MAX(0,Scenario_DT!M$18-3))*(Scenario_DT!M$12+$O200)-Scenario_DT!M$13)*(1-Scenario_DT!M$14)+Scenario_DT!M$13-Scenario_DT!M$15)*Scenario_DT!M$16</f>
        <v>2481.6383747215946</v>
      </c>
      <c r="W200" s="28">
        <f>((Scenario_DT!N$11*(IF(Scenario_DT!N$18=1,1,1+$M200/Scenario_DT!$C$19)*(1+$N200)^MAX(0,Scenario_DT!N$18-3))*(Scenario_DT!N$12+$O200)-Scenario_DT!N$13)*(1-Scenario_DT!N$14)+Scenario_DT!N$13-Scenario_DT!N$15)*Scenario_DT!N$16</f>
        <v>2596.4607321666208</v>
      </c>
      <c r="X200" s="28">
        <f>((Scenario_DT!O$11*(IF(Scenario_DT!O$18=1,1,1+$M200/Scenario_DT!$C$19)*(1+$N200)^MAX(0,Scenario_DT!O$18-3))*(Scenario_DT!O$12+$O200)-Scenario_DT!O$13)*(1-Scenario_DT!O$14)+Scenario_DT!O$13-Scenario_DT!O$15)*Scenario_DT!O$16</f>
        <v>2716.585469810866</v>
      </c>
      <c r="Y200" s="28">
        <f>((Scenario_DT!P$11*(IF(Scenario_DT!P$18=1,1,1+$M200/Scenario_DT!$C$19)*(1+$N200)^MAX(0,Scenario_DT!P$18-3))*(Scenario_DT!P$12+$O200)-Scenario_DT!P$13)*(1-Scenario_DT!P$14)+Scenario_DT!P$13-Scenario_DT!P$15)*Scenario_DT!P$16</f>
        <v>2842.2594947493722</v>
      </c>
      <c r="Z200" s="28">
        <f>((Scenario_DT!Q$11*(IF(Scenario_DT!Q$18=1,1,1+$M200/Scenario_DT!$C$19)*(1+$N200)^MAX(0,Scenario_DT!Q$18-3))*(Scenario_DT!Q$12+$O200)-Scenario_DT!Q$13)*(1-Scenario_DT!Q$14)+Scenario_DT!Q$13-Scenario_DT!Q$15)*Scenario_DT!Q$16</f>
        <v>2973.7412319939604</v>
      </c>
      <c r="AA200" s="28">
        <f>((Scenario_DT!R$11*(IF(Scenario_DT!R$18=1,1,1+$M200/Scenario_DT!$C$19)*(1+$N200)^MAX(0,Scenario_DT!R$18-3))*(Scenario_DT!R$12+$O200)-Scenario_DT!R$13)*(1-Scenario_DT!R$14)+Scenario_DT!R$13-Scenario_DT!R$15)*Scenario_DT!R$16</f>
        <v>3111.3011619734802</v>
      </c>
      <c r="AB200" s="17">
        <f>(Scenario_DT!$R$11*(1+$M200/Scenario_DT!$C$19)*(1+$N200)^7*(Scenario_DT!$R$12+$O200)*(1+MIN(DCF_FCFF!$C$26+$Q200,(DCF_FCFF!$C$25+$P200)-0.02))*(1-DCF_FCFF!$C$27)*(1-DCF_FCFF!$C$28)/((DCF_FCFF!$C$25+$P200)-MIN(DCF_FCFF!$C$26+$Q200,(DCF_FCFF!$C$25+$P200)-0.02)))*(1+(DCF_FCFF!$C$25+$P200))^(-(Inputs!$C$9+9))</f>
        <v>24561.547123940116</v>
      </c>
      <c r="AC200" s="17">
        <f>SUMPRODUCT(R200:AA200*(1+(DCF_FCFF!$C$25+$P200))^(-Scenario_DT!$I$17:$R$17))+AB200</f>
        <v>40188.469688358913</v>
      </c>
      <c r="AD200" s="68">
        <f>((AC200-DCF_FCFF!$C$48)*(1-DCF_FCFF!$C$50)+DCF_FCFF!$C$57+DCF_FCFF!$C$58)/DCF_FCFF!$C$60</f>
        <v>289.31538801216135</v>
      </c>
      <c r="AE200" s="6"/>
      <c r="AF200" s="6"/>
      <c r="AG200" s="6"/>
    </row>
    <row r="201" spans="1:33" x14ac:dyDescent="0.3">
      <c r="A201" s="6"/>
      <c r="B201" s="72">
        <v>170</v>
      </c>
      <c r="C201" s="73">
        <v>0.88965642167539705</v>
      </c>
      <c r="D201" s="73">
        <v>0.39500724004055598</v>
      </c>
      <c r="E201" s="73">
        <v>0.68258159820922004</v>
      </c>
      <c r="F201" s="73">
        <v>0.14937415636815099</v>
      </c>
      <c r="G201" s="73">
        <v>0.96154962954103296</v>
      </c>
      <c r="H201" s="15">
        <f t="shared" si="21"/>
        <v>1.2247029648478489</v>
      </c>
      <c r="I201" s="15">
        <f t="shared" si="22"/>
        <v>-0.26629181007101926</v>
      </c>
      <c r="J201" s="15">
        <f t="shared" si="23"/>
        <v>0.4749300898767661</v>
      </c>
      <c r="K201" s="15">
        <f t="shared" si="24"/>
        <v>-1.0391213284292842</v>
      </c>
      <c r="L201" s="15">
        <f t="shared" si="25"/>
        <v>1.7689588565188514</v>
      </c>
      <c r="M201" s="18">
        <f t="shared" si="26"/>
        <v>2.4494059296956978E-2</v>
      </c>
      <c r="N201" s="18">
        <f t="shared" si="27"/>
        <v>3.0538880806614478E-3</v>
      </c>
      <c r="O201" s="18">
        <f t="shared" si="28"/>
        <v>5.6991610785211934E-3</v>
      </c>
      <c r="P201" s="18">
        <f t="shared" si="29"/>
        <v>-6.2347279705757055E-3</v>
      </c>
      <c r="Q201" s="18">
        <f t="shared" si="30"/>
        <v>7.0758354260754058E-3</v>
      </c>
      <c r="R201" s="28">
        <f>((Scenario_DT!I$11*(IF(Scenario_DT!I$18=1,1,1+$M201/Scenario_DT!$C$19)*(1+$N201)^MAX(0,Scenario_DT!I$18-3))*(Scenario_DT!I$12+$O201)-Scenario_DT!I$13)*(1-Scenario_DT!I$14)+Scenario_DT!I$13-Scenario_DT!I$15)*Scenario_DT!I$16</f>
        <v>919.01974133157489</v>
      </c>
      <c r="S201" s="28">
        <f>((Scenario_DT!J$11*(IF(Scenario_DT!J$18=1,1,1+$M201/Scenario_DT!$C$19)*(1+$N201)^MAX(0,Scenario_DT!J$18-3))*(Scenario_DT!J$12+$O201)-Scenario_DT!J$13)*(1-Scenario_DT!J$14)+Scenario_DT!J$13-Scenario_DT!J$15)*Scenario_DT!J$16</f>
        <v>1908.7754587399581</v>
      </c>
      <c r="T201" s="28">
        <f>((Scenario_DT!K$11*(IF(Scenario_DT!K$18=1,1,1+$M201/Scenario_DT!$C$19)*(1+$N201)^MAX(0,Scenario_DT!K$18-3))*(Scenario_DT!K$12+$O201)-Scenario_DT!K$13)*(1-Scenario_DT!K$14)+Scenario_DT!K$13-Scenario_DT!K$15)*Scenario_DT!K$16</f>
        <v>2176.9853703615718</v>
      </c>
      <c r="U201" s="28">
        <f>((Scenario_DT!L$11*(IF(Scenario_DT!L$18=1,1,1+$M201/Scenario_DT!$C$19)*(1+$N201)^MAX(0,Scenario_DT!L$18-3))*(Scenario_DT!L$12+$O201)-Scenario_DT!L$13)*(1-Scenario_DT!L$14)+Scenario_DT!L$13-Scenario_DT!L$15)*Scenario_DT!L$16</f>
        <v>2590.9268027824628</v>
      </c>
      <c r="V201" s="28">
        <f>((Scenario_DT!M$11*(IF(Scenario_DT!M$18=1,1,1+$M201/Scenario_DT!$C$19)*(1+$N201)^MAX(0,Scenario_DT!M$18-3))*(Scenario_DT!M$12+$O201)-Scenario_DT!M$13)*(1-Scenario_DT!M$14)+Scenario_DT!M$13-Scenario_DT!M$15)*Scenario_DT!M$16</f>
        <v>2728.1138443294017</v>
      </c>
      <c r="W201" s="28">
        <f>((Scenario_DT!N$11*(IF(Scenario_DT!N$18=1,1,1+$M201/Scenario_DT!$C$19)*(1+$N201)^MAX(0,Scenario_DT!N$18-3))*(Scenario_DT!N$12+$O201)-Scenario_DT!N$13)*(1-Scenario_DT!N$14)+Scenario_DT!N$13-Scenario_DT!N$15)*Scenario_DT!N$16</f>
        <v>2872.5621022989822</v>
      </c>
      <c r="X201" s="28">
        <f>((Scenario_DT!O$11*(IF(Scenario_DT!O$18=1,1,1+$M201/Scenario_DT!$C$19)*(1+$N201)^MAX(0,Scenario_DT!O$18-3))*(Scenario_DT!O$12+$O201)-Scenario_DT!O$13)*(1-Scenario_DT!O$14)+Scenario_DT!O$13-Scenario_DT!O$15)*Scenario_DT!O$16</f>
        <v>3024.6585167666549</v>
      </c>
      <c r="Y201" s="28">
        <f>((Scenario_DT!P$11*(IF(Scenario_DT!P$18=1,1,1+$M201/Scenario_DT!$C$19)*(1+$N201)^MAX(0,Scenario_DT!P$18-3))*(Scenario_DT!P$12+$O201)-Scenario_DT!P$13)*(1-Scenario_DT!P$14)+Scenario_DT!P$13-Scenario_DT!P$15)*Scenario_DT!P$16</f>
        <v>3184.8106650908362</v>
      </c>
      <c r="Z201" s="28">
        <f>((Scenario_DT!Q$11*(IF(Scenario_DT!Q$18=1,1,1+$M201/Scenario_DT!$C$19)*(1+$N201)^MAX(0,Scenario_DT!Q$18-3))*(Scenario_DT!Q$12+$O201)-Scenario_DT!Q$13)*(1-Scenario_DT!Q$14)+Scenario_DT!Q$13-Scenario_DT!Q$15)*Scenario_DT!Q$16</f>
        <v>3353.4478623905802</v>
      </c>
      <c r="AA201" s="28">
        <f>((Scenario_DT!R$11*(IF(Scenario_DT!R$18=1,1,1+$M201/Scenario_DT!$C$19)*(1+$N201)^MAX(0,Scenario_DT!R$18-3))*(Scenario_DT!R$12+$O201)-Scenario_DT!R$13)*(1-Scenario_DT!R$14)+Scenario_DT!R$13-Scenario_DT!R$15)*Scenario_DT!R$16</f>
        <v>3531.0223206868445</v>
      </c>
      <c r="AB201" s="17">
        <f>(Scenario_DT!$R$11*(1+$M201/Scenario_DT!$C$19)*(1+$N201)^7*(Scenario_DT!$R$12+$O201)*(1+MIN(DCF_FCFF!$C$26+$Q201,(DCF_FCFF!$C$25+$P201)-0.02))*(1-DCF_FCFF!$C$27)*(1-DCF_FCFF!$C$28)/((DCF_FCFF!$C$25+$P201)-MIN(DCF_FCFF!$C$26+$Q201,(DCF_FCFF!$C$25+$P201)-0.02)))*(1+(DCF_FCFF!$C$25+$P201))^(-(Inputs!$C$9+9))</f>
        <v>43004.402754666335</v>
      </c>
      <c r="AC201" s="17">
        <f>SUMPRODUCT(R201:AA201*(1+(DCF_FCFF!$C$25+$P201))^(-Scenario_DT!$I$17:$R$17))+AB201</f>
        <v>60617.779127003494</v>
      </c>
      <c r="AD201" s="68">
        <f>((AC201-DCF_FCFF!$C$48)*(1-DCF_FCFF!$C$50)+DCF_FCFF!$C$57+DCF_FCFF!$C$58)/DCF_FCFF!$C$60</f>
        <v>485.41159937525958</v>
      </c>
      <c r="AE201" s="6"/>
      <c r="AF201" s="6"/>
      <c r="AG201" s="6"/>
    </row>
    <row r="202" spans="1:33" x14ac:dyDescent="0.3">
      <c r="A202" s="6"/>
      <c r="B202" s="72">
        <v>171</v>
      </c>
      <c r="C202" s="73">
        <v>0.178441761821831</v>
      </c>
      <c r="D202" s="73">
        <v>0.19954199289949001</v>
      </c>
      <c r="E202" s="73">
        <v>0.858982860557714</v>
      </c>
      <c r="F202" s="73">
        <v>0.91258274414193097</v>
      </c>
      <c r="G202" s="73">
        <v>0.212147407523301</v>
      </c>
      <c r="H202" s="15">
        <f t="shared" si="21"/>
        <v>-0.92131972913343663</v>
      </c>
      <c r="I202" s="15">
        <f t="shared" si="22"/>
        <v>-0.84325832371821563</v>
      </c>
      <c r="J202" s="15">
        <f t="shared" si="23"/>
        <v>1.0757607307296466</v>
      </c>
      <c r="K202" s="15">
        <f t="shared" si="24"/>
        <v>1.3568322691020396</v>
      </c>
      <c r="L202" s="15">
        <f t="shared" si="25"/>
        <v>-0.79899240653787229</v>
      </c>
      <c r="M202" s="18">
        <f t="shared" si="26"/>
        <v>-1.8426394582668731E-2</v>
      </c>
      <c r="N202" s="18">
        <f t="shared" si="27"/>
        <v>-9.5275439588749997E-3</v>
      </c>
      <c r="O202" s="18">
        <f t="shared" si="28"/>
        <v>1.2909128768755759E-2</v>
      </c>
      <c r="P202" s="18">
        <f t="shared" si="29"/>
        <v>8.140993614612237E-3</v>
      </c>
      <c r="Q202" s="18">
        <f t="shared" si="30"/>
        <v>-3.1959696261514891E-3</v>
      </c>
      <c r="R202" s="28">
        <f>((Scenario_DT!I$11*(IF(Scenario_DT!I$18=1,1,1+$M202/Scenario_DT!$C$19)*(1+$N202)^MAX(0,Scenario_DT!I$18-3))*(Scenario_DT!I$12+$O202)-Scenario_DT!I$13)*(1-Scenario_DT!I$14)+Scenario_DT!I$13-Scenario_DT!I$15)*Scenario_DT!I$16</f>
        <v>929.18501986372473</v>
      </c>
      <c r="S202" s="28">
        <f>((Scenario_DT!J$11*(IF(Scenario_DT!J$18=1,1,1+$M202/Scenario_DT!$C$19)*(1+$N202)^MAX(0,Scenario_DT!J$18-3))*(Scenario_DT!J$12+$O202)-Scenario_DT!J$13)*(1-Scenario_DT!J$14)+Scenario_DT!J$13-Scenario_DT!J$15)*Scenario_DT!J$16</f>
        <v>1827.0865763272673</v>
      </c>
      <c r="T202" s="28">
        <f>((Scenario_DT!K$11*(IF(Scenario_DT!K$18=1,1,1+$M202/Scenario_DT!$C$19)*(1+$N202)^MAX(0,Scenario_DT!K$18-3))*(Scenario_DT!K$12+$O202)-Scenario_DT!K$13)*(1-Scenario_DT!K$14)+Scenario_DT!K$13-Scenario_DT!K$15)*Scenario_DT!K$16</f>
        <v>2090.8695484668137</v>
      </c>
      <c r="U202" s="28">
        <f>((Scenario_DT!L$11*(IF(Scenario_DT!L$18=1,1,1+$M202/Scenario_DT!$C$19)*(1+$N202)^MAX(0,Scenario_DT!L$18-3))*(Scenario_DT!L$12+$O202)-Scenario_DT!L$13)*(1-Scenario_DT!L$14)+Scenario_DT!L$13-Scenario_DT!L$15)*Scenario_DT!L$16</f>
        <v>2467.65217305034</v>
      </c>
      <c r="V202" s="28">
        <f>((Scenario_DT!M$11*(IF(Scenario_DT!M$18=1,1,1+$M202/Scenario_DT!$C$19)*(1+$N202)^MAX(0,Scenario_DT!M$18-3))*(Scenario_DT!M$12+$O202)-Scenario_DT!M$13)*(1-Scenario_DT!M$14)+Scenario_DT!M$13-Scenario_DT!M$15)*Scenario_DT!M$16</f>
        <v>2565.4583391683836</v>
      </c>
      <c r="W202" s="28">
        <f>((Scenario_DT!N$11*(IF(Scenario_DT!N$18=1,1,1+$M202/Scenario_DT!$C$19)*(1+$N202)^MAX(0,Scenario_DT!N$18-3))*(Scenario_DT!N$12+$O202)-Scenario_DT!N$13)*(1-Scenario_DT!N$14)+Scenario_DT!N$13-Scenario_DT!N$15)*Scenario_DT!N$16</f>
        <v>2667.1176544649265</v>
      </c>
      <c r="X202" s="28">
        <f>((Scenario_DT!O$11*(IF(Scenario_DT!O$18=1,1,1+$M202/Scenario_DT!$C$19)*(1+$N202)^MAX(0,Scenario_DT!O$18-3))*(Scenario_DT!O$12+$O202)-Scenario_DT!O$13)*(1-Scenario_DT!O$14)+Scenario_DT!O$13-Scenario_DT!O$15)*Scenario_DT!O$16</f>
        <v>2772.7832227340687</v>
      </c>
      <c r="Y202" s="28">
        <f>((Scenario_DT!P$11*(IF(Scenario_DT!P$18=1,1,1+$M202/Scenario_DT!$C$19)*(1+$N202)^MAX(0,Scenario_DT!P$18-3))*(Scenario_DT!P$12+$O202)-Scenario_DT!P$13)*(1-Scenario_DT!P$14)+Scenario_DT!P$13-Scenario_DT!P$15)*Scenario_DT!P$16</f>
        <v>2882.6142434425442</v>
      </c>
      <c r="Z202" s="28">
        <f>((Scenario_DT!Q$11*(IF(Scenario_DT!Q$18=1,1,1+$M202/Scenario_DT!$C$19)*(1+$N202)^MAX(0,Scenario_DT!Q$18-3))*(Scenario_DT!Q$12+$O202)-Scenario_DT!Q$13)*(1-Scenario_DT!Q$14)+Scenario_DT!Q$13-Scenario_DT!Q$15)*Scenario_DT!Q$16</f>
        <v>2996.7762545070086</v>
      </c>
      <c r="AA202" s="28">
        <f>((Scenario_DT!R$11*(IF(Scenario_DT!R$18=1,1,1+$M202/Scenario_DT!$C$19)*(1+$N202)^MAX(0,Scenario_DT!R$18-3))*(Scenario_DT!R$12+$O202)-Scenario_DT!R$13)*(1-Scenario_DT!R$14)+Scenario_DT!R$13-Scenario_DT!R$15)*Scenario_DT!R$16</f>
        <v>3115.4413847402861</v>
      </c>
      <c r="AB202" s="17">
        <f>(Scenario_DT!$R$11*(1+$M202/Scenario_DT!$C$19)*(1+$N202)^7*(Scenario_DT!$R$12+$O202)*(1+MIN(DCF_FCFF!$C$26+$Q202,(DCF_FCFF!$C$25+$P202)-0.02))*(1-DCF_FCFF!$C$27)*(1-DCF_FCFF!$C$28)/((DCF_FCFF!$C$25+$P202)-MIN(DCF_FCFF!$C$26+$Q202,(DCF_FCFF!$C$25+$P202)-0.02)))*(1+(DCF_FCFF!$C$25+$P202))^(-(Inputs!$C$9+9))</f>
        <v>19944.345678689868</v>
      </c>
      <c r="AC202" s="17">
        <f>SUMPRODUCT(R202:AA202*(1+(DCF_FCFF!$C$25+$P202))^(-Scenario_DT!$I$17:$R$17))+AB202</f>
        <v>35399.229960081975</v>
      </c>
      <c r="AD202" s="68">
        <f>((AC202-DCF_FCFF!$C$48)*(1-DCF_FCFF!$C$50)+DCF_FCFF!$C$57+DCF_FCFF!$C$58)/DCF_FCFF!$C$60</f>
        <v>243.3445846991419</v>
      </c>
      <c r="AE202" s="6"/>
      <c r="AF202" s="6"/>
      <c r="AG202" s="6"/>
    </row>
    <row r="203" spans="1:33" x14ac:dyDescent="0.3">
      <c r="A203" s="6"/>
      <c r="B203" s="72">
        <v>172</v>
      </c>
      <c r="C203" s="73">
        <v>0.46980088817482801</v>
      </c>
      <c r="D203" s="73">
        <v>0.73349490456282995</v>
      </c>
      <c r="E203" s="73">
        <v>0.87836573381080196</v>
      </c>
      <c r="F203" s="73">
        <v>0.37905269503730499</v>
      </c>
      <c r="G203" s="73">
        <v>0.517019486849429</v>
      </c>
      <c r="H203" s="15">
        <f t="shared" si="21"/>
        <v>-7.5770386720961022E-2</v>
      </c>
      <c r="I203" s="15">
        <f t="shared" si="22"/>
        <v>0.62341751531088707</v>
      </c>
      <c r="J203" s="15">
        <f t="shared" si="23"/>
        <v>1.166855987742722</v>
      </c>
      <c r="K203" s="15">
        <f t="shared" si="24"/>
        <v>-0.30796969780918571</v>
      </c>
      <c r="L203" s="15">
        <f t="shared" si="25"/>
        <v>4.2674475911232544E-2</v>
      </c>
      <c r="M203" s="18">
        <f t="shared" si="26"/>
        <v>-1.5154077344192204E-3</v>
      </c>
      <c r="N203" s="18">
        <f t="shared" si="27"/>
        <v>4.0160816965033761E-3</v>
      </c>
      <c r="O203" s="18">
        <f t="shared" si="28"/>
        <v>1.4002271852912664E-2</v>
      </c>
      <c r="P203" s="18">
        <f t="shared" si="29"/>
        <v>-1.8478181868551143E-3</v>
      </c>
      <c r="Q203" s="18">
        <f t="shared" si="30"/>
        <v>1.7069790364493019E-4</v>
      </c>
      <c r="R203" s="28">
        <f>((Scenario_DT!I$11*(IF(Scenario_DT!I$18=1,1,1+$M203/Scenario_DT!$C$19)*(1+$N203)^MAX(0,Scenario_DT!I$18-3))*(Scenario_DT!I$12+$O203)-Scenario_DT!I$13)*(1-Scenario_DT!I$14)+Scenario_DT!I$13-Scenario_DT!I$15)*Scenario_DT!I$16</f>
        <v>930.72623397221514</v>
      </c>
      <c r="S203" s="28">
        <f>((Scenario_DT!J$11*(IF(Scenario_DT!J$18=1,1,1+$M203/Scenario_DT!$C$19)*(1+$N203)^MAX(0,Scenario_DT!J$18-3))*(Scenario_DT!J$12+$O203)-Scenario_DT!J$13)*(1-Scenario_DT!J$14)+Scenario_DT!J$13-Scenario_DT!J$15)*Scenario_DT!J$16</f>
        <v>1871.7225716604603</v>
      </c>
      <c r="T203" s="28">
        <f>((Scenario_DT!K$11*(IF(Scenario_DT!K$18=1,1,1+$M203/Scenario_DT!$C$19)*(1+$N203)^MAX(0,Scenario_DT!K$18-3))*(Scenario_DT!K$12+$O203)-Scenario_DT!K$13)*(1-Scenario_DT!K$14)+Scenario_DT!K$13-Scenario_DT!K$15)*Scenario_DT!K$16</f>
        <v>2137.7020687865429</v>
      </c>
      <c r="U203" s="28">
        <f>((Scenario_DT!L$11*(IF(Scenario_DT!L$18=1,1,1+$M203/Scenario_DT!$C$19)*(1+$N203)^MAX(0,Scenario_DT!L$18-3))*(Scenario_DT!L$12+$O203)-Scenario_DT!L$13)*(1-Scenario_DT!L$14)+Scenario_DT!L$13-Scenario_DT!L$15)*Scenario_DT!L$16</f>
        <v>2551.550755039701</v>
      </c>
      <c r="V203" s="28">
        <f>((Scenario_DT!M$11*(IF(Scenario_DT!M$18=1,1,1+$M203/Scenario_DT!$C$19)*(1+$N203)^MAX(0,Scenario_DT!M$18-3))*(Scenario_DT!M$12+$O203)-Scenario_DT!M$13)*(1-Scenario_DT!M$14)+Scenario_DT!M$13-Scenario_DT!M$15)*Scenario_DT!M$16</f>
        <v>2689.2376205401229</v>
      </c>
      <c r="W203" s="28">
        <f>((Scenario_DT!N$11*(IF(Scenario_DT!N$18=1,1,1+$M203/Scenario_DT!$C$19)*(1+$N203)^MAX(0,Scenario_DT!N$18-3))*(Scenario_DT!N$12+$O203)-Scenario_DT!N$13)*(1-Scenario_DT!N$14)+Scenario_DT!N$13-Scenario_DT!N$15)*Scenario_DT!N$16</f>
        <v>2834.3529831819224</v>
      </c>
      <c r="X203" s="28">
        <f>((Scenario_DT!O$11*(IF(Scenario_DT!O$18=1,1,1+$M203/Scenario_DT!$C$19)*(1+$N203)^MAX(0,Scenario_DT!O$18-3))*(Scenario_DT!O$12+$O203)-Scenario_DT!O$13)*(1-Scenario_DT!O$14)+Scenario_DT!O$13-Scenario_DT!O$15)*Scenario_DT!O$16</f>
        <v>2987.3003110757704</v>
      </c>
      <c r="Y203" s="28">
        <f>((Scenario_DT!P$11*(IF(Scenario_DT!P$18=1,1,1+$M203/Scenario_DT!$C$19)*(1+$N203)^MAX(0,Scenario_DT!P$18-3))*(Scenario_DT!P$12+$O203)-Scenario_DT!P$13)*(1-Scenario_DT!P$14)+Scenario_DT!P$13-Scenario_DT!P$15)*Scenario_DT!P$16</f>
        <v>3148.5050025602782</v>
      </c>
      <c r="Z203" s="28">
        <f>((Scenario_DT!Q$11*(IF(Scenario_DT!Q$18=1,1,1+$M203/Scenario_DT!$C$19)*(1+$N203)^MAX(0,Scenario_DT!Q$18-3))*(Scenario_DT!Q$12+$O203)-Scenario_DT!Q$13)*(1-Scenario_DT!Q$14)+Scenario_DT!Q$13-Scenario_DT!Q$15)*Scenario_DT!Q$16</f>
        <v>3318.4155778939689</v>
      </c>
      <c r="AA203" s="28">
        <f>((Scenario_DT!R$11*(IF(Scenario_DT!R$18=1,1,1+$M203/Scenario_DT!$C$19)*(1+$N203)^MAX(0,Scenario_DT!R$18-3))*(Scenario_DT!R$12+$O203)-Scenario_DT!R$13)*(1-Scenario_DT!R$14)+Scenario_DT!R$13-Scenario_DT!R$15)*Scenario_DT!R$16</f>
        <v>3497.504935679633</v>
      </c>
      <c r="AB203" s="17">
        <f>(Scenario_DT!$R$11*(1+$M203/Scenario_DT!$C$19)*(1+$N203)^7*(Scenario_DT!$R$12+$O203)*(1+MIN(DCF_FCFF!$C$26+$Q203,(DCF_FCFF!$C$25+$P203)-0.02))*(1-DCF_FCFF!$C$27)*(1-DCF_FCFF!$C$28)/((DCF_FCFF!$C$25+$P203)-MIN(DCF_FCFF!$C$26+$Q203,(DCF_FCFF!$C$25+$P203)-0.02)))*(1+(DCF_FCFF!$C$25+$P203))^(-(Inputs!$C$9+9))</f>
        <v>31223.684355441706</v>
      </c>
      <c r="AC203" s="17">
        <f>SUMPRODUCT(R203:AA203*(1+(DCF_FCFF!$C$25+$P203))^(-Scenario_DT!$I$17:$R$17))+AB203</f>
        <v>48293.769972394148</v>
      </c>
      <c r="AD203" s="68">
        <f>((AC203-DCF_FCFF!$C$48)*(1-DCF_FCFF!$C$50)+DCF_FCFF!$C$57+DCF_FCFF!$C$58)/DCF_FCFF!$C$60</f>
        <v>367.11628884207244</v>
      </c>
      <c r="AE203" s="6"/>
      <c r="AF203" s="6"/>
      <c r="AG203" s="6"/>
    </row>
    <row r="204" spans="1:33" x14ac:dyDescent="0.3">
      <c r="A204" s="6"/>
      <c r="B204" s="72">
        <v>173</v>
      </c>
      <c r="C204" s="73">
        <v>0.74171641051973503</v>
      </c>
      <c r="D204" s="73">
        <v>0.73113597665279495</v>
      </c>
      <c r="E204" s="73">
        <v>0.782960130026085</v>
      </c>
      <c r="F204" s="73">
        <v>0.56993381864152604</v>
      </c>
      <c r="G204" s="73">
        <v>0.104615096804775</v>
      </c>
      <c r="H204" s="15">
        <f t="shared" si="21"/>
        <v>0.64864605648527196</v>
      </c>
      <c r="I204" s="15">
        <f t="shared" si="22"/>
        <v>0.61625225255589511</v>
      </c>
      <c r="J204" s="15">
        <f t="shared" si="23"/>
        <v>0.78222944992588617</v>
      </c>
      <c r="K204" s="15">
        <f t="shared" si="24"/>
        <v>0.17620567477569757</v>
      </c>
      <c r="L204" s="15">
        <f t="shared" si="25"/>
        <v>-1.2556850169520068</v>
      </c>
      <c r="M204" s="18">
        <f t="shared" si="26"/>
        <v>1.2972921129705439E-2</v>
      </c>
      <c r="N204" s="18">
        <f t="shared" si="27"/>
        <v>6.8641050727633992E-3</v>
      </c>
      <c r="O204" s="18">
        <f t="shared" si="28"/>
        <v>9.3867533991106346E-3</v>
      </c>
      <c r="P204" s="18">
        <f t="shared" si="29"/>
        <v>1.0572340486541855E-3</v>
      </c>
      <c r="Q204" s="18">
        <f t="shared" si="30"/>
        <v>-5.0227400678080278E-3</v>
      </c>
      <c r="R204" s="28">
        <f>((Scenario_DT!I$11*(IF(Scenario_DT!I$18=1,1,1+$M204/Scenario_DT!$C$19)*(1+$N204)^MAX(0,Scenario_DT!I$18-3))*(Scenario_DT!I$12+$O204)-Scenario_DT!I$13)*(1-Scenario_DT!I$14)+Scenario_DT!I$13-Scenario_DT!I$15)*Scenario_DT!I$16</f>
        <v>924.21884965803542</v>
      </c>
      <c r="S204" s="28">
        <f>((Scenario_DT!J$11*(IF(Scenario_DT!J$18=1,1,1+$M204/Scenario_DT!$C$19)*(1+$N204)^MAX(0,Scenario_DT!J$18-3))*(Scenario_DT!J$12+$O204)-Scenario_DT!J$13)*(1-Scenario_DT!J$14)+Scenario_DT!J$13-Scenario_DT!J$15)*Scenario_DT!J$16</f>
        <v>1892.5689769876903</v>
      </c>
      <c r="T204" s="28">
        <f>((Scenario_DT!K$11*(IF(Scenario_DT!K$18=1,1,1+$M204/Scenario_DT!$C$19)*(1+$N204)^MAX(0,Scenario_DT!K$18-3))*(Scenario_DT!K$12+$O204)-Scenario_DT!K$13)*(1-Scenario_DT!K$14)+Scenario_DT!K$13-Scenario_DT!K$15)*Scenario_DT!K$16</f>
        <v>2159.7984051105345</v>
      </c>
      <c r="U204" s="28">
        <f>((Scenario_DT!L$11*(IF(Scenario_DT!L$18=1,1,1+$M204/Scenario_DT!$C$19)*(1+$N204)^MAX(0,Scenario_DT!L$18-3))*(Scenario_DT!L$12+$O204)-Scenario_DT!L$13)*(1-Scenario_DT!L$14)+Scenario_DT!L$13-Scenario_DT!L$15)*Scenario_DT!L$16</f>
        <v>2582.4588550986909</v>
      </c>
      <c r="V204" s="28">
        <f>((Scenario_DT!M$11*(IF(Scenario_DT!M$18=1,1,1+$M204/Scenario_DT!$C$19)*(1+$N204)^MAX(0,Scenario_DT!M$18-3))*(Scenario_DT!M$12+$O204)-Scenario_DT!M$13)*(1-Scenario_DT!M$14)+Scenario_DT!M$13-Scenario_DT!M$15)*Scenario_DT!M$16</f>
        <v>2729.5945729301984</v>
      </c>
      <c r="W204" s="28">
        <f>((Scenario_DT!N$11*(IF(Scenario_DT!N$18=1,1,1+$M204/Scenario_DT!$C$19)*(1+$N204)^MAX(0,Scenario_DT!N$18-3))*(Scenario_DT!N$12+$O204)-Scenario_DT!N$13)*(1-Scenario_DT!N$14)+Scenario_DT!N$13-Scenario_DT!N$15)*Scenario_DT!N$16</f>
        <v>2885.1157540467711</v>
      </c>
      <c r="X204" s="28">
        <f>((Scenario_DT!O$11*(IF(Scenario_DT!O$18=1,1,1+$M204/Scenario_DT!$C$19)*(1+$N204)^MAX(0,Scenario_DT!O$18-3))*(Scenario_DT!O$12+$O204)-Scenario_DT!O$13)*(1-Scenario_DT!O$14)+Scenario_DT!O$13-Scenario_DT!O$15)*Scenario_DT!O$16</f>
        <v>3049.5031891610724</v>
      </c>
      <c r="Y204" s="28">
        <f>((Scenario_DT!P$11*(IF(Scenario_DT!P$18=1,1,1+$M204/Scenario_DT!$C$19)*(1+$N204)^MAX(0,Scenario_DT!P$18-3))*(Scenario_DT!P$12+$O204)-Scenario_DT!P$13)*(1-Scenario_DT!P$14)+Scenario_DT!P$13-Scenario_DT!P$15)*Scenario_DT!P$16</f>
        <v>3223.2652466941668</v>
      </c>
      <c r="Z204" s="28">
        <f>((Scenario_DT!Q$11*(IF(Scenario_DT!Q$18=1,1,1+$M204/Scenario_DT!$C$19)*(1+$N204)^MAX(0,Scenario_DT!Q$18-3))*(Scenario_DT!Q$12+$O204)-Scenario_DT!Q$13)*(1-Scenario_DT!Q$14)+Scenario_DT!Q$13-Scenario_DT!Q$15)*Scenario_DT!Q$16</f>
        <v>3406.9394539095128</v>
      </c>
      <c r="AA204" s="28">
        <f>((Scenario_DT!R$11*(IF(Scenario_DT!R$18=1,1,1+$M204/Scenario_DT!$C$19)*(1+$N204)^MAX(0,Scenario_DT!R$18-3))*(Scenario_DT!R$12+$O204)-Scenario_DT!R$13)*(1-Scenario_DT!R$14)+Scenario_DT!R$13-Scenario_DT!R$15)*Scenario_DT!R$16</f>
        <v>3601.0941686563542</v>
      </c>
      <c r="AB204" s="17">
        <f>(Scenario_DT!$R$11*(1+$M204/Scenario_DT!$C$19)*(1+$N204)^7*(Scenario_DT!$R$12+$O204)*(1+MIN(DCF_FCFF!$C$26+$Q204,(DCF_FCFF!$C$25+$P204)-0.02))*(1-DCF_FCFF!$C$27)*(1-DCF_FCFF!$C$28)/((DCF_FCFF!$C$25+$P204)-MIN(DCF_FCFF!$C$26+$Q204,(DCF_FCFF!$C$25+$P204)-0.02)))*(1+(DCF_FCFF!$C$25+$P204))^(-(Inputs!$C$9+9))</f>
        <v>26711.931549238368</v>
      </c>
      <c r="AC204" s="17">
        <f>SUMPRODUCT(R204:AA204*(1+(DCF_FCFF!$C$25+$P204))^(-Scenario_DT!$I$17:$R$17))+AB204</f>
        <v>43858.004871149009</v>
      </c>
      <c r="AD204" s="68">
        <f>((AC204-DCF_FCFF!$C$48)*(1-DCF_FCFF!$C$50)+DCF_FCFF!$C$57+DCF_FCFF!$C$58)/DCF_FCFF!$C$60</f>
        <v>324.53840663498147</v>
      </c>
      <c r="AE204" s="6"/>
      <c r="AF204" s="6"/>
      <c r="AG204" s="6"/>
    </row>
    <row r="205" spans="1:33" x14ac:dyDescent="0.3">
      <c r="A205" s="6"/>
      <c r="B205" s="72">
        <v>174</v>
      </c>
      <c r="C205" s="73">
        <v>0.90397329087804001</v>
      </c>
      <c r="D205" s="73">
        <v>0.86557253932102796</v>
      </c>
      <c r="E205" s="73">
        <v>0.79809743581833303</v>
      </c>
      <c r="F205" s="73">
        <v>9.9862477160729504E-2</v>
      </c>
      <c r="G205" s="73">
        <v>0.204397367081429</v>
      </c>
      <c r="H205" s="15">
        <f t="shared" si="21"/>
        <v>1.3045285895761878</v>
      </c>
      <c r="I205" s="15">
        <f t="shared" si="22"/>
        <v>1.105703392066397</v>
      </c>
      <c r="J205" s="15">
        <f t="shared" si="23"/>
        <v>0.83484474593407343</v>
      </c>
      <c r="K205" s="15">
        <f t="shared" si="24"/>
        <v>-1.2823355727266215</v>
      </c>
      <c r="L205" s="15">
        <f t="shared" si="25"/>
        <v>-0.82601649619564832</v>
      </c>
      <c r="M205" s="18">
        <f t="shared" si="26"/>
        <v>2.6090571791523756E-2</v>
      </c>
      <c r="N205" s="18">
        <f t="shared" si="27"/>
        <v>1.2878652170945751E-2</v>
      </c>
      <c r="O205" s="18">
        <f t="shared" si="28"/>
        <v>1.0018136951208881E-2</v>
      </c>
      <c r="P205" s="18">
        <f t="shared" si="29"/>
        <v>-7.6940134363597291E-3</v>
      </c>
      <c r="Q205" s="18">
        <f t="shared" si="30"/>
        <v>-3.3040659847825933E-3</v>
      </c>
      <c r="R205" s="28">
        <f>((Scenario_DT!I$11*(IF(Scenario_DT!I$18=1,1,1+$M205/Scenario_DT!$C$19)*(1+$N205)^MAX(0,Scenario_DT!I$18-3))*(Scenario_DT!I$12+$O205)-Scenario_DT!I$13)*(1-Scenario_DT!I$14)+Scenario_DT!I$13-Scenario_DT!I$15)*Scenario_DT!I$16</f>
        <v>925.10903251924151</v>
      </c>
      <c r="S205" s="28">
        <f>((Scenario_DT!J$11*(IF(Scenario_DT!J$18=1,1,1+$M205/Scenario_DT!$C$19)*(1+$N205)^MAX(0,Scenario_DT!J$18-3))*(Scenario_DT!J$12+$O205)-Scenario_DT!J$13)*(1-Scenario_DT!J$14)+Scenario_DT!J$13-Scenario_DT!J$15)*Scenario_DT!J$16</f>
        <v>1926.4256179823251</v>
      </c>
      <c r="T205" s="28">
        <f>((Scenario_DT!K$11*(IF(Scenario_DT!K$18=1,1,1+$M205/Scenario_DT!$C$19)*(1+$N205)^MAX(0,Scenario_DT!K$18-3))*(Scenario_DT!K$12+$O205)-Scenario_DT!K$13)*(1-Scenario_DT!K$14)+Scenario_DT!K$13-Scenario_DT!K$15)*Scenario_DT!K$16</f>
        <v>2195.3310022112105</v>
      </c>
      <c r="U205" s="28">
        <f>((Scenario_DT!L$11*(IF(Scenario_DT!L$18=1,1,1+$M205/Scenario_DT!$C$19)*(1+$N205)^MAX(0,Scenario_DT!L$18-3))*(Scenario_DT!L$12+$O205)-Scenario_DT!L$13)*(1-Scenario_DT!L$14)+Scenario_DT!L$13-Scenario_DT!L$15)*Scenario_DT!L$16</f>
        <v>2636.1996668761599</v>
      </c>
      <c r="V205" s="28">
        <f>((Scenario_DT!M$11*(IF(Scenario_DT!M$18=1,1,1+$M205/Scenario_DT!$C$19)*(1+$N205)^MAX(0,Scenario_DT!M$18-3))*(Scenario_DT!M$12+$O205)-Scenario_DT!M$13)*(1-Scenario_DT!M$14)+Scenario_DT!M$13-Scenario_DT!M$15)*Scenario_DT!M$16</f>
        <v>2803.1646459084354</v>
      </c>
      <c r="W205" s="28">
        <f>((Scenario_DT!N$11*(IF(Scenario_DT!N$18=1,1,1+$M205/Scenario_DT!$C$19)*(1+$N205)^MAX(0,Scenario_DT!N$18-3))*(Scenario_DT!N$12+$O205)-Scenario_DT!N$13)*(1-Scenario_DT!N$14)+Scenario_DT!N$13-Scenario_DT!N$15)*Scenario_DT!N$16</f>
        <v>2980.7137810933327</v>
      </c>
      <c r="X205" s="28">
        <f>((Scenario_DT!O$11*(IF(Scenario_DT!O$18=1,1,1+$M205/Scenario_DT!$C$19)*(1+$N205)^MAX(0,Scenario_DT!O$18-3))*(Scenario_DT!O$12+$O205)-Scenario_DT!O$13)*(1-Scenario_DT!O$14)+Scenario_DT!O$13-Scenario_DT!O$15)*Scenario_DT!O$16</f>
        <v>3169.5212524357048</v>
      </c>
      <c r="Y205" s="28">
        <f>((Scenario_DT!P$11*(IF(Scenario_DT!P$18=1,1,1+$M205/Scenario_DT!$C$19)*(1+$N205)^MAX(0,Scenario_DT!P$18-3))*(Scenario_DT!P$12+$O205)-Scenario_DT!P$13)*(1-Scenario_DT!P$14)+Scenario_DT!P$13-Scenario_DT!P$15)*Scenario_DT!P$16</f>
        <v>3370.304175564142</v>
      </c>
      <c r="Z205" s="28">
        <f>((Scenario_DT!Q$11*(IF(Scenario_DT!Q$18=1,1,1+$M205/Scenario_DT!$C$19)*(1+$N205)^MAX(0,Scenario_DT!Q$18-3))*(Scenario_DT!Q$12+$O205)-Scenario_DT!Q$13)*(1-Scenario_DT!Q$14)+Scenario_DT!Q$13-Scenario_DT!Q$15)*Scenario_DT!Q$16</f>
        <v>3583.8253342562489</v>
      </c>
      <c r="AA205" s="28">
        <f>((Scenario_DT!R$11*(IF(Scenario_DT!R$18=1,1,1+$M205/Scenario_DT!$C$19)*(1+$N205)^MAX(0,Scenario_DT!R$18-3))*(Scenario_DT!R$12+$O205)-Scenario_DT!R$13)*(1-Scenario_DT!R$14)+Scenario_DT!R$13-Scenario_DT!R$15)*Scenario_DT!R$16</f>
        <v>3810.8960867706928</v>
      </c>
      <c r="AB205" s="17">
        <f>(Scenario_DT!$R$11*(1+$M205/Scenario_DT!$C$19)*(1+$N205)^7*(Scenario_DT!$R$12+$O205)*(1+MIN(DCF_FCFF!$C$26+$Q205,(DCF_FCFF!$C$25+$P205)-0.02))*(1-DCF_FCFF!$C$27)*(1-DCF_FCFF!$C$28)/((DCF_FCFF!$C$25+$P205)-MIN(DCF_FCFF!$C$26+$Q205,(DCF_FCFF!$C$25+$P205)-0.02)))*(1+(DCF_FCFF!$C$25+$P205))^(-(Inputs!$C$9+9))</f>
        <v>37496.61398670877</v>
      </c>
      <c r="AC205" s="17">
        <f>SUMPRODUCT(R205:AA205*(1+(DCF_FCFF!$C$25+$P205))^(-Scenario_DT!$I$17:$R$17))+AB205</f>
        <v>55878.774196219347</v>
      </c>
      <c r="AD205" s="68">
        <f>((AC205-DCF_FCFF!$C$48)*(1-DCF_FCFF!$C$50)+DCF_FCFF!$C$57+DCF_FCFF!$C$58)/DCF_FCFF!$C$60</f>
        <v>439.92298825265726</v>
      </c>
      <c r="AE205" s="6"/>
      <c r="AF205" s="6"/>
      <c r="AG205" s="6"/>
    </row>
    <row r="206" spans="1:33" x14ac:dyDescent="0.3">
      <c r="A206" s="6"/>
      <c r="B206" s="72">
        <v>175</v>
      </c>
      <c r="C206" s="73">
        <v>0.74360036510765204</v>
      </c>
      <c r="D206" s="73">
        <v>2.3140094581946401E-2</v>
      </c>
      <c r="E206" s="73">
        <v>0.97922463370727997</v>
      </c>
      <c r="F206" s="73">
        <v>0.37714468035568099</v>
      </c>
      <c r="G206" s="73">
        <v>0.71931253369082404</v>
      </c>
      <c r="H206" s="15">
        <f t="shared" si="21"/>
        <v>0.65448518349536233</v>
      </c>
      <c r="I206" s="15">
        <f t="shared" si="22"/>
        <v>-1.992828871172502</v>
      </c>
      <c r="J206" s="15">
        <f t="shared" si="23"/>
        <v>2.0379920035026031</v>
      </c>
      <c r="K206" s="15">
        <f t="shared" si="24"/>
        <v>-0.31298855066408593</v>
      </c>
      <c r="L206" s="15">
        <f t="shared" si="25"/>
        <v>0.58080047840602533</v>
      </c>
      <c r="M206" s="18">
        <f t="shared" si="26"/>
        <v>1.3089703669907247E-2</v>
      </c>
      <c r="N206" s="18">
        <f t="shared" si="27"/>
        <v>-1.1188782688662174E-2</v>
      </c>
      <c r="O206" s="18">
        <f t="shared" si="28"/>
        <v>2.4455904042031237E-2</v>
      </c>
      <c r="P206" s="18">
        <f t="shared" si="29"/>
        <v>-1.8779313039845155E-3</v>
      </c>
      <c r="Q206" s="18">
        <f t="shared" si="30"/>
        <v>2.3232019136241013E-3</v>
      </c>
      <c r="R206" s="28">
        <f>((Scenario_DT!I$11*(IF(Scenario_DT!I$18=1,1,1+$M206/Scenario_DT!$C$19)*(1+$N206)^MAX(0,Scenario_DT!I$18-3))*(Scenario_DT!I$12+$O206)-Scenario_DT!I$13)*(1-Scenario_DT!I$14)+Scenario_DT!I$13-Scenario_DT!I$15)*Scenario_DT!I$16</f>
        <v>945.46473037615408</v>
      </c>
      <c r="S206" s="28">
        <f>((Scenario_DT!J$11*(IF(Scenario_DT!J$18=1,1,1+$M206/Scenario_DT!$C$19)*(1+$N206)^MAX(0,Scenario_DT!J$18-3))*(Scenario_DT!J$12+$O206)-Scenario_DT!J$13)*(1-Scenario_DT!J$14)+Scenario_DT!J$13-Scenario_DT!J$15)*Scenario_DT!J$16</f>
        <v>1940.334832099325</v>
      </c>
      <c r="T206" s="28">
        <f>((Scenario_DT!K$11*(IF(Scenario_DT!K$18=1,1,1+$M206/Scenario_DT!$C$19)*(1+$N206)^MAX(0,Scenario_DT!K$18-3))*(Scenario_DT!K$12+$O206)-Scenario_DT!K$13)*(1-Scenario_DT!K$14)+Scenario_DT!K$13-Scenario_DT!K$15)*Scenario_DT!K$16</f>
        <v>2209.303450485721</v>
      </c>
      <c r="U206" s="28">
        <f>((Scenario_DT!L$11*(IF(Scenario_DT!L$18=1,1,1+$M206/Scenario_DT!$C$19)*(1+$N206)^MAX(0,Scenario_DT!L$18-3))*(Scenario_DT!L$12+$O206)-Scenario_DT!L$13)*(1-Scenario_DT!L$14)+Scenario_DT!L$13-Scenario_DT!L$15)*Scenario_DT!L$16</f>
        <v>2587.8284808339486</v>
      </c>
      <c r="V206" s="28">
        <f>((Scenario_DT!M$11*(IF(Scenario_DT!M$18=1,1,1+$M206/Scenario_DT!$C$19)*(1+$N206)^MAX(0,Scenario_DT!M$18-3))*(Scenario_DT!M$12+$O206)-Scenario_DT!M$13)*(1-Scenario_DT!M$14)+Scenario_DT!M$13-Scenario_DT!M$15)*Scenario_DT!M$16</f>
        <v>2685.8978422264859</v>
      </c>
      <c r="W206" s="28">
        <f>((Scenario_DT!N$11*(IF(Scenario_DT!N$18=1,1,1+$M206/Scenario_DT!$C$19)*(1+$N206)^MAX(0,Scenario_DT!N$18-3))*(Scenario_DT!N$12+$O206)-Scenario_DT!N$13)*(1-Scenario_DT!N$14)+Scenario_DT!N$13-Scenario_DT!N$15)*Scenario_DT!N$16</f>
        <v>2787.6570869904222</v>
      </c>
      <c r="X206" s="28">
        <f>((Scenario_DT!O$11*(IF(Scenario_DT!O$18=1,1,1+$M206/Scenario_DT!$C$19)*(1+$N206)^MAX(0,Scenario_DT!O$18-3))*(Scenario_DT!O$12+$O206)-Scenario_DT!O$13)*(1-Scenario_DT!O$14)+Scenario_DT!O$13-Scenario_DT!O$15)*Scenario_DT!O$16</f>
        <v>2893.2461410523138</v>
      </c>
      <c r="Y206" s="28">
        <f>((Scenario_DT!P$11*(IF(Scenario_DT!P$18=1,1,1+$M206/Scenario_DT!$C$19)*(1+$N206)^MAX(0,Scenario_DT!P$18-3))*(Scenario_DT!P$12+$O206)-Scenario_DT!P$13)*(1-Scenario_DT!P$14)+Scenario_DT!P$13-Scenario_DT!P$15)*Scenario_DT!P$16</f>
        <v>3002.8102446552653</v>
      </c>
      <c r="Z206" s="28">
        <f>((Scenario_DT!Q$11*(IF(Scenario_DT!Q$18=1,1,1+$M206/Scenario_DT!$C$19)*(1+$N206)^MAX(0,Scenario_DT!Q$18-3))*(Scenario_DT!Q$12+$O206)-Scenario_DT!Q$13)*(1-Scenario_DT!Q$14)+Scenario_DT!Q$13-Scenario_DT!Q$15)*Scenario_DT!Q$16</f>
        <v>3116.500154157874</v>
      </c>
      <c r="AA206" s="28">
        <f>((Scenario_DT!R$11*(IF(Scenario_DT!R$18=1,1,1+$M206/Scenario_DT!$C$19)*(1+$N206)^MAX(0,Scenario_DT!R$18-3))*(Scenario_DT!R$12+$O206)-Scenario_DT!R$13)*(1-Scenario_DT!R$14)+Scenario_DT!R$13-Scenario_DT!R$15)*Scenario_DT!R$16</f>
        <v>3234.4723514910852</v>
      </c>
      <c r="AB206" s="17">
        <f>(Scenario_DT!$R$11*(1+$M206/Scenario_DT!$C$19)*(1+$N206)^7*(Scenario_DT!$R$12+$O206)*(1+MIN(DCF_FCFF!$C$26+$Q206,(DCF_FCFF!$C$25+$P206)-0.02))*(1-DCF_FCFF!$C$27)*(1-DCF_FCFF!$C$28)/((DCF_FCFF!$C$25+$P206)-MIN(DCF_FCFF!$C$26+$Q206,(DCF_FCFF!$C$25+$P206)-0.02)))*(1+(DCF_FCFF!$C$25+$P206))^(-(Inputs!$C$9+9))</f>
        <v>30329.986589978551</v>
      </c>
      <c r="AC206" s="17">
        <f>SUMPRODUCT(R206:AA206*(1+(DCF_FCFF!$C$25+$P206))^(-Scenario_DT!$I$17:$R$17))+AB206</f>
        <v>47172.727892254814</v>
      </c>
      <c r="AD206" s="68">
        <f>((AC206-DCF_FCFF!$C$48)*(1-DCF_FCFF!$C$50)+DCF_FCFF!$C$57+DCF_FCFF!$C$58)/DCF_FCFF!$C$60</f>
        <v>356.35566546641928</v>
      </c>
      <c r="AE206" s="6"/>
      <c r="AF206" s="6"/>
      <c r="AG206" s="6"/>
    </row>
    <row r="207" spans="1:33" x14ac:dyDescent="0.3">
      <c r="A207" s="6"/>
      <c r="B207" s="72">
        <v>176</v>
      </c>
      <c r="C207" s="73">
        <v>0.887571088488043</v>
      </c>
      <c r="D207" s="73">
        <v>0.39462988815008199</v>
      </c>
      <c r="E207" s="73">
        <v>0.31913248859966598</v>
      </c>
      <c r="F207" s="73">
        <v>0.60874112889824705</v>
      </c>
      <c r="G207" s="73">
        <v>0.58098937374805104</v>
      </c>
      <c r="H207" s="15">
        <f t="shared" si="21"/>
        <v>1.2137117312667778</v>
      </c>
      <c r="I207" s="15">
        <f t="shared" si="22"/>
        <v>-0.26727195750749339</v>
      </c>
      <c r="J207" s="15">
        <f t="shared" si="23"/>
        <v>-0.47012603114398699</v>
      </c>
      <c r="K207" s="15">
        <f t="shared" si="24"/>
        <v>0.2760394812255616</v>
      </c>
      <c r="L207" s="15">
        <f t="shared" si="25"/>
        <v>0.20442518298637533</v>
      </c>
      <c r="M207" s="18">
        <f t="shared" si="26"/>
        <v>2.4274234625335556E-2</v>
      </c>
      <c r="N207" s="18">
        <f t="shared" si="27"/>
        <v>3.0031324857016373E-3</v>
      </c>
      <c r="O207" s="18">
        <f t="shared" si="28"/>
        <v>-5.6415123737278442E-3</v>
      </c>
      <c r="P207" s="18">
        <f t="shared" si="29"/>
        <v>1.6562368873533696E-3</v>
      </c>
      <c r="Q207" s="18">
        <f t="shared" si="30"/>
        <v>8.1770073194550137E-4</v>
      </c>
      <c r="R207" s="28">
        <f>((Scenario_DT!I$11*(IF(Scenario_DT!I$18=1,1,1+$M207/Scenario_DT!$C$19)*(1+$N207)^MAX(0,Scenario_DT!I$18-3))*(Scenario_DT!I$12+$O207)-Scenario_DT!I$13)*(1-Scenario_DT!I$14)+Scenario_DT!I$13-Scenario_DT!I$15)*Scenario_DT!I$16</f>
        <v>903.03061220684799</v>
      </c>
      <c r="S207" s="28">
        <f>((Scenario_DT!J$11*(IF(Scenario_DT!J$18=1,1,1+$M207/Scenario_DT!$C$19)*(1+$N207)^MAX(0,Scenario_DT!J$18-3))*(Scenario_DT!J$12+$O207)-Scenario_DT!J$13)*(1-Scenario_DT!J$14)+Scenario_DT!J$13-Scenario_DT!J$15)*Scenario_DT!J$16</f>
        <v>1872.0914577160797</v>
      </c>
      <c r="T207" s="28">
        <f>((Scenario_DT!K$11*(IF(Scenario_DT!K$18=1,1,1+$M207/Scenario_DT!$C$19)*(1+$N207)^MAX(0,Scenario_DT!K$18-3))*(Scenario_DT!K$12+$O207)-Scenario_DT!K$13)*(1-Scenario_DT!K$14)+Scenario_DT!K$13-Scenario_DT!K$15)*Scenario_DT!K$16</f>
        <v>2138.9612527361774</v>
      </c>
      <c r="U207" s="28">
        <f>((Scenario_DT!L$11*(IF(Scenario_DT!L$18=1,1,1+$M207/Scenario_DT!$C$19)*(1+$N207)^MAX(0,Scenario_DT!L$18-3))*(Scenario_DT!L$12+$O207)-Scenario_DT!L$13)*(1-Scenario_DT!L$14)+Scenario_DT!L$13-Scenario_DT!L$15)*Scenario_DT!L$16</f>
        <v>2550.3004648005258</v>
      </c>
      <c r="V207" s="28">
        <f>((Scenario_DT!M$11*(IF(Scenario_DT!M$18=1,1,1+$M207/Scenario_DT!$C$19)*(1+$N207)^MAX(0,Scenario_DT!M$18-3))*(Scenario_DT!M$12+$O207)-Scenario_DT!M$13)*(1-Scenario_DT!M$14)+Scenario_DT!M$13-Scenario_DT!M$15)*Scenario_DT!M$16</f>
        <v>2685.1891043070182</v>
      </c>
      <c r="W207" s="28">
        <f>((Scenario_DT!N$11*(IF(Scenario_DT!N$18=1,1,1+$M207/Scenario_DT!$C$19)*(1+$N207)^MAX(0,Scenario_DT!N$18-3))*(Scenario_DT!N$12+$O207)-Scenario_DT!N$13)*(1-Scenario_DT!N$14)+Scenario_DT!N$13-Scenario_DT!N$15)*Scenario_DT!N$16</f>
        <v>2827.2093980342033</v>
      </c>
      <c r="X207" s="28">
        <f>((Scenario_DT!O$11*(IF(Scenario_DT!O$18=1,1,1+$M207/Scenario_DT!$C$19)*(1+$N207)^MAX(0,Scenario_DT!O$18-3))*(Scenario_DT!O$12+$O207)-Scenario_DT!O$13)*(1-Scenario_DT!O$14)+Scenario_DT!O$13-Scenario_DT!O$15)*Scenario_DT!O$16</f>
        <v>2976.7410059603544</v>
      </c>
      <c r="Y207" s="28">
        <f>((Scenario_DT!P$11*(IF(Scenario_DT!P$18=1,1,1+$M207/Scenario_DT!$C$19)*(1+$N207)^MAX(0,Scenario_DT!P$18-3))*(Scenario_DT!P$12+$O207)-Scenario_DT!P$13)*(1-Scenario_DT!P$14)+Scenario_DT!P$13-Scenario_DT!P$15)*Scenario_DT!P$16</f>
        <v>3134.1838174519994</v>
      </c>
      <c r="Z207" s="28">
        <f>((Scenario_DT!Q$11*(IF(Scenario_DT!Q$18=1,1,1+$M207/Scenario_DT!$C$19)*(1+$N207)^MAX(0,Scenario_DT!Q$18-3))*(Scenario_DT!Q$12+$O207)-Scenario_DT!Q$13)*(1-Scenario_DT!Q$14)+Scenario_DT!Q$13-Scenario_DT!Q$15)*Scenario_DT!Q$16</f>
        <v>3299.9590289468456</v>
      </c>
      <c r="AA207" s="28">
        <f>((Scenario_DT!R$11*(IF(Scenario_DT!R$18=1,1,1+$M207/Scenario_DT!$C$19)*(1+$N207)^MAX(0,Scenario_DT!R$18-3))*(Scenario_DT!R$12+$O207)-Scenario_DT!R$13)*(1-Scenario_DT!R$14)+Scenario_DT!R$13-Scenario_DT!R$15)*Scenario_DT!R$16</f>
        <v>3474.5102790294241</v>
      </c>
      <c r="AB207" s="17">
        <f>(Scenario_DT!$R$11*(1+$M207/Scenario_DT!$C$19)*(1+$N207)^7*(Scenario_DT!$R$12+$O207)*(1+MIN(DCF_FCFF!$C$26+$Q207,(DCF_FCFF!$C$25+$P207)-0.02))*(1-DCF_FCFF!$C$27)*(1-DCF_FCFF!$C$28)/((DCF_FCFF!$C$25+$P207)-MIN(DCF_FCFF!$C$26+$Q207,(DCF_FCFF!$C$25+$P207)-0.02)))*(1+(DCF_FCFF!$C$25+$P207))^(-(Inputs!$C$9+9))</f>
        <v>28429.823661918253</v>
      </c>
      <c r="AC207" s="17">
        <f>SUMPRODUCT(R207:AA207*(1+(DCF_FCFF!$C$25+$P207))^(-Scenario_DT!$I$17:$R$17))+AB207</f>
        <v>45180.102426124373</v>
      </c>
      <c r="AD207" s="68">
        <f>((AC207-DCF_FCFF!$C$48)*(1-DCF_FCFF!$C$50)+DCF_FCFF!$C$57+DCF_FCFF!$C$58)/DCF_FCFF!$C$60</f>
        <v>337.22891496379771</v>
      </c>
      <c r="AE207" s="6"/>
      <c r="AF207" s="6"/>
      <c r="AG207" s="6"/>
    </row>
    <row r="208" spans="1:33" x14ac:dyDescent="0.3">
      <c r="A208" s="6"/>
      <c r="B208" s="72">
        <v>177</v>
      </c>
      <c r="C208" s="73">
        <v>0.40913997762479698</v>
      </c>
      <c r="D208" s="73">
        <v>0.60177475586770901</v>
      </c>
      <c r="E208" s="73">
        <v>0.93538136956649498</v>
      </c>
      <c r="F208" s="73">
        <v>0.46764025662659697</v>
      </c>
      <c r="G208" s="73">
        <v>0.19674218075063099</v>
      </c>
      <c r="H208" s="15">
        <f t="shared" si="21"/>
        <v>-0.22975782953724205</v>
      </c>
      <c r="I208" s="15">
        <f t="shared" si="22"/>
        <v>0.25794353120064756</v>
      </c>
      <c r="J208" s="15">
        <f t="shared" si="23"/>
        <v>1.5171165483891107</v>
      </c>
      <c r="K208" s="15">
        <f t="shared" si="24"/>
        <v>-8.1203000615294604E-2</v>
      </c>
      <c r="L208" s="15">
        <f t="shared" si="25"/>
        <v>-0.8533155095453554</v>
      </c>
      <c r="M208" s="18">
        <f t="shared" si="26"/>
        <v>-4.5951565907448415E-3</v>
      </c>
      <c r="N208" s="18">
        <f t="shared" si="27"/>
        <v>8.6805388794402964E-4</v>
      </c>
      <c r="O208" s="18">
        <f t="shared" si="28"/>
        <v>1.820539858066933E-2</v>
      </c>
      <c r="P208" s="18">
        <f t="shared" si="29"/>
        <v>-4.8721800369176763E-4</v>
      </c>
      <c r="Q208" s="18">
        <f t="shared" si="30"/>
        <v>-3.4132620381814218E-3</v>
      </c>
      <c r="R208" s="28">
        <f>((Scenario_DT!I$11*(IF(Scenario_DT!I$18=1,1,1+$M208/Scenario_DT!$C$19)*(1+$N208)^MAX(0,Scenario_DT!I$18-3))*(Scenario_DT!I$12+$O208)-Scenario_DT!I$13)*(1-Scenario_DT!I$14)+Scenario_DT!I$13-Scenario_DT!I$15)*Scenario_DT!I$16</f>
        <v>936.65219033280209</v>
      </c>
      <c r="S208" s="28">
        <f>((Scenario_DT!J$11*(IF(Scenario_DT!J$18=1,1,1+$M208/Scenario_DT!$C$19)*(1+$N208)^MAX(0,Scenario_DT!J$18-3))*(Scenario_DT!J$12+$O208)-Scenario_DT!J$13)*(1-Scenario_DT!J$14)+Scenario_DT!J$13-Scenario_DT!J$15)*Scenario_DT!J$16</f>
        <v>1877.1985921516944</v>
      </c>
      <c r="T208" s="28">
        <f>((Scenario_DT!K$11*(IF(Scenario_DT!K$18=1,1,1+$M208/Scenario_DT!$C$19)*(1+$N208)^MAX(0,Scenario_DT!K$18-3))*(Scenario_DT!K$12+$O208)-Scenario_DT!K$13)*(1-Scenario_DT!K$14)+Scenario_DT!K$13-Scenario_DT!K$15)*Scenario_DT!K$16</f>
        <v>2143.2723026745366</v>
      </c>
      <c r="U208" s="28">
        <f>((Scenario_DT!L$11*(IF(Scenario_DT!L$18=1,1,1+$M208/Scenario_DT!$C$19)*(1+$N208)^MAX(0,Scenario_DT!L$18-3))*(Scenario_DT!L$12+$O208)-Scenario_DT!L$13)*(1-Scenario_DT!L$14)+Scenario_DT!L$13-Scenario_DT!L$15)*Scenario_DT!L$16</f>
        <v>2549.4171021082539</v>
      </c>
      <c r="V208" s="28">
        <f>((Scenario_DT!M$11*(IF(Scenario_DT!M$18=1,1,1+$M208/Scenario_DT!$C$19)*(1+$N208)^MAX(0,Scenario_DT!M$18-3))*(Scenario_DT!M$12+$O208)-Scenario_DT!M$13)*(1-Scenario_DT!M$14)+Scenario_DT!M$13-Scenario_DT!M$15)*Scenario_DT!M$16</f>
        <v>2678.505591142603</v>
      </c>
      <c r="W208" s="28">
        <f>((Scenario_DT!N$11*(IF(Scenario_DT!N$18=1,1,1+$M208/Scenario_DT!$C$19)*(1+$N208)^MAX(0,Scenario_DT!N$18-3))*(Scenario_DT!N$12+$O208)-Scenario_DT!N$13)*(1-Scenario_DT!N$14)+Scenario_DT!N$13-Scenario_DT!N$15)*Scenario_DT!N$16</f>
        <v>2814.1245336916099</v>
      </c>
      <c r="X208" s="28">
        <f>((Scenario_DT!O$11*(IF(Scenario_DT!O$18=1,1,1+$M208/Scenario_DT!$C$19)*(1+$N208)^MAX(0,Scenario_DT!O$18-3))*(Scenario_DT!O$12+$O208)-Scenario_DT!O$13)*(1-Scenario_DT!O$14)+Scenario_DT!O$13-Scenario_DT!O$15)*Scenario_DT!O$16</f>
        <v>2956.6067217881091</v>
      </c>
      <c r="Y208" s="28">
        <f>((Scenario_DT!P$11*(IF(Scenario_DT!P$18=1,1,1+$M208/Scenario_DT!$C$19)*(1+$N208)^MAX(0,Scenario_DT!P$18-3))*(Scenario_DT!P$12+$O208)-Scenario_DT!P$13)*(1-Scenario_DT!P$14)+Scenario_DT!P$13-Scenario_DT!P$15)*Scenario_DT!P$16</f>
        <v>3106.3019264684331</v>
      </c>
      <c r="Z208" s="28">
        <f>((Scenario_DT!Q$11*(IF(Scenario_DT!Q$18=1,1,1+$M208/Scenario_DT!$C$19)*(1+$N208)^MAX(0,Scenario_DT!Q$18-3))*(Scenario_DT!Q$12+$O208)-Scenario_DT!Q$13)*(1-Scenario_DT!Q$14)+Scenario_DT!Q$13-Scenario_DT!Q$15)*Scenario_DT!Q$16</f>
        <v>3263.5777640347537</v>
      </c>
      <c r="AA208" s="28">
        <f>((Scenario_DT!R$11*(IF(Scenario_DT!R$18=1,1,1+$M208/Scenario_DT!$C$19)*(1+$N208)^MAX(0,Scenario_DT!R$18-3))*(Scenario_DT!R$12+$O208)-Scenario_DT!R$13)*(1-Scenario_DT!R$14)+Scenario_DT!R$13-Scenario_DT!R$15)*Scenario_DT!R$16</f>
        <v>3428.8206065046165</v>
      </c>
      <c r="AB208" s="17">
        <f>(Scenario_DT!$R$11*(1+$M208/Scenario_DT!$C$19)*(1+$N208)^7*(Scenario_DT!$R$12+$O208)*(1+MIN(DCF_FCFF!$C$26+$Q208,(DCF_FCFF!$C$25+$P208)-0.02))*(1-DCF_FCFF!$C$27)*(1-DCF_FCFF!$C$28)/((DCF_FCFF!$C$25+$P208)-MIN(DCF_FCFF!$C$26+$Q208,(DCF_FCFF!$C$25+$P208)-0.02)))*(1+(DCF_FCFF!$C$25+$P208))^(-(Inputs!$C$9+9))</f>
        <v>27355.259831100466</v>
      </c>
      <c r="AC208" s="17">
        <f>SUMPRODUCT(R208:AA208*(1+(DCF_FCFF!$C$25+$P208))^(-Scenario_DT!$I$17:$R$17))+AB208</f>
        <v>44219.011688854065</v>
      </c>
      <c r="AD208" s="68">
        <f>((AC208-DCF_FCFF!$C$48)*(1-DCF_FCFF!$C$50)+DCF_FCFF!$C$57+DCF_FCFF!$C$58)/DCF_FCFF!$C$60</f>
        <v>328.00362749527631</v>
      </c>
      <c r="AE208" s="6"/>
      <c r="AF208" s="6"/>
      <c r="AG208" s="6"/>
    </row>
    <row r="209" spans="1:33" x14ac:dyDescent="0.3">
      <c r="A209" s="6"/>
      <c r="B209" s="72">
        <v>178</v>
      </c>
      <c r="C209" s="73">
        <v>0.377205982883004</v>
      </c>
      <c r="D209" s="73">
        <v>0.39410698259311899</v>
      </c>
      <c r="E209" s="73">
        <v>0.13110869302622</v>
      </c>
      <c r="F209" s="73">
        <v>0.16287150055455499</v>
      </c>
      <c r="G209" s="73">
        <v>0.68456207339367703</v>
      </c>
      <c r="H209" s="15">
        <f t="shared" si="21"/>
        <v>-0.31282717817801808</v>
      </c>
      <c r="I209" s="15">
        <f t="shared" si="22"/>
        <v>-0.26863059606448525</v>
      </c>
      <c r="J209" s="15">
        <f t="shared" si="23"/>
        <v>-1.1211655845571205</v>
      </c>
      <c r="K209" s="15">
        <f t="shared" si="24"/>
        <v>-0.98272459769874232</v>
      </c>
      <c r="L209" s="15">
        <f t="shared" si="25"/>
        <v>0.4804944435790966</v>
      </c>
      <c r="M209" s="18">
        <f t="shared" si="26"/>
        <v>-6.2565435635603614E-3</v>
      </c>
      <c r="N209" s="18">
        <f t="shared" si="27"/>
        <v>-3.1124360761168742E-3</v>
      </c>
      <c r="O209" s="18">
        <f t="shared" si="28"/>
        <v>-1.3453987014685446E-2</v>
      </c>
      <c r="P209" s="18">
        <f t="shared" si="29"/>
        <v>-5.8963475861924537E-3</v>
      </c>
      <c r="Q209" s="18">
        <f t="shared" si="30"/>
        <v>1.9219777743163865E-3</v>
      </c>
      <c r="R209" s="28">
        <f>((Scenario_DT!I$11*(IF(Scenario_DT!I$18=1,1,1+$M209/Scenario_DT!$C$19)*(1+$N209)^MAX(0,Scenario_DT!I$18-3))*(Scenario_DT!I$12+$O209)-Scenario_DT!I$13)*(1-Scenario_DT!I$14)+Scenario_DT!I$13-Scenario_DT!I$15)*Scenario_DT!I$16</f>
        <v>892.01586371383405</v>
      </c>
      <c r="S209" s="28">
        <f>((Scenario_DT!J$11*(IF(Scenario_DT!J$18=1,1,1+$M209/Scenario_DT!$C$19)*(1+$N209)^MAX(0,Scenario_DT!J$18-3))*(Scenario_DT!J$12+$O209)-Scenario_DT!J$13)*(1-Scenario_DT!J$14)+Scenario_DT!J$13-Scenario_DT!J$15)*Scenario_DT!J$16</f>
        <v>1775.3832710105889</v>
      </c>
      <c r="T209" s="28">
        <f>((Scenario_DT!K$11*(IF(Scenario_DT!K$18=1,1,1+$M209/Scenario_DT!$C$19)*(1+$N209)^MAX(0,Scenario_DT!K$18-3))*(Scenario_DT!K$12+$O209)-Scenario_DT!K$13)*(1-Scenario_DT!K$14)+Scenario_DT!K$13-Scenario_DT!K$15)*Scenario_DT!K$16</f>
        <v>2037.7017837551984</v>
      </c>
      <c r="U209" s="28">
        <f>((Scenario_DT!L$11*(IF(Scenario_DT!L$18=1,1,1+$M209/Scenario_DT!$C$19)*(1+$N209)^MAX(0,Scenario_DT!L$18-3))*(Scenario_DT!L$12+$O209)-Scenario_DT!L$13)*(1-Scenario_DT!L$14)+Scenario_DT!L$13-Scenario_DT!L$15)*Scenario_DT!L$16</f>
        <v>2427.4673907567362</v>
      </c>
      <c r="V209" s="28">
        <f>((Scenario_DT!M$11*(IF(Scenario_DT!M$18=1,1,1+$M209/Scenario_DT!$C$19)*(1+$N209)^MAX(0,Scenario_DT!M$18-3))*(Scenario_DT!M$12+$O209)-Scenario_DT!M$13)*(1-Scenario_DT!M$14)+Scenario_DT!M$13-Scenario_DT!M$15)*Scenario_DT!M$16</f>
        <v>2540.1310784875564</v>
      </c>
      <c r="W209" s="28">
        <f>((Scenario_DT!N$11*(IF(Scenario_DT!N$18=1,1,1+$M209/Scenario_DT!$C$19)*(1+$N209)^MAX(0,Scenario_DT!N$18-3))*(Scenario_DT!N$12+$O209)-Scenario_DT!N$13)*(1-Scenario_DT!N$14)+Scenario_DT!N$13-Scenario_DT!N$15)*Scenario_DT!N$16</f>
        <v>2658.011587995989</v>
      </c>
      <c r="X209" s="28">
        <f>((Scenario_DT!O$11*(IF(Scenario_DT!O$18=1,1,1+$M209/Scenario_DT!$C$19)*(1+$N209)^MAX(0,Scenario_DT!O$18-3))*(Scenario_DT!O$12+$O209)-Scenario_DT!O$13)*(1-Scenario_DT!O$14)+Scenario_DT!O$13-Scenario_DT!O$15)*Scenario_DT!O$16</f>
        <v>2781.3525215908371</v>
      </c>
      <c r="Y209" s="28">
        <f>((Scenario_DT!P$11*(IF(Scenario_DT!P$18=1,1,1+$M209/Scenario_DT!$C$19)*(1+$N209)^MAX(0,Scenario_DT!P$18-3))*(Scenario_DT!P$12+$O209)-Scenario_DT!P$13)*(1-Scenario_DT!P$14)+Scenario_DT!P$13-Scenario_DT!P$15)*Scenario_DT!P$16</f>
        <v>2910.4088771777419</v>
      </c>
      <c r="Z209" s="28">
        <f>((Scenario_DT!Q$11*(IF(Scenario_DT!Q$18=1,1,1+$M209/Scenario_DT!$C$19)*(1+$N209)^MAX(0,Scenario_DT!Q$18-3))*(Scenario_DT!Q$12+$O209)-Scenario_DT!Q$13)*(1-Scenario_DT!Q$14)+Scenario_DT!Q$13-Scenario_DT!Q$15)*Scenario_DT!Q$16</f>
        <v>3045.4475815381347</v>
      </c>
      <c r="AA209" s="28">
        <f>((Scenario_DT!R$11*(IF(Scenario_DT!R$18=1,1,1+$M209/Scenario_DT!$C$19)*(1+$N209)^MAX(0,Scenario_DT!R$18-3))*(Scenario_DT!R$12+$O209)-Scenario_DT!R$13)*(1-Scenario_DT!R$14)+Scenario_DT!R$13-Scenario_DT!R$15)*Scenario_DT!R$16</f>
        <v>3186.7480485657361</v>
      </c>
      <c r="AB209" s="17">
        <f>(Scenario_DT!$R$11*(1+$M209/Scenario_DT!$C$19)*(1+$N209)^7*(Scenario_DT!$R$12+$O209)*(1+MIN(DCF_FCFF!$C$26+$Q209,(DCF_FCFF!$C$25+$P209)-0.02))*(1-DCF_FCFF!$C$27)*(1-DCF_FCFF!$C$28)/((DCF_FCFF!$C$25+$P209)-MIN(DCF_FCFF!$C$26+$Q209,(DCF_FCFF!$C$25+$P209)-0.02)))*(1+(DCF_FCFF!$C$25+$P209))^(-(Inputs!$C$9+9))</f>
        <v>33568.274676717534</v>
      </c>
      <c r="AC209" s="17">
        <f>SUMPRODUCT(R209:AA209*(1+(DCF_FCFF!$C$25+$P209))^(-Scenario_DT!$I$17:$R$17))+AB209</f>
        <v>49846.137245858503</v>
      </c>
      <c r="AD209" s="68">
        <f>((AC209-DCF_FCFF!$C$48)*(1-DCF_FCFF!$C$50)+DCF_FCFF!$C$57+DCF_FCFF!$C$58)/DCF_FCFF!$C$60</f>
        <v>382.01710288498799</v>
      </c>
      <c r="AE209" s="6"/>
      <c r="AF209" s="6"/>
      <c r="AG209" s="6"/>
    </row>
    <row r="210" spans="1:33" x14ac:dyDescent="0.3">
      <c r="A210" s="6"/>
      <c r="B210" s="72">
        <v>179</v>
      </c>
      <c r="C210" s="73">
        <v>0.33947775420890303</v>
      </c>
      <c r="D210" s="73">
        <v>0.95489839185580805</v>
      </c>
      <c r="E210" s="73">
        <v>0.24359674535860701</v>
      </c>
      <c r="F210" s="73">
        <v>9.89245051048223E-2</v>
      </c>
      <c r="G210" s="73">
        <v>0.75350456300025803</v>
      </c>
      <c r="H210" s="15">
        <f t="shared" si="21"/>
        <v>-0.41388885217323534</v>
      </c>
      <c r="I210" s="15">
        <f t="shared" si="22"/>
        <v>1.6943267177404102</v>
      </c>
      <c r="J210" s="15">
        <f t="shared" si="23"/>
        <v>-0.69477951036367913</v>
      </c>
      <c r="K210" s="15">
        <f t="shared" si="24"/>
        <v>-1.2877040299645062</v>
      </c>
      <c r="L210" s="15">
        <f t="shared" si="25"/>
        <v>0.68555958569157494</v>
      </c>
      <c r="M210" s="18">
        <f t="shared" si="26"/>
        <v>-8.2777770434647076E-3</v>
      </c>
      <c r="N210" s="18">
        <f t="shared" si="27"/>
        <v>1.0083084430298268E-2</v>
      </c>
      <c r="O210" s="18">
        <f t="shared" si="28"/>
        <v>-8.3373541243641491E-3</v>
      </c>
      <c r="P210" s="18">
        <f t="shared" si="29"/>
        <v>-7.7262241797870371E-3</v>
      </c>
      <c r="Q210" s="18">
        <f t="shared" si="30"/>
        <v>2.7422383427662999E-3</v>
      </c>
      <c r="R210" s="28">
        <f>((Scenario_DT!I$11*(IF(Scenario_DT!I$18=1,1,1+$M210/Scenario_DT!$C$19)*(1+$N210)^MAX(0,Scenario_DT!I$18-3))*(Scenario_DT!I$12+$O210)-Scenario_DT!I$13)*(1-Scenario_DT!I$14)+Scenario_DT!I$13-Scenario_DT!I$15)*Scenario_DT!I$16</f>
        <v>899.22976545535266</v>
      </c>
      <c r="S210" s="28">
        <f>((Scenario_DT!J$11*(IF(Scenario_DT!J$18=1,1,1+$M210/Scenario_DT!$C$19)*(1+$N210)^MAX(0,Scenario_DT!J$18-3))*(Scenario_DT!J$12+$O210)-Scenario_DT!J$13)*(1-Scenario_DT!J$14)+Scenario_DT!J$13-Scenario_DT!J$15)*Scenario_DT!J$16</f>
        <v>1786.390874129941</v>
      </c>
      <c r="T210" s="28">
        <f>((Scenario_DT!K$11*(IF(Scenario_DT!K$18=1,1,1+$M210/Scenario_DT!$C$19)*(1+$N210)^MAX(0,Scenario_DT!K$18-3))*(Scenario_DT!K$12+$O210)-Scenario_DT!K$13)*(1-Scenario_DT!K$14)+Scenario_DT!K$13-Scenario_DT!K$15)*Scenario_DT!K$16</f>
        <v>2049.0405410032122</v>
      </c>
      <c r="U210" s="28">
        <f>((Scenario_DT!L$11*(IF(Scenario_DT!L$18=1,1,1+$M210/Scenario_DT!$C$19)*(1+$N210)^MAX(0,Scenario_DT!L$18-3))*(Scenario_DT!L$12+$O210)-Scenario_DT!L$13)*(1-Scenario_DT!L$14)+Scenario_DT!L$13-Scenario_DT!L$15)*Scenario_DT!L$16</f>
        <v>2471.9830869527773</v>
      </c>
      <c r="V210" s="28">
        <f>((Scenario_DT!M$11*(IF(Scenario_DT!M$18=1,1,1+$M210/Scenario_DT!$C$19)*(1+$N210)^MAX(0,Scenario_DT!M$18-3))*(Scenario_DT!M$12+$O210)-Scenario_DT!M$13)*(1-Scenario_DT!M$14)+Scenario_DT!M$13-Scenario_DT!M$15)*Scenario_DT!M$16</f>
        <v>2621.210944770804</v>
      </c>
      <c r="W210" s="28">
        <f>((Scenario_DT!N$11*(IF(Scenario_DT!N$18=1,1,1+$M210/Scenario_DT!$C$19)*(1+$N210)^MAX(0,Scenario_DT!N$18-3))*(Scenario_DT!N$12+$O210)-Scenario_DT!N$13)*(1-Scenario_DT!N$14)+Scenario_DT!N$13-Scenario_DT!N$15)*Scenario_DT!N$16</f>
        <v>2779.4536212140547</v>
      </c>
      <c r="X210" s="28">
        <f>((Scenario_DT!O$11*(IF(Scenario_DT!O$18=1,1,1+$M210/Scenario_DT!$C$19)*(1+$N210)^MAX(0,Scenario_DT!O$18-3))*(Scenario_DT!O$12+$O210)-Scenario_DT!O$13)*(1-Scenario_DT!O$14)+Scenario_DT!O$13-Scenario_DT!O$15)*Scenario_DT!O$16</f>
        <v>2947.2587901974757</v>
      </c>
      <c r="Y210" s="28">
        <f>((Scenario_DT!P$11*(IF(Scenario_DT!P$18=1,1,1+$M210/Scenario_DT!$C$19)*(1+$N210)^MAX(0,Scenario_DT!P$18-3))*(Scenario_DT!P$12+$O210)-Scenario_DT!P$13)*(1-Scenario_DT!P$14)+Scenario_DT!P$13-Scenario_DT!P$15)*Scenario_DT!P$16</f>
        <v>3125.2074004547117</v>
      </c>
      <c r="Z210" s="28">
        <f>((Scenario_DT!Q$11*(IF(Scenario_DT!Q$18=1,1,1+$M210/Scenario_DT!$C$19)*(1+$N210)^MAX(0,Scenario_DT!Q$18-3))*(Scenario_DT!Q$12+$O210)-Scenario_DT!Q$13)*(1-Scenario_DT!Q$14)+Scenario_DT!Q$13-Scenario_DT!Q$15)*Scenario_DT!Q$16</f>
        <v>3313.9156959412371</v>
      </c>
      <c r="AA210" s="28">
        <f>((Scenario_DT!R$11*(IF(Scenario_DT!R$18=1,1,1+$M210/Scenario_DT!$C$19)*(1+$N210)^MAX(0,Scenario_DT!R$18-3))*(Scenario_DT!R$12+$O210)-Scenario_DT!R$13)*(1-Scenario_DT!R$14)+Scenario_DT!R$13-Scenario_DT!R$15)*Scenario_DT!R$16</f>
        <v>3514.0373588440639</v>
      </c>
      <c r="AB210" s="17">
        <f>(Scenario_DT!$R$11*(1+$M210/Scenario_DT!$C$19)*(1+$N210)^7*(Scenario_DT!$R$12+$O210)*(1+MIN(DCF_FCFF!$C$26+$Q210,(DCF_FCFF!$C$25+$P210)-0.02))*(1-DCF_FCFF!$C$27)*(1-DCF_FCFF!$C$28)/((DCF_FCFF!$C$25+$P210)-MIN(DCF_FCFF!$C$26+$Q210,(DCF_FCFF!$C$25+$P210)-0.02)))*(1+(DCF_FCFF!$C$25+$P210))^(-(Inputs!$C$9+9))</f>
        <v>40107.817793819922</v>
      </c>
      <c r="AC210" s="17">
        <f>SUMPRODUCT(R210:AA210*(1+(DCF_FCFF!$C$25+$P210))^(-Scenario_DT!$I$17:$R$17))+AB210</f>
        <v>57246.353047080775</v>
      </c>
      <c r="AD210" s="68">
        <f>((AC210-DCF_FCFF!$C$48)*(1-DCF_FCFF!$C$50)+DCF_FCFF!$C$57+DCF_FCFF!$C$58)/DCF_FCFF!$C$60</f>
        <v>453.05006101053198</v>
      </c>
      <c r="AE210" s="6"/>
      <c r="AF210" s="6"/>
      <c r="AG210" s="6"/>
    </row>
    <row r="211" spans="1:33" x14ac:dyDescent="0.3">
      <c r="A211" s="6"/>
      <c r="B211" s="72">
        <v>180</v>
      </c>
      <c r="C211" s="73">
        <v>0.88103605191787004</v>
      </c>
      <c r="D211" s="73">
        <v>0.27811335687148803</v>
      </c>
      <c r="E211" s="73">
        <v>0.202088101645478</v>
      </c>
      <c r="F211" s="73">
        <v>0.18576613487108701</v>
      </c>
      <c r="G211" s="73">
        <v>0.522012301366512</v>
      </c>
      <c r="H211" s="15">
        <f t="shared" si="21"/>
        <v>1.1801818499735552</v>
      </c>
      <c r="I211" s="15">
        <f t="shared" si="22"/>
        <v>-0.58845532245204313</v>
      </c>
      <c r="J211" s="15">
        <f t="shared" si="23"/>
        <v>-0.83418595693647923</v>
      </c>
      <c r="K211" s="15">
        <f t="shared" si="24"/>
        <v>-0.8936068692181347</v>
      </c>
      <c r="L211" s="15">
        <f t="shared" si="25"/>
        <v>5.5204684086569908E-2</v>
      </c>
      <c r="M211" s="18">
        <f t="shared" si="26"/>
        <v>2.3603636999471104E-2</v>
      </c>
      <c r="N211" s="18">
        <f t="shared" si="27"/>
        <v>6.4378933400915982E-4</v>
      </c>
      <c r="O211" s="18">
        <f t="shared" si="28"/>
        <v>-1.0010231483237752E-2</v>
      </c>
      <c r="P211" s="18">
        <f t="shared" si="29"/>
        <v>-5.3616412153088084E-3</v>
      </c>
      <c r="Q211" s="18">
        <f t="shared" si="30"/>
        <v>2.2081873634627964E-4</v>
      </c>
      <c r="R211" s="28">
        <f>((Scenario_DT!I$11*(IF(Scenario_DT!I$18=1,1,1+$M211/Scenario_DT!$C$19)*(1+$N211)^MAX(0,Scenario_DT!I$18-3))*(Scenario_DT!I$12+$O211)-Scenario_DT!I$13)*(1-Scenario_DT!I$14)+Scenario_DT!I$13-Scenario_DT!I$15)*Scenario_DT!I$16</f>
        <v>896.87118840845255</v>
      </c>
      <c r="S211" s="28">
        <f>((Scenario_DT!J$11*(IF(Scenario_DT!J$18=1,1,1+$M211/Scenario_DT!$C$19)*(1+$N211)^MAX(0,Scenario_DT!J$18-3))*(Scenario_DT!J$12+$O211)-Scenario_DT!J$13)*(1-Scenario_DT!J$14)+Scenario_DT!J$13-Scenario_DT!J$15)*Scenario_DT!J$16</f>
        <v>1856.5796022803775</v>
      </c>
      <c r="T211" s="28">
        <f>((Scenario_DT!K$11*(IF(Scenario_DT!K$18=1,1,1+$M211/Scenario_DT!$C$19)*(1+$N211)^MAX(0,Scenario_DT!K$18-3))*(Scenario_DT!K$12+$O211)-Scenario_DT!K$13)*(1-Scenario_DT!K$14)+Scenario_DT!K$13-Scenario_DT!K$15)*Scenario_DT!K$16</f>
        <v>2122.8630870391426</v>
      </c>
      <c r="U211" s="28">
        <f>((Scenario_DT!L$11*(IF(Scenario_DT!L$18=1,1,1+$M211/Scenario_DT!$C$19)*(1+$N211)^MAX(0,Scenario_DT!L$18-3))*(Scenario_DT!L$12+$O211)-Scenario_DT!L$13)*(1-Scenario_DT!L$14)+Scenario_DT!L$13-Scenario_DT!L$15)*Scenario_DT!L$16</f>
        <v>2527.1580856985206</v>
      </c>
      <c r="V211" s="28">
        <f>((Scenario_DT!M$11*(IF(Scenario_DT!M$18=1,1,1+$M211/Scenario_DT!$C$19)*(1+$N211)^MAX(0,Scenario_DT!M$18-3))*(Scenario_DT!M$12+$O211)-Scenario_DT!M$13)*(1-Scenario_DT!M$14)+Scenario_DT!M$13-Scenario_DT!M$15)*Scenario_DT!M$16</f>
        <v>2654.514272546342</v>
      </c>
      <c r="W211" s="28">
        <f>((Scenario_DT!N$11*(IF(Scenario_DT!N$18=1,1,1+$M211/Scenario_DT!$C$19)*(1+$N211)^MAX(0,Scenario_DT!N$18-3))*(Scenario_DT!N$12+$O211)-Scenario_DT!N$13)*(1-Scenario_DT!N$14)+Scenario_DT!N$13-Scenario_DT!N$15)*Scenario_DT!N$16</f>
        <v>2788.282360765264</v>
      </c>
      <c r="X211" s="28">
        <f>((Scenario_DT!O$11*(IF(Scenario_DT!O$18=1,1,1+$M211/Scenario_DT!$C$19)*(1+$N211)^MAX(0,Scenario_DT!O$18-3))*(Scenario_DT!O$12+$O211)-Scenario_DT!O$13)*(1-Scenario_DT!O$14)+Scenario_DT!O$13-Scenario_DT!O$15)*Scenario_DT!O$16</f>
        <v>2928.7875682985673</v>
      </c>
      <c r="Y211" s="28">
        <f>((Scenario_DT!P$11*(IF(Scenario_DT!P$18=1,1,1+$M211/Scenario_DT!$C$19)*(1+$N211)^MAX(0,Scenario_DT!P$18-3))*(Scenario_DT!P$12+$O211)-Scenario_DT!P$13)*(1-Scenario_DT!P$14)+Scenario_DT!P$13-Scenario_DT!P$15)*Scenario_DT!P$16</f>
        <v>3076.3716285237947</v>
      </c>
      <c r="Z211" s="28">
        <f>((Scenario_DT!Q$11*(IF(Scenario_DT!Q$18=1,1,1+$M211/Scenario_DT!$C$19)*(1+$N211)^MAX(0,Scenario_DT!Q$18-3))*(Scenario_DT!Q$12+$O211)-Scenario_DT!Q$13)*(1-Scenario_DT!Q$14)+Scenario_DT!Q$13-Scenario_DT!Q$15)*Scenario_DT!Q$16</f>
        <v>3231.3936289633425</v>
      </c>
      <c r="AA211" s="28">
        <f>((Scenario_DT!R$11*(IF(Scenario_DT!R$18=1,1,1+$M211/Scenario_DT!$C$19)*(1+$N211)^MAX(0,Scenario_DT!R$18-3))*(Scenario_DT!R$12+$O211)-Scenario_DT!R$13)*(1-Scenario_DT!R$14)+Scenario_DT!R$13-Scenario_DT!R$15)*Scenario_DT!R$16</f>
        <v>3394.2308925793272</v>
      </c>
      <c r="AB211" s="17">
        <f>(Scenario_DT!$R$11*(1+$M211/Scenario_DT!$C$19)*(1+$N211)^7*(Scenario_DT!$R$12+$O211)*(1+MIN(DCF_FCFF!$C$26+$Q211,(DCF_FCFF!$C$25+$P211)-0.02))*(1-DCF_FCFF!$C$27)*(1-DCF_FCFF!$C$28)/((DCF_FCFF!$C$25+$P211)-MIN(DCF_FCFF!$C$26+$Q211,(DCF_FCFF!$C$25+$P211)-0.02)))*(1+(DCF_FCFF!$C$25+$P211))^(-(Inputs!$C$9+9))</f>
        <v>33738.513515268278</v>
      </c>
      <c r="AC211" s="17">
        <f>SUMPRODUCT(R211:AA211*(1+(DCF_FCFF!$C$25+$P211))^(-Scenario_DT!$I$17:$R$17))+AB211</f>
        <v>50760.665440544573</v>
      </c>
      <c r="AD211" s="68">
        <f>((AC211-DCF_FCFF!$C$48)*(1-DCF_FCFF!$C$50)+DCF_FCFF!$C$57+DCF_FCFF!$C$58)/DCF_FCFF!$C$60</f>
        <v>390.79544728773305</v>
      </c>
      <c r="AE211" s="6"/>
      <c r="AF211" s="6"/>
      <c r="AG211" s="6"/>
    </row>
    <row r="212" spans="1:33" x14ac:dyDescent="0.3">
      <c r="A212" s="6"/>
      <c r="B212" s="72">
        <v>181</v>
      </c>
      <c r="C212" s="73">
        <v>0.46841664124677101</v>
      </c>
      <c r="D212" s="73">
        <v>0.259439839854534</v>
      </c>
      <c r="E212" s="73">
        <v>4.5173116989426401E-2</v>
      </c>
      <c r="F212" s="73">
        <v>0.48149134032628099</v>
      </c>
      <c r="G212" s="73">
        <v>0.95933234763560804</v>
      </c>
      <c r="H212" s="15">
        <f t="shared" si="21"/>
        <v>-7.9250619671654185E-2</v>
      </c>
      <c r="I212" s="15">
        <f t="shared" si="22"/>
        <v>-0.64507330901029014</v>
      </c>
      <c r="J212" s="15">
        <f t="shared" si="23"/>
        <v>-1.6935741479965369</v>
      </c>
      <c r="K212" s="15">
        <f t="shared" si="24"/>
        <v>-4.6410985667789083E-2</v>
      </c>
      <c r="L212" s="15">
        <f t="shared" si="25"/>
        <v>1.7429903256023727</v>
      </c>
      <c r="M212" s="18">
        <f t="shared" si="26"/>
        <v>-1.5850123934330836E-3</v>
      </c>
      <c r="N212" s="18">
        <f t="shared" si="27"/>
        <v>-4.7862014619362214E-3</v>
      </c>
      <c r="O212" s="18">
        <f t="shared" si="28"/>
        <v>-2.0322889775958444E-2</v>
      </c>
      <c r="P212" s="18">
        <f t="shared" si="29"/>
        <v>-2.7846591400673449E-4</v>
      </c>
      <c r="Q212" s="18">
        <f t="shared" si="30"/>
        <v>6.9719613024094912E-3</v>
      </c>
      <c r="R212" s="28">
        <f>((Scenario_DT!I$11*(IF(Scenario_DT!I$18=1,1,1+$M212/Scenario_DT!$C$19)*(1+$N212)^MAX(0,Scenario_DT!I$18-3))*(Scenario_DT!I$12+$O212)-Scenario_DT!I$13)*(1-Scenario_DT!I$14)+Scenario_DT!I$13-Scenario_DT!I$15)*Scenario_DT!I$16</f>
        <v>882.33145002732533</v>
      </c>
      <c r="S212" s="28">
        <f>((Scenario_DT!J$11*(IF(Scenario_DT!J$18=1,1,1+$M212/Scenario_DT!$C$19)*(1+$N212)^MAX(0,Scenario_DT!J$18-3))*(Scenario_DT!J$12+$O212)-Scenario_DT!J$13)*(1-Scenario_DT!J$14)+Scenario_DT!J$13-Scenario_DT!J$15)*Scenario_DT!J$16</f>
        <v>1765.05914793477</v>
      </c>
      <c r="T212" s="28">
        <f>((Scenario_DT!K$11*(IF(Scenario_DT!K$18=1,1,1+$M212/Scenario_DT!$C$19)*(1+$N212)^MAX(0,Scenario_DT!K$18-3))*(Scenario_DT!K$12+$O212)-Scenario_DT!K$13)*(1-Scenario_DT!K$14)+Scenario_DT!K$13-Scenario_DT!K$15)*Scenario_DT!K$16</f>
        <v>2027.1614509365845</v>
      </c>
      <c r="U212" s="28">
        <f>((Scenario_DT!L$11*(IF(Scenario_DT!L$18=1,1,1+$M212/Scenario_DT!$C$19)*(1+$N212)^MAX(0,Scenario_DT!L$18-3))*(Scenario_DT!L$12+$O212)-Scenario_DT!L$13)*(1-Scenario_DT!L$14)+Scenario_DT!L$13-Scenario_DT!L$15)*Scenario_DT!L$16</f>
        <v>2412.2254431953488</v>
      </c>
      <c r="V212" s="28">
        <f>((Scenario_DT!M$11*(IF(Scenario_DT!M$18=1,1,1+$M212/Scenario_DT!$C$19)*(1+$N212)^MAX(0,Scenario_DT!M$18-3))*(Scenario_DT!M$12+$O212)-Scenario_DT!M$13)*(1-Scenario_DT!M$14)+Scenario_DT!M$13-Scenario_DT!M$15)*Scenario_DT!M$16</f>
        <v>2519.9078138743644</v>
      </c>
      <c r="W212" s="28">
        <f>((Scenario_DT!N$11*(IF(Scenario_DT!N$18=1,1,1+$M212/Scenario_DT!$C$19)*(1+$N212)^MAX(0,Scenario_DT!N$18-3))*(Scenario_DT!N$12+$O212)-Scenario_DT!N$13)*(1-Scenario_DT!N$14)+Scenario_DT!N$13-Scenario_DT!N$15)*Scenario_DT!N$16</f>
        <v>2632.3822222145614</v>
      </c>
      <c r="X212" s="28">
        <f>((Scenario_DT!O$11*(IF(Scenario_DT!O$18=1,1,1+$M212/Scenario_DT!$C$19)*(1+$N212)^MAX(0,Scenario_DT!O$18-3))*(Scenario_DT!O$12+$O212)-Scenario_DT!O$13)*(1-Scenario_DT!O$14)+Scenario_DT!O$13-Scenario_DT!O$15)*Scenario_DT!O$16</f>
        <v>2749.863784548817</v>
      </c>
      <c r="Y212" s="28">
        <f>((Scenario_DT!P$11*(IF(Scenario_DT!P$18=1,1,1+$M212/Scenario_DT!$C$19)*(1+$N212)^MAX(0,Scenario_DT!P$18-3))*(Scenario_DT!P$12+$O212)-Scenario_DT!P$13)*(1-Scenario_DT!P$14)+Scenario_DT!P$13-Scenario_DT!P$15)*Scenario_DT!P$16</f>
        <v>2872.577293247647</v>
      </c>
      <c r="Z212" s="28">
        <f>((Scenario_DT!Q$11*(IF(Scenario_DT!Q$18=1,1,1+$M212/Scenario_DT!$C$19)*(1+$N212)^MAX(0,Scenario_DT!Q$18-3))*(Scenario_DT!Q$12+$O212)-Scenario_DT!Q$13)*(1-Scenario_DT!Q$14)+Scenario_DT!Q$13-Scenario_DT!Q$15)*Scenario_DT!Q$16</f>
        <v>3000.7576521737888</v>
      </c>
      <c r="AA212" s="28">
        <f>((Scenario_DT!R$11*(IF(Scenario_DT!R$18=1,1,1+$M212/Scenario_DT!$C$19)*(1+$N212)^MAX(0,Scenario_DT!R$18-3))*(Scenario_DT!R$12+$O212)-Scenario_DT!R$13)*(1-Scenario_DT!R$14)+Scenario_DT!R$13-Scenario_DT!R$15)*Scenario_DT!R$16</f>
        <v>3134.6503317372672</v>
      </c>
      <c r="AB212" s="17">
        <f>(Scenario_DT!$R$11*(1+$M212/Scenario_DT!$C$19)*(1+$N212)^7*(Scenario_DT!$R$12+$O212)*(1+MIN(DCF_FCFF!$C$26+$Q212,(DCF_FCFF!$C$25+$P212)-0.02))*(1-DCF_FCFF!$C$27)*(1-DCF_FCFF!$C$28)/((DCF_FCFF!$C$25+$P212)-MIN(DCF_FCFF!$C$26+$Q212,(DCF_FCFF!$C$25+$P212)-0.02)))*(1+(DCF_FCFF!$C$25+$P212))^(-(Inputs!$C$9+9))</f>
        <v>31183.648360999097</v>
      </c>
      <c r="AC212" s="17">
        <f>SUMPRODUCT(R212:AA212*(1+(DCF_FCFF!$C$25+$P212))^(-Scenario_DT!$I$17:$R$17))+AB212</f>
        <v>46921.783644964904</v>
      </c>
      <c r="AD212" s="68">
        <f>((AC212-DCF_FCFF!$C$48)*(1-DCF_FCFF!$C$50)+DCF_FCFF!$C$57+DCF_FCFF!$C$58)/DCF_FCFF!$C$60</f>
        <v>353.94690973707338</v>
      </c>
      <c r="AE212" s="6"/>
      <c r="AF212" s="6"/>
      <c r="AG212" s="6"/>
    </row>
    <row r="213" spans="1:33" x14ac:dyDescent="0.3">
      <c r="A213" s="6"/>
      <c r="B213" s="72">
        <v>182</v>
      </c>
      <c r="C213" s="73">
        <v>0.65251920075266301</v>
      </c>
      <c r="D213" s="73">
        <v>0.49550655662861798</v>
      </c>
      <c r="E213" s="73">
        <v>0.11069207402961601</v>
      </c>
      <c r="F213" s="73">
        <v>0.25243629054958699</v>
      </c>
      <c r="G213" s="73">
        <v>0.294773949574543</v>
      </c>
      <c r="H213" s="15">
        <f t="shared" si="21"/>
        <v>0.39213076295453142</v>
      </c>
      <c r="I213" s="15">
        <f t="shared" si="22"/>
        <v>-1.126363036890681E-2</v>
      </c>
      <c r="J213" s="15">
        <f t="shared" si="23"/>
        <v>-1.222855845888577</v>
      </c>
      <c r="K213" s="15">
        <f t="shared" si="24"/>
        <v>-0.66684275259662629</v>
      </c>
      <c r="L213" s="15">
        <f t="shared" si="25"/>
        <v>-0.53949129897181514</v>
      </c>
      <c r="M213" s="18">
        <f t="shared" si="26"/>
        <v>7.8426152590906281E-3</v>
      </c>
      <c r="N213" s="18">
        <f t="shared" si="27"/>
        <v>1.4904863315116361E-3</v>
      </c>
      <c r="O213" s="18">
        <f t="shared" si="28"/>
        <v>-1.4674270150662925E-2</v>
      </c>
      <c r="P213" s="18">
        <f t="shared" si="29"/>
        <v>-4.0010565155797579E-3</v>
      </c>
      <c r="Q213" s="18">
        <f t="shared" si="30"/>
        <v>-2.1579651958872604E-3</v>
      </c>
      <c r="R213" s="28">
        <f>((Scenario_DT!I$11*(IF(Scenario_DT!I$18=1,1,1+$M213/Scenario_DT!$C$19)*(1+$N213)^MAX(0,Scenario_DT!I$18-3))*(Scenario_DT!I$12+$O213)-Scenario_DT!I$13)*(1-Scenario_DT!I$14)+Scenario_DT!I$13-Scenario_DT!I$15)*Scenario_DT!I$16</f>
        <v>890.29539581463689</v>
      </c>
      <c r="S213" s="28">
        <f>((Scenario_DT!J$11*(IF(Scenario_DT!J$18=1,1,1+$M213/Scenario_DT!$C$19)*(1+$N213)^MAX(0,Scenario_DT!J$18-3))*(Scenario_DT!J$12+$O213)-Scenario_DT!J$13)*(1-Scenario_DT!J$14)+Scenario_DT!J$13-Scenario_DT!J$15)*Scenario_DT!J$16</f>
        <v>1804.7179362021393</v>
      </c>
      <c r="T213" s="28">
        <f>((Scenario_DT!K$11*(IF(Scenario_DT!K$18=1,1,1+$M213/Scenario_DT!$C$19)*(1+$N213)^MAX(0,Scenario_DT!K$18-3))*(Scenario_DT!K$12+$O213)-Scenario_DT!K$13)*(1-Scenario_DT!K$14)+Scenario_DT!K$13-Scenario_DT!K$15)*Scenario_DT!K$16</f>
        <v>2068.5815056258989</v>
      </c>
      <c r="U213" s="28">
        <f>((Scenario_DT!L$11*(IF(Scenario_DT!L$18=1,1,1+$M213/Scenario_DT!$C$19)*(1+$N213)^MAX(0,Scenario_DT!L$18-3))*(Scenario_DT!L$12+$O213)-Scenario_DT!L$13)*(1-Scenario_DT!L$14)+Scenario_DT!L$13-Scenario_DT!L$15)*Scenario_DT!L$16</f>
        <v>2471.5898847056328</v>
      </c>
      <c r="V213" s="28">
        <f>((Scenario_DT!M$11*(IF(Scenario_DT!M$18=1,1,1+$M213/Scenario_DT!$C$19)*(1+$N213)^MAX(0,Scenario_DT!M$18-3))*(Scenario_DT!M$12+$O213)-Scenario_DT!M$13)*(1-Scenario_DT!M$14)+Scenario_DT!M$13-Scenario_DT!M$15)*Scenario_DT!M$16</f>
        <v>2598.3424230043079</v>
      </c>
      <c r="W213" s="28">
        <f>((Scenario_DT!N$11*(IF(Scenario_DT!N$18=1,1,1+$M213/Scenario_DT!$C$19)*(1+$N213)^MAX(0,Scenario_DT!N$18-3))*(Scenario_DT!N$12+$O213)-Scenario_DT!N$13)*(1-Scenario_DT!N$14)+Scenario_DT!N$13-Scenario_DT!N$15)*Scenario_DT!N$16</f>
        <v>2731.5903507256075</v>
      </c>
      <c r="X213" s="28">
        <f>((Scenario_DT!O$11*(IF(Scenario_DT!O$18=1,1,1+$M213/Scenario_DT!$C$19)*(1+$N213)^MAX(0,Scenario_DT!O$18-3))*(Scenario_DT!O$12+$O213)-Scenario_DT!O$13)*(1-Scenario_DT!O$14)+Scenario_DT!O$13-Scenario_DT!O$15)*Scenario_DT!O$16</f>
        <v>2871.6689991122885</v>
      </c>
      <c r="Y213" s="28">
        <f>((Scenario_DT!P$11*(IF(Scenario_DT!P$18=1,1,1+$M213/Scenario_DT!$C$19)*(1+$N213)^MAX(0,Scenario_DT!P$18-3))*(Scenario_DT!P$12+$O213)-Scenario_DT!P$13)*(1-Scenario_DT!P$14)+Scenario_DT!P$13-Scenario_DT!P$15)*Scenario_DT!P$16</f>
        <v>3018.9310306718712</v>
      </c>
      <c r="Z213" s="28">
        <f>((Scenario_DT!Q$11*(IF(Scenario_DT!Q$18=1,1,1+$M213/Scenario_DT!$C$19)*(1+$N213)^MAX(0,Scenario_DT!Q$18-3))*(Scenario_DT!Q$12+$O213)-Scenario_DT!Q$13)*(1-Scenario_DT!Q$14)+Scenario_DT!Q$13-Scenario_DT!Q$15)*Scenario_DT!Q$16</f>
        <v>3173.7473348714143</v>
      </c>
      <c r="AA213" s="28">
        <f>((Scenario_DT!R$11*(IF(Scenario_DT!R$18=1,1,1+$M213/Scenario_DT!$C$19)*(1+$N213)^MAX(0,Scenario_DT!R$18-3))*(Scenario_DT!R$12+$O213)-Scenario_DT!R$13)*(1-Scenario_DT!R$14)+Scenario_DT!R$13-Scenario_DT!R$15)*Scenario_DT!R$16</f>
        <v>3336.5079701108189</v>
      </c>
      <c r="AB213" s="17">
        <f>(Scenario_DT!$R$11*(1+$M213/Scenario_DT!$C$19)*(1+$N213)^7*(Scenario_DT!$R$12+$O213)*(1+MIN(DCF_FCFF!$C$26+$Q213,(DCF_FCFF!$C$25+$P213)-0.02))*(1-DCF_FCFF!$C$27)*(1-DCF_FCFF!$C$28)/((DCF_FCFF!$C$25+$P213)-MIN(DCF_FCFF!$C$26+$Q213,(DCF_FCFF!$C$25+$P213)-0.02)))*(1+(DCF_FCFF!$C$25+$P213))^(-(Inputs!$C$9+9))</f>
        <v>30184.557840224385</v>
      </c>
      <c r="AC213" s="17">
        <f>SUMPRODUCT(R213:AA213*(1+(DCF_FCFF!$C$25+$P213))^(-Scenario_DT!$I$17:$R$17))+AB213</f>
        <v>46761.800711774129</v>
      </c>
      <c r="AD213" s="68">
        <f>((AC213-DCF_FCFF!$C$48)*(1-DCF_FCFF!$C$50)+DCF_FCFF!$C$57+DCF_FCFF!$C$58)/DCF_FCFF!$C$60</f>
        <v>352.41127060175722</v>
      </c>
      <c r="AE213" s="6"/>
      <c r="AF213" s="6"/>
      <c r="AG213" s="6"/>
    </row>
    <row r="214" spans="1:33" x14ac:dyDescent="0.3">
      <c r="A214" s="6"/>
      <c r="B214" s="72">
        <v>183</v>
      </c>
      <c r="C214" s="73">
        <v>0.76480355260723398</v>
      </c>
      <c r="D214" s="73">
        <v>0.87671079726461898</v>
      </c>
      <c r="E214" s="73">
        <v>0.901641853566438</v>
      </c>
      <c r="F214" s="73">
        <v>0.98456860825075398</v>
      </c>
      <c r="G214" s="73">
        <v>0.98236668310453301</v>
      </c>
      <c r="H214" s="15">
        <f t="shared" si="21"/>
        <v>0.72183993310936911</v>
      </c>
      <c r="I214" s="15">
        <f t="shared" si="22"/>
        <v>1.1587002093754326</v>
      </c>
      <c r="J214" s="15">
        <f t="shared" si="23"/>
        <v>1.2909636198625727</v>
      </c>
      <c r="K214" s="15">
        <f t="shared" si="24"/>
        <v>2.1588374042755425</v>
      </c>
      <c r="L214" s="15">
        <f t="shared" si="25"/>
        <v>2.1052835428694023</v>
      </c>
      <c r="M214" s="18">
        <f t="shared" si="26"/>
        <v>1.4436798662187382E-2</v>
      </c>
      <c r="N214" s="18">
        <f t="shared" si="27"/>
        <v>1.0915070265953257E-2</v>
      </c>
      <c r="O214" s="18">
        <f t="shared" si="28"/>
        <v>1.5491563438350873E-2</v>
      </c>
      <c r="P214" s="18">
        <f t="shared" si="29"/>
        <v>1.2953024425653254E-2</v>
      </c>
      <c r="Q214" s="18">
        <f t="shared" si="30"/>
        <v>8.4211341714776101E-3</v>
      </c>
      <c r="R214" s="28">
        <f>((Scenario_DT!I$11*(IF(Scenario_DT!I$18=1,1,1+$M214/Scenario_DT!$C$19)*(1+$N214)^MAX(0,Scenario_DT!I$18-3))*(Scenario_DT!I$12+$O214)-Scenario_DT!I$13)*(1-Scenario_DT!I$14)+Scenario_DT!I$13-Scenario_DT!I$15)*Scenario_DT!I$16</f>
        <v>932.82597483541929</v>
      </c>
      <c r="S214" s="28">
        <f>((Scenario_DT!J$11*(IF(Scenario_DT!J$18=1,1,1+$M214/Scenario_DT!$C$19)*(1+$N214)^MAX(0,Scenario_DT!J$18-3))*(Scenario_DT!J$12+$O214)-Scenario_DT!J$13)*(1-Scenario_DT!J$14)+Scenario_DT!J$13-Scenario_DT!J$15)*Scenario_DT!J$16</f>
        <v>1915.3854211458711</v>
      </c>
      <c r="T214" s="28">
        <f>((Scenario_DT!K$11*(IF(Scenario_DT!K$18=1,1,1+$M214/Scenario_DT!$C$19)*(1+$N214)^MAX(0,Scenario_DT!K$18-3))*(Scenario_DT!K$12+$O214)-Scenario_DT!K$13)*(1-Scenario_DT!K$14)+Scenario_DT!K$13-Scenario_DT!K$15)*Scenario_DT!K$16</f>
        <v>2183.4934908257237</v>
      </c>
      <c r="U214" s="28">
        <f>((Scenario_DT!L$11*(IF(Scenario_DT!L$18=1,1,1+$M214/Scenario_DT!$C$19)*(1+$N214)^MAX(0,Scenario_DT!L$18-3))*(Scenario_DT!L$12+$O214)-Scenario_DT!L$13)*(1-Scenario_DT!L$14)+Scenario_DT!L$13-Scenario_DT!L$15)*Scenario_DT!L$16</f>
        <v>2618.3503893984025</v>
      </c>
      <c r="V214" s="28">
        <f>((Scenario_DT!M$11*(IF(Scenario_DT!M$18=1,1,1+$M214/Scenario_DT!$C$19)*(1+$N214)^MAX(0,Scenario_DT!M$18-3))*(Scenario_DT!M$12+$O214)-Scenario_DT!M$13)*(1-Scenario_DT!M$14)+Scenario_DT!M$13-Scenario_DT!M$15)*Scenario_DT!M$16</f>
        <v>2778.7483315027907</v>
      </c>
      <c r="W214" s="28">
        <f>((Scenario_DT!N$11*(IF(Scenario_DT!N$18=1,1,1+$M214/Scenario_DT!$C$19)*(1+$N214)^MAX(0,Scenario_DT!N$18-3))*(Scenario_DT!N$12+$O214)-Scenario_DT!N$13)*(1-Scenario_DT!N$14)+Scenario_DT!N$13-Scenario_DT!N$15)*Scenario_DT!N$16</f>
        <v>2948.9793453640345</v>
      </c>
      <c r="X214" s="28">
        <f>((Scenario_DT!O$11*(IF(Scenario_DT!O$18=1,1,1+$M214/Scenario_DT!$C$19)*(1+$N214)^MAX(0,Scenario_DT!O$18-3))*(Scenario_DT!O$12+$O214)-Scenario_DT!O$13)*(1-Scenario_DT!O$14)+Scenario_DT!O$13-Scenario_DT!O$15)*Scenario_DT!O$16</f>
        <v>3129.6493765988621</v>
      </c>
      <c r="Y214" s="28">
        <f>((Scenario_DT!P$11*(IF(Scenario_DT!P$18=1,1,1+$M214/Scenario_DT!$C$19)*(1+$N214)^MAX(0,Scenario_DT!P$18-3))*(Scenario_DT!P$12+$O214)-Scenario_DT!P$13)*(1-Scenario_DT!P$14)+Scenario_DT!P$13-Scenario_DT!P$15)*Scenario_DT!P$16</f>
        <v>3321.4017106277747</v>
      </c>
      <c r="Z214" s="28">
        <f>((Scenario_DT!Q$11*(IF(Scenario_DT!Q$18=1,1,1+$M214/Scenario_DT!$C$19)*(1+$N214)^MAX(0,Scenario_DT!Q$18-3))*(Scenario_DT!Q$12+$O214)-Scenario_DT!Q$13)*(1-Scenario_DT!Q$14)+Scenario_DT!Q$13-Scenario_DT!Q$15)*Scenario_DT!Q$16</f>
        <v>3524.9192722129687</v>
      </c>
      <c r="AA214" s="28">
        <f>((Scenario_DT!R$11*(IF(Scenario_DT!R$18=1,1,1+$M214/Scenario_DT!$C$19)*(1+$N214)^MAX(0,Scenario_DT!R$18-3))*(Scenario_DT!R$12+$O214)-Scenario_DT!R$13)*(1-Scenario_DT!R$14)+Scenario_DT!R$13-Scenario_DT!R$15)*Scenario_DT!R$16</f>
        <v>3740.927066533739</v>
      </c>
      <c r="AB214" s="17">
        <f>(Scenario_DT!$R$11*(1+$M214/Scenario_DT!$C$19)*(1+$N214)^7*(Scenario_DT!$R$12+$O214)*(1+MIN(DCF_FCFF!$C$26+$Q214,(DCF_FCFF!$C$25+$P214)-0.02))*(1-DCF_FCFF!$C$27)*(1-DCF_FCFF!$C$28)/((DCF_FCFF!$C$25+$P214)-MIN(DCF_FCFF!$C$26+$Q214,(DCF_FCFF!$C$25+$P214)-0.02)))*(1+(DCF_FCFF!$C$25+$P214))^(-(Inputs!$C$9+9))</f>
        <v>26074.192446798785</v>
      </c>
      <c r="AC214" s="17">
        <f>SUMPRODUCT(R214:AA214*(1+(DCF_FCFF!$C$25+$P214))^(-Scenario_DT!$I$17:$R$17))+AB214</f>
        <v>42739.210332607574</v>
      </c>
      <c r="AD214" s="68">
        <f>((AC214-DCF_FCFF!$C$48)*(1-DCF_FCFF!$C$50)+DCF_FCFF!$C$57+DCF_FCFF!$C$58)/DCF_FCFF!$C$60</f>
        <v>313.79935689075978</v>
      </c>
      <c r="AE214" s="6"/>
      <c r="AF214" s="6"/>
      <c r="AG214" s="6"/>
    </row>
    <row r="215" spans="1:33" x14ac:dyDescent="0.3">
      <c r="A215" s="6"/>
      <c r="B215" s="72">
        <v>184</v>
      </c>
      <c r="C215" s="73">
        <v>0.95299913276798098</v>
      </c>
      <c r="D215" s="73">
        <v>7.1822140502884393E-2</v>
      </c>
      <c r="E215" s="73">
        <v>0.13779353592780499</v>
      </c>
      <c r="F215" s="73">
        <v>0.30446652647603301</v>
      </c>
      <c r="G215" s="73">
        <v>0.55289825406446202</v>
      </c>
      <c r="H215" s="15">
        <f t="shared" si="21"/>
        <v>1.6746560539134618</v>
      </c>
      <c r="I215" s="15">
        <f t="shared" si="22"/>
        <v>-1.4623538062227683</v>
      </c>
      <c r="J215" s="15">
        <f t="shared" si="23"/>
        <v>-1.0902862461749721</v>
      </c>
      <c r="K215" s="15">
        <f t="shared" si="24"/>
        <v>-0.51159704651635474</v>
      </c>
      <c r="L215" s="15">
        <f t="shared" si="25"/>
        <v>0.13298721470533054</v>
      </c>
      <c r="M215" s="18">
        <f t="shared" si="26"/>
        <v>3.3493121078269239E-2</v>
      </c>
      <c r="N215" s="18">
        <f t="shared" si="27"/>
        <v>-3.432860148424421E-3</v>
      </c>
      <c r="O215" s="18">
        <f t="shared" si="28"/>
        <v>-1.3083434954099665E-2</v>
      </c>
      <c r="P215" s="18">
        <f t="shared" si="29"/>
        <v>-3.0695822790981287E-3</v>
      </c>
      <c r="Q215" s="18">
        <f t="shared" si="30"/>
        <v>5.3194885882132219E-4</v>
      </c>
      <c r="R215" s="28">
        <f>((Scenario_DT!I$11*(IF(Scenario_DT!I$18=1,1,1+$M215/Scenario_DT!$C$19)*(1+$N215)^MAX(0,Scenario_DT!I$18-3))*(Scenario_DT!I$12+$O215)-Scenario_DT!I$13)*(1-Scenario_DT!I$14)+Scenario_DT!I$13-Scenario_DT!I$15)*Scenario_DT!I$16</f>
        <v>892.53830224176511</v>
      </c>
      <c r="S215" s="28">
        <f>((Scenario_DT!J$11*(IF(Scenario_DT!J$18=1,1,1+$M215/Scenario_DT!$C$19)*(1+$N215)^MAX(0,Scenario_DT!J$18-3))*(Scenario_DT!J$12+$O215)-Scenario_DT!J$13)*(1-Scenario_DT!J$14)+Scenario_DT!J$13-Scenario_DT!J$15)*Scenario_DT!J$16</f>
        <v>1870.0596212177284</v>
      </c>
      <c r="T215" s="28">
        <f>((Scenario_DT!K$11*(IF(Scenario_DT!K$18=1,1,1+$M215/Scenario_DT!$C$19)*(1+$N215)^MAX(0,Scenario_DT!K$18-3))*(Scenario_DT!K$12+$O215)-Scenario_DT!K$13)*(1-Scenario_DT!K$14)+Scenario_DT!K$13-Scenario_DT!K$15)*Scenario_DT!K$16</f>
        <v>2137.1690642345948</v>
      </c>
      <c r="U215" s="28">
        <f>((Scenario_DT!L$11*(IF(Scenario_DT!L$18=1,1,1+$M215/Scenario_DT!$C$19)*(1+$N215)^MAX(0,Scenario_DT!L$18-3))*(Scenario_DT!L$12+$O215)-Scenario_DT!L$13)*(1-Scenario_DT!L$14)+Scenario_DT!L$13-Scenario_DT!L$15)*Scenario_DT!L$16</f>
        <v>2531.9312411763026</v>
      </c>
      <c r="V215" s="28">
        <f>((Scenario_DT!M$11*(IF(Scenario_DT!M$18=1,1,1+$M215/Scenario_DT!$C$19)*(1+$N215)^MAX(0,Scenario_DT!M$18-3))*(Scenario_DT!M$12+$O215)-Scenario_DT!M$13)*(1-Scenario_DT!M$14)+Scenario_DT!M$13-Scenario_DT!M$15)*Scenario_DT!M$16</f>
        <v>2648.6191937400608</v>
      </c>
      <c r="W215" s="28">
        <f>((Scenario_DT!N$11*(IF(Scenario_DT!N$18=1,1,1+$M215/Scenario_DT!$C$19)*(1+$N215)^MAX(0,Scenario_DT!N$18-3))*(Scenario_DT!N$12+$O215)-Scenario_DT!N$13)*(1-Scenario_DT!N$14)+Scenario_DT!N$13-Scenario_DT!N$15)*Scenario_DT!N$16</f>
        <v>2770.6722440869653</v>
      </c>
      <c r="X215" s="28">
        <f>((Scenario_DT!O$11*(IF(Scenario_DT!O$18=1,1,1+$M215/Scenario_DT!$C$19)*(1+$N215)^MAX(0,Scenario_DT!O$18-3))*(Scenario_DT!O$12+$O215)-Scenario_DT!O$13)*(1-Scenario_DT!O$14)+Scenario_DT!O$13-Scenario_DT!O$15)*Scenario_DT!O$16</f>
        <v>2898.3390778739436</v>
      </c>
      <c r="Y215" s="28">
        <f>((Scenario_DT!P$11*(IF(Scenario_DT!P$18=1,1,1+$M215/Scenario_DT!$C$19)*(1+$N215)^MAX(0,Scenario_DT!P$18-3))*(Scenario_DT!P$12+$O215)-Scenario_DT!P$13)*(1-Scenario_DT!P$14)+Scenario_DT!P$13-Scenario_DT!P$15)*Scenario_DT!P$16</f>
        <v>3031.8799282690848</v>
      </c>
      <c r="Z215" s="28">
        <f>((Scenario_DT!Q$11*(IF(Scenario_DT!Q$18=1,1,1+$M215/Scenario_DT!$C$19)*(1+$N215)^MAX(0,Scenario_DT!Q$18-3))*(Scenario_DT!Q$12+$O215)-Scenario_DT!Q$13)*(1-Scenario_DT!Q$14)+Scenario_DT!Q$13-Scenario_DT!Q$15)*Scenario_DT!Q$16</f>
        <v>3171.5671123565121</v>
      </c>
      <c r="AA215" s="28">
        <f>((Scenario_DT!R$11*(IF(Scenario_DT!R$18=1,1,1+$M215/Scenario_DT!$C$19)*(1+$N215)^MAX(0,Scenario_DT!R$18-3))*(Scenario_DT!R$12+$O215)-Scenario_DT!R$13)*(1-Scenario_DT!R$14)+Scenario_DT!R$13-Scenario_DT!R$15)*Scenario_DT!R$16</f>
        <v>3317.6855924605388</v>
      </c>
      <c r="AB215" s="17">
        <f>(Scenario_DT!$R$11*(1+$M215/Scenario_DT!$C$19)*(1+$N215)^7*(Scenario_DT!$R$12+$O215)*(1+MIN(DCF_FCFF!$C$26+$Q215,(DCF_FCFF!$C$25+$P215)-0.02))*(1-DCF_FCFF!$C$27)*(1-DCF_FCFF!$C$28)/((DCF_FCFF!$C$25+$P215)-MIN(DCF_FCFF!$C$26+$Q215,(DCF_FCFF!$C$25+$P215)-0.02)))*(1+(DCF_FCFF!$C$25+$P215))^(-(Inputs!$C$9+9))</f>
        <v>30971.889102949011</v>
      </c>
      <c r="AC215" s="17">
        <f>SUMPRODUCT(R215:AA215*(1+(DCF_FCFF!$C$25+$P215))^(-Scenario_DT!$I$17:$R$17))+AB215</f>
        <v>47726.17950896376</v>
      </c>
      <c r="AD215" s="68">
        <f>((AC215-DCF_FCFF!$C$48)*(1-DCF_FCFF!$C$50)+DCF_FCFF!$C$57+DCF_FCFF!$C$58)/DCF_FCFF!$C$60</f>
        <v>361.66811939616929</v>
      </c>
      <c r="AE215" s="6"/>
      <c r="AF215" s="6"/>
      <c r="AG215" s="6"/>
    </row>
    <row r="216" spans="1:33" x14ac:dyDescent="0.3">
      <c r="A216" s="6"/>
      <c r="B216" s="72">
        <v>185</v>
      </c>
      <c r="C216" s="73">
        <v>9.6977888705479298E-2</v>
      </c>
      <c r="D216" s="73">
        <v>0.84579695780214303</v>
      </c>
      <c r="E216" s="73">
        <v>0.61675617907730895</v>
      </c>
      <c r="F216" s="73">
        <v>0.54236440230220495</v>
      </c>
      <c r="G216" s="73">
        <v>0.16531132336729101</v>
      </c>
      <c r="H216" s="15">
        <f t="shared" si="21"/>
        <v>-1.2989654762146594</v>
      </c>
      <c r="I216" s="15">
        <f t="shared" si="22"/>
        <v>1.0185722493725504</v>
      </c>
      <c r="J216" s="15">
        <f t="shared" si="23"/>
        <v>0.29697231989890505</v>
      </c>
      <c r="K216" s="15">
        <f t="shared" si="24"/>
        <v>0.10639218242525536</v>
      </c>
      <c r="L216" s="15">
        <f t="shared" si="25"/>
        <v>-0.97286048435088701</v>
      </c>
      <c r="M216" s="18">
        <f t="shared" si="26"/>
        <v>-2.5979309524293188E-2</v>
      </c>
      <c r="N216" s="18">
        <f t="shared" si="27"/>
        <v>1.8610136435132576E-3</v>
      </c>
      <c r="O216" s="18">
        <f t="shared" si="28"/>
        <v>3.5636678387868607E-3</v>
      </c>
      <c r="P216" s="18">
        <f t="shared" si="29"/>
        <v>6.3835309455153222E-4</v>
      </c>
      <c r="Q216" s="18">
        <f t="shared" si="30"/>
        <v>-3.8914419374035483E-3</v>
      </c>
      <c r="R216" s="28">
        <f>((Scenario_DT!I$11*(IF(Scenario_DT!I$18=1,1,1+$M216/Scenario_DT!$C$19)*(1+$N216)^MAX(0,Scenario_DT!I$18-3))*(Scenario_DT!I$12+$O216)-Scenario_DT!I$13)*(1-Scenario_DT!I$14)+Scenario_DT!I$13-Scenario_DT!I$15)*Scenario_DT!I$16</f>
        <v>916.00892567773724</v>
      </c>
      <c r="S216" s="28">
        <f>((Scenario_DT!J$11*(IF(Scenario_DT!J$18=1,1,1+$M216/Scenario_DT!$C$19)*(1+$N216)^MAX(0,Scenario_DT!J$18-3))*(Scenario_DT!J$12+$O216)-Scenario_DT!J$13)*(1-Scenario_DT!J$14)+Scenario_DT!J$13-Scenario_DT!J$15)*Scenario_DT!J$16</f>
        <v>1780.4246816176915</v>
      </c>
      <c r="T216" s="28">
        <f>((Scenario_DT!K$11*(IF(Scenario_DT!K$18=1,1,1+$M216/Scenario_DT!$C$19)*(1+$N216)^MAX(0,Scenario_DT!K$18-3))*(Scenario_DT!K$12+$O216)-Scenario_DT!K$13)*(1-Scenario_DT!K$14)+Scenario_DT!K$13-Scenario_DT!K$15)*Scenario_DT!K$16</f>
        <v>2042.2557250204509</v>
      </c>
      <c r="U216" s="28">
        <f>((Scenario_DT!L$11*(IF(Scenario_DT!L$18=1,1,1+$M216/Scenario_DT!$C$19)*(1+$N216)^MAX(0,Scenario_DT!L$18-3))*(Scenario_DT!L$12+$O216)-Scenario_DT!L$13)*(1-Scenario_DT!L$14)+Scenario_DT!L$13-Scenario_DT!L$15)*Scenario_DT!L$16</f>
        <v>2444.5064282950334</v>
      </c>
      <c r="V216" s="28">
        <f>((Scenario_DT!M$11*(IF(Scenario_DT!M$18=1,1,1+$M216/Scenario_DT!$C$19)*(1+$N216)^MAX(0,Scenario_DT!M$18-3))*(Scenario_DT!M$12+$O216)-Scenario_DT!M$13)*(1-Scenario_DT!M$14)+Scenario_DT!M$13-Scenario_DT!M$15)*Scenario_DT!M$16</f>
        <v>2570.8200173252462</v>
      </c>
      <c r="W216" s="28">
        <f>((Scenario_DT!N$11*(IF(Scenario_DT!N$18=1,1,1+$M216/Scenario_DT!$C$19)*(1+$N216)^MAX(0,Scenario_DT!N$18-3))*(Scenario_DT!N$12+$O216)-Scenario_DT!N$13)*(1-Scenario_DT!N$14)+Scenario_DT!N$13-Scenario_DT!N$15)*Scenario_DT!N$16</f>
        <v>2703.6561130573314</v>
      </c>
      <c r="X216" s="28">
        <f>((Scenario_DT!O$11*(IF(Scenario_DT!O$18=1,1,1+$M216/Scenario_DT!$C$19)*(1+$N216)^MAX(0,Scenario_DT!O$18-3))*(Scenario_DT!O$12+$O216)-Scenario_DT!O$13)*(1-Scenario_DT!O$14)+Scenario_DT!O$13-Scenario_DT!O$15)*Scenario_DT!O$16</f>
        <v>2843.3540298400162</v>
      </c>
      <c r="Y216" s="28">
        <f>((Scenario_DT!P$11*(IF(Scenario_DT!P$18=1,1,1+$M216/Scenario_DT!$C$19)*(1+$N216)^MAX(0,Scenario_DT!P$18-3))*(Scenario_DT!P$12+$O216)-Scenario_DT!P$13)*(1-Scenario_DT!P$14)+Scenario_DT!P$13-Scenario_DT!P$15)*Scenario_DT!P$16</f>
        <v>2990.27075296672</v>
      </c>
      <c r="Z216" s="28">
        <f>((Scenario_DT!Q$11*(IF(Scenario_DT!Q$18=1,1,1+$M216/Scenario_DT!$C$19)*(1+$N216)^MAX(0,Scenario_DT!Q$18-3))*(Scenario_DT!Q$12+$O216)-Scenario_DT!Q$13)*(1-Scenario_DT!Q$14)+Scenario_DT!Q$13-Scenario_DT!Q$15)*Scenario_DT!Q$16</f>
        <v>3144.7818588628975</v>
      </c>
      <c r="AA216" s="28">
        <f>((Scenario_DT!R$11*(IF(Scenario_DT!R$18=1,1,1+$M216/Scenario_DT!$C$19)*(1+$N216)^MAX(0,Scenario_DT!R$18-3))*(Scenario_DT!R$12+$O216)-Scenario_DT!R$13)*(1-Scenario_DT!R$14)+Scenario_DT!R$13-Scenario_DT!R$15)*Scenario_DT!R$16</f>
        <v>3307.2824831773514</v>
      </c>
      <c r="AB216" s="17">
        <f>(Scenario_DT!$R$11*(1+$M216/Scenario_DT!$C$19)*(1+$N216)^7*(Scenario_DT!$R$12+$O216)*(1+MIN(DCF_FCFF!$C$26+$Q216,(DCF_FCFF!$C$25+$P216)-0.02))*(1-DCF_FCFF!$C$27)*(1-DCF_FCFF!$C$28)/((DCF_FCFF!$C$25+$P216)-MIN(DCF_FCFF!$C$26+$Q216,(DCF_FCFF!$C$25+$P216)-0.02)))*(1+(DCF_FCFF!$C$25+$P216))^(-(Inputs!$C$9+9))</f>
        <v>25361.928954242288</v>
      </c>
      <c r="AC216" s="17">
        <f>SUMPRODUCT(R216:AA216*(1+(DCF_FCFF!$C$25+$P216))^(-Scenario_DT!$I$17:$R$17))+AB216</f>
        <v>41477.196802947852</v>
      </c>
      <c r="AD216" s="68">
        <f>((AC216-DCF_FCFF!$C$48)*(1-DCF_FCFF!$C$50)+DCF_FCFF!$C$57+DCF_FCFF!$C$58)/DCF_FCFF!$C$60</f>
        <v>301.6855812098691</v>
      </c>
      <c r="AE216" s="6"/>
      <c r="AF216" s="6"/>
      <c r="AG216" s="6"/>
    </row>
    <row r="217" spans="1:33" x14ac:dyDescent="0.3">
      <c r="A217" s="6"/>
      <c r="B217" s="72">
        <v>186</v>
      </c>
      <c r="C217" s="73">
        <v>0.25325547440019702</v>
      </c>
      <c r="D217" s="73">
        <v>0.16031202498225799</v>
      </c>
      <c r="E217" s="73">
        <v>0.85193315779479895</v>
      </c>
      <c r="F217" s="73">
        <v>0.58422786006121796</v>
      </c>
      <c r="G217" s="73">
        <v>0.73512942751963295</v>
      </c>
      <c r="H217" s="15">
        <f t="shared" si="21"/>
        <v>-0.66428026626993852</v>
      </c>
      <c r="I217" s="15">
        <f t="shared" si="22"/>
        <v>-0.99317629164866539</v>
      </c>
      <c r="J217" s="15">
        <f t="shared" si="23"/>
        <v>1.0447604799743651</v>
      </c>
      <c r="K217" s="15">
        <f t="shared" si="24"/>
        <v>0.21272139243672289</v>
      </c>
      <c r="L217" s="15">
        <f t="shared" si="25"/>
        <v>0.62840120949396938</v>
      </c>
      <c r="M217" s="18">
        <f t="shared" si="26"/>
        <v>-1.3285605325398771E-2</v>
      </c>
      <c r="N217" s="18">
        <f t="shared" si="27"/>
        <v>-9.5380482571130881E-3</v>
      </c>
      <c r="O217" s="18">
        <f t="shared" si="28"/>
        <v>1.2537125759692382E-2</v>
      </c>
      <c r="P217" s="18">
        <f t="shared" si="29"/>
        <v>1.2763283546203374E-3</v>
      </c>
      <c r="Q217" s="18">
        <f t="shared" si="30"/>
        <v>2.5136048379758775E-3</v>
      </c>
      <c r="R217" s="28">
        <f>((Scenario_DT!I$11*(IF(Scenario_DT!I$18=1,1,1+$M217/Scenario_DT!$C$19)*(1+$N217)^MAX(0,Scenario_DT!I$18-3))*(Scenario_DT!I$12+$O217)-Scenario_DT!I$13)*(1-Scenario_DT!I$14)+Scenario_DT!I$13-Scenario_DT!I$15)*Scenario_DT!I$16</f>
        <v>928.66053565458628</v>
      </c>
      <c r="S217" s="28">
        <f>((Scenario_DT!J$11*(IF(Scenario_DT!J$18=1,1,1+$M217/Scenario_DT!$C$19)*(1+$N217)^MAX(0,Scenario_DT!J$18-3))*(Scenario_DT!J$12+$O217)-Scenario_DT!J$13)*(1-Scenario_DT!J$14)+Scenario_DT!J$13-Scenario_DT!J$15)*Scenario_DT!J$16</f>
        <v>1838.4847140442039</v>
      </c>
      <c r="T217" s="28">
        <f>((Scenario_DT!K$11*(IF(Scenario_DT!K$18=1,1,1+$M217/Scenario_DT!$C$19)*(1+$N217)^MAX(0,Scenario_DT!K$18-3))*(Scenario_DT!K$12+$O217)-Scenario_DT!K$13)*(1-Scenario_DT!K$14)+Scenario_DT!K$13-Scenario_DT!K$15)*Scenario_DT!K$16</f>
        <v>2102.8565499669598</v>
      </c>
      <c r="U217" s="28">
        <f>((Scenario_DT!L$11*(IF(Scenario_DT!L$18=1,1,1+$M217/Scenario_DT!$C$19)*(1+$N217)^MAX(0,Scenario_DT!L$18-3))*(Scenario_DT!L$12+$O217)-Scenario_DT!L$13)*(1-Scenario_DT!L$14)+Scenario_DT!L$13-Scenario_DT!L$15)*Scenario_DT!L$16</f>
        <v>2480.2319508824808</v>
      </c>
      <c r="V217" s="28">
        <f>((Scenario_DT!M$11*(IF(Scenario_DT!M$18=1,1,1+$M217/Scenario_DT!$C$19)*(1+$N217)^MAX(0,Scenario_DT!M$18-3))*(Scenario_DT!M$12+$O217)-Scenario_DT!M$13)*(1-Scenario_DT!M$14)+Scenario_DT!M$13-Scenario_DT!M$15)*Scenario_DT!M$16</f>
        <v>2578.513716913907</v>
      </c>
      <c r="W217" s="28">
        <f>((Scenario_DT!N$11*(IF(Scenario_DT!N$18=1,1,1+$M217/Scenario_DT!$C$19)*(1+$N217)^MAX(0,Scenario_DT!N$18-3))*(Scenario_DT!N$12+$O217)-Scenario_DT!N$13)*(1-Scenario_DT!N$14)+Scenario_DT!N$13-Scenario_DT!N$15)*Scenario_DT!N$16</f>
        <v>2680.6665529923303</v>
      </c>
      <c r="X217" s="28">
        <f>((Scenario_DT!O$11*(IF(Scenario_DT!O$18=1,1,1+$M217/Scenario_DT!$C$19)*(1+$N217)^MAX(0,Scenario_DT!O$18-3))*(Scenario_DT!O$12+$O217)-Scenario_DT!O$13)*(1-Scenario_DT!O$14)+Scenario_DT!O$13-Scenario_DT!O$15)*Scenario_DT!O$16</f>
        <v>2786.8442356422593</v>
      </c>
      <c r="Y217" s="28">
        <f>((Scenario_DT!P$11*(IF(Scenario_DT!P$18=1,1,1+$M217/Scenario_DT!$C$19)*(1+$N217)^MAX(0,Scenario_DT!P$18-3))*(Scenario_DT!P$12+$O217)-Scenario_DT!P$13)*(1-Scenario_DT!P$14)+Scenario_DT!P$13-Scenario_DT!P$15)*Scenario_DT!P$16</f>
        <v>2897.2066622067127</v>
      </c>
      <c r="Z217" s="28">
        <f>((Scenario_DT!Q$11*(IF(Scenario_DT!Q$18=1,1,1+$M217/Scenario_DT!$C$19)*(1+$N217)^MAX(0,Scenario_DT!Q$18-3))*(Scenario_DT!Q$12+$O217)-Scenario_DT!Q$13)*(1-Scenario_DT!Q$14)+Scenario_DT!Q$13-Scenario_DT!Q$15)*Scenario_DT!Q$16</f>
        <v>3011.920094559835</v>
      </c>
      <c r="AA217" s="28">
        <f>((Scenario_DT!R$11*(IF(Scenario_DT!R$18=1,1,1+$M217/Scenario_DT!$C$19)*(1+$N217)^MAX(0,Scenario_DT!R$18-3))*(Scenario_DT!R$12+$O217)-Scenario_DT!R$13)*(1-Scenario_DT!R$14)+Scenario_DT!R$13-Scenario_DT!R$15)*Scenario_DT!R$16</f>
        <v>3131.1574125230813</v>
      </c>
      <c r="AB217" s="17">
        <f>(Scenario_DT!$R$11*(1+$M217/Scenario_DT!$C$19)*(1+$N217)^7*(Scenario_DT!$R$12+$O217)*(1+MIN(DCF_FCFF!$C$26+$Q217,(DCF_FCFF!$C$25+$P217)-0.02))*(1-DCF_FCFF!$C$27)*(1-DCF_FCFF!$C$28)/((DCF_FCFF!$C$25+$P217)-MIN(DCF_FCFF!$C$26+$Q217,(DCF_FCFF!$C$25+$P217)-0.02)))*(1+(DCF_FCFF!$C$25+$P217))^(-(Inputs!$C$9+9))</f>
        <v>26857.695281785658</v>
      </c>
      <c r="AC217" s="17">
        <f>SUMPRODUCT(R217:AA217*(1+(DCF_FCFF!$C$25+$P217))^(-Scenario_DT!$I$17:$R$17))+AB217</f>
        <v>42834.227415887835</v>
      </c>
      <c r="AD217" s="68">
        <f>((AC217-DCF_FCFF!$C$48)*(1-DCF_FCFF!$C$50)+DCF_FCFF!$C$57+DCF_FCFF!$C$58)/DCF_FCFF!$C$60</f>
        <v>314.71140387413874</v>
      </c>
      <c r="AE217" s="6"/>
      <c r="AF217" s="6"/>
      <c r="AG217" s="6"/>
    </row>
    <row r="218" spans="1:33" x14ac:dyDescent="0.3">
      <c r="A218" s="6"/>
      <c r="B218" s="72">
        <v>187</v>
      </c>
      <c r="C218" s="73">
        <v>0.29603286291002601</v>
      </c>
      <c r="D218" s="73">
        <v>0.37125263708827699</v>
      </c>
      <c r="E218" s="73">
        <v>0.40485496442653401</v>
      </c>
      <c r="F218" s="73">
        <v>0.76001497174403498</v>
      </c>
      <c r="G218" s="73">
        <v>0.77235298767456795</v>
      </c>
      <c r="H218" s="15">
        <f t="shared" si="21"/>
        <v>-0.53584493191535265</v>
      </c>
      <c r="I218" s="15">
        <f t="shared" si="22"/>
        <v>-0.3285375280916209</v>
      </c>
      <c r="J218" s="15">
        <f t="shared" si="23"/>
        <v>-0.24080025902657365</v>
      </c>
      <c r="K218" s="15">
        <f t="shared" si="24"/>
        <v>0.70635072395209009</v>
      </c>
      <c r="L218" s="15">
        <f t="shared" si="25"/>
        <v>0.74661825716994745</v>
      </c>
      <c r="M218" s="18">
        <f t="shared" si="26"/>
        <v>-1.0716898638307054E-2</v>
      </c>
      <c r="N218" s="18">
        <f t="shared" si="27"/>
        <v>-4.4195544910525086E-3</v>
      </c>
      <c r="O218" s="18">
        <f t="shared" si="28"/>
        <v>-2.8896031083188839E-3</v>
      </c>
      <c r="P218" s="18">
        <f t="shared" si="29"/>
        <v>4.2381043437125406E-3</v>
      </c>
      <c r="Q218" s="18">
        <f t="shared" si="30"/>
        <v>2.9864730286797898E-3</v>
      </c>
      <c r="R218" s="28">
        <f>((Scenario_DT!I$11*(IF(Scenario_DT!I$18=1,1,1+$M218/Scenario_DT!$C$19)*(1+$N218)^MAX(0,Scenario_DT!I$18-3))*(Scenario_DT!I$12+$O218)-Scenario_DT!I$13)*(1-Scenario_DT!I$14)+Scenario_DT!I$13-Scenario_DT!I$15)*Scenario_DT!I$16</f>
        <v>906.91050812038668</v>
      </c>
      <c r="S218" s="28">
        <f>((Scenario_DT!J$11*(IF(Scenario_DT!J$18=1,1,1+$M218/Scenario_DT!$C$19)*(1+$N218)^MAX(0,Scenario_DT!J$18-3))*(Scenario_DT!J$12+$O218)-Scenario_DT!J$13)*(1-Scenario_DT!J$14)+Scenario_DT!J$13-Scenario_DT!J$15)*Scenario_DT!J$16</f>
        <v>1797.3505268834206</v>
      </c>
      <c r="T218" s="28">
        <f>((Scenario_DT!K$11*(IF(Scenario_DT!K$18=1,1,1+$M218/Scenario_DT!$C$19)*(1+$N218)^MAX(0,Scenario_DT!K$18-3))*(Scenario_DT!K$12+$O218)-Scenario_DT!K$13)*(1-Scenario_DT!K$14)+Scenario_DT!K$13-Scenario_DT!K$15)*Scenario_DT!K$16</f>
        <v>2060.3153969682608</v>
      </c>
      <c r="U218" s="28">
        <f>((Scenario_DT!L$11*(IF(Scenario_DT!L$18=1,1,1+$M218/Scenario_DT!$C$19)*(1+$N218)^MAX(0,Scenario_DT!L$18-3))*(Scenario_DT!L$12+$O218)-Scenario_DT!L$13)*(1-Scenario_DT!L$14)+Scenario_DT!L$13-Scenario_DT!L$15)*Scenario_DT!L$16</f>
        <v>2448.1668693287879</v>
      </c>
      <c r="V218" s="28">
        <f>((Scenario_DT!M$11*(IF(Scenario_DT!M$18=1,1,1+$M218/Scenario_DT!$C$19)*(1+$N218)^MAX(0,Scenario_DT!M$18-3))*(Scenario_DT!M$12+$O218)-Scenario_DT!M$13)*(1-Scenario_DT!M$14)+Scenario_DT!M$13-Scenario_DT!M$15)*Scenario_DT!M$16</f>
        <v>2558.4146773576426</v>
      </c>
      <c r="W218" s="28">
        <f>((Scenario_DT!N$11*(IF(Scenario_DT!N$18=1,1,1+$M218/Scenario_DT!$C$19)*(1+$N218)^MAX(0,Scenario_DT!N$18-3))*(Scenario_DT!N$12+$O218)-Scenario_DT!N$13)*(1-Scenario_DT!N$14)+Scenario_DT!N$13-Scenario_DT!N$15)*Scenario_DT!N$16</f>
        <v>2673.6129479658071</v>
      </c>
      <c r="X218" s="28">
        <f>((Scenario_DT!O$11*(IF(Scenario_DT!O$18=1,1,1+$M218/Scenario_DT!$C$19)*(1+$N218)^MAX(0,Scenario_DT!O$18-3))*(Scenario_DT!O$12+$O218)-Scenario_DT!O$13)*(1-Scenario_DT!O$14)+Scenario_DT!O$13-Scenario_DT!O$15)*Scenario_DT!O$16</f>
        <v>2793.9858750952044</v>
      </c>
      <c r="Y218" s="28">
        <f>((Scenario_DT!P$11*(IF(Scenario_DT!P$18=1,1,1+$M218/Scenario_DT!$C$19)*(1+$N218)^MAX(0,Scenario_DT!P$18-3))*(Scenario_DT!P$12+$O218)-Scenario_DT!P$13)*(1-Scenario_DT!P$14)+Scenario_DT!P$13-Scenario_DT!P$15)*Scenario_DT!P$16</f>
        <v>2919.7678255519118</v>
      </c>
      <c r="Z218" s="28">
        <f>((Scenario_DT!Q$11*(IF(Scenario_DT!Q$18=1,1,1+$M218/Scenario_DT!$C$19)*(1+$N218)^MAX(0,Scenario_DT!Q$18-3))*(Scenario_DT!Q$12+$O218)-Scenario_DT!Q$13)*(1-Scenario_DT!Q$14)+Scenario_DT!Q$13-Scenario_DT!Q$15)*Scenario_DT!Q$16</f>
        <v>3051.2038008225536</v>
      </c>
      <c r="AA218" s="28">
        <f>((Scenario_DT!R$11*(IF(Scenario_DT!R$18=1,1,1+$M218/Scenario_DT!$C$19)*(1+$N218)^MAX(0,Scenario_DT!R$18-3))*(Scenario_DT!R$12+$O218)-Scenario_DT!R$13)*(1-Scenario_DT!R$14)+Scenario_DT!R$13-Scenario_DT!R$15)*Scenario_DT!R$16</f>
        <v>3188.5499198590178</v>
      </c>
      <c r="AB218" s="17">
        <f>(Scenario_DT!$R$11*(1+$M218/Scenario_DT!$C$19)*(1+$N218)^7*(Scenario_DT!$R$12+$O218)*(1+MIN(DCF_FCFF!$C$26+$Q218,(DCF_FCFF!$C$25+$P218)-0.02))*(1-DCF_FCFF!$C$27)*(1-DCF_FCFF!$C$28)/((DCF_FCFF!$C$25+$P218)-MIN(DCF_FCFF!$C$26+$Q218,(DCF_FCFF!$C$25+$P218)-0.02)))*(1+(DCF_FCFF!$C$25+$P218))^(-(Inputs!$C$9+9))</f>
        <v>25379.935097160458</v>
      </c>
      <c r="AC218" s="17">
        <f>SUMPRODUCT(R218:AA218*(1+(DCF_FCFF!$C$25+$P218))^(-Scenario_DT!$I$17:$R$17))+AB218</f>
        <v>41085.093664827298</v>
      </c>
      <c r="AD218" s="68">
        <f>((AC218-DCF_FCFF!$C$48)*(1-DCF_FCFF!$C$50)+DCF_FCFF!$C$57+DCF_FCFF!$C$58)/DCF_FCFF!$C$60</f>
        <v>297.92187396954625</v>
      </c>
      <c r="AE218" s="6"/>
      <c r="AF218" s="6"/>
      <c r="AG218" s="6"/>
    </row>
    <row r="219" spans="1:33" x14ac:dyDescent="0.3">
      <c r="A219" s="6"/>
      <c r="B219" s="72">
        <v>188</v>
      </c>
      <c r="C219" s="73">
        <v>0.20681352751403201</v>
      </c>
      <c r="D219" s="73">
        <v>0.94153885673809901</v>
      </c>
      <c r="E219" s="73">
        <v>0.12065533744368601</v>
      </c>
      <c r="F219" s="73">
        <v>0.89612208242363001</v>
      </c>
      <c r="G219" s="73">
        <v>0.100395645649809</v>
      </c>
      <c r="H219" s="15">
        <f t="shared" si="21"/>
        <v>-0.81752747429112482</v>
      </c>
      <c r="I219" s="15">
        <f t="shared" si="22"/>
        <v>1.5678236817659381</v>
      </c>
      <c r="J219" s="15">
        <f t="shared" si="23"/>
        <v>-1.171717051197908</v>
      </c>
      <c r="K219" s="15">
        <f t="shared" si="24"/>
        <v>1.2597603279447804</v>
      </c>
      <c r="L219" s="15">
        <f t="shared" si="25"/>
        <v>-1.2793004014546259</v>
      </c>
      <c r="M219" s="18">
        <f t="shared" si="26"/>
        <v>-1.6350549485822496E-2</v>
      </c>
      <c r="N219" s="18">
        <f t="shared" si="27"/>
        <v>7.5920911993487151E-3</v>
      </c>
      <c r="O219" s="18">
        <f t="shared" si="28"/>
        <v>-1.4060604614374897E-2</v>
      </c>
      <c r="P219" s="18">
        <f t="shared" si="29"/>
        <v>7.5585619676686831E-3</v>
      </c>
      <c r="Q219" s="18">
        <f t="shared" si="30"/>
        <v>-5.1172016058185039E-3</v>
      </c>
      <c r="R219" s="28">
        <f>((Scenario_DT!I$11*(IF(Scenario_DT!I$18=1,1,1+$M219/Scenario_DT!$C$19)*(1+$N219)^MAX(0,Scenario_DT!I$18-3))*(Scenario_DT!I$12+$O219)-Scenario_DT!I$13)*(1-Scenario_DT!I$14)+Scenario_DT!I$13-Scenario_DT!I$15)*Scenario_DT!I$16</f>
        <v>891.16059818030055</v>
      </c>
      <c r="S219" s="28">
        <f>((Scenario_DT!J$11*(IF(Scenario_DT!J$18=1,1,1+$M219/Scenario_DT!$C$19)*(1+$N219)^MAX(0,Scenario_DT!J$18-3))*(Scenario_DT!J$12+$O219)-Scenario_DT!J$13)*(1-Scenario_DT!J$14)+Scenario_DT!J$13-Scenario_DT!J$15)*Scenario_DT!J$16</f>
        <v>1749.7916228925901</v>
      </c>
      <c r="T219" s="28">
        <f>((Scenario_DT!K$11*(IF(Scenario_DT!K$18=1,1,1+$M219/Scenario_DT!$C$19)*(1+$N219)^MAX(0,Scenario_DT!K$18-3))*(Scenario_DT!K$12+$O219)-Scenario_DT!K$13)*(1-Scenario_DT!K$14)+Scenario_DT!K$13-Scenario_DT!K$15)*Scenario_DT!K$16</f>
        <v>2010.8372366842727</v>
      </c>
      <c r="U219" s="28">
        <f>((Scenario_DT!L$11*(IF(Scenario_DT!L$18=1,1,1+$M219/Scenario_DT!$C$19)*(1+$N219)^MAX(0,Scenario_DT!L$18-3))*(Scenario_DT!L$12+$O219)-Scenario_DT!L$13)*(1-Scenario_DT!L$14)+Scenario_DT!L$13-Scenario_DT!L$15)*Scenario_DT!L$16</f>
        <v>2424.9738951193212</v>
      </c>
      <c r="V219" s="28">
        <f>((Scenario_DT!M$11*(IF(Scenario_DT!M$18=1,1,1+$M219/Scenario_DT!$C$19)*(1+$N219)^MAX(0,Scenario_DT!M$18-3))*(Scenario_DT!M$12+$O219)-Scenario_DT!M$13)*(1-Scenario_DT!M$14)+Scenario_DT!M$13-Scenario_DT!M$15)*Scenario_DT!M$16</f>
        <v>2564.9668356061679</v>
      </c>
      <c r="W219" s="28">
        <f>((Scenario_DT!N$11*(IF(Scenario_DT!N$18=1,1,1+$M219/Scenario_DT!$C$19)*(1+$N219)^MAX(0,Scenario_DT!N$18-3))*(Scenario_DT!N$12+$O219)-Scenario_DT!N$13)*(1-Scenario_DT!N$14)+Scenario_DT!N$13-Scenario_DT!N$15)*Scenario_DT!N$16</f>
        <v>2713.0448252583733</v>
      </c>
      <c r="X219" s="28">
        <f>((Scenario_DT!O$11*(IF(Scenario_DT!O$18=1,1,1+$M219/Scenario_DT!$C$19)*(1+$N219)^MAX(0,Scenario_DT!O$18-3))*(Scenario_DT!O$12+$O219)-Scenario_DT!O$13)*(1-Scenario_DT!O$14)+Scenario_DT!O$13-Scenario_DT!O$15)*Scenario_DT!O$16</f>
        <v>2869.6777417298717</v>
      </c>
      <c r="Y219" s="28">
        <f>((Scenario_DT!P$11*(IF(Scenario_DT!P$18=1,1,1+$M219/Scenario_DT!$C$19)*(1+$N219)^MAX(0,Scenario_DT!P$18-3))*(Scenario_DT!P$12+$O219)-Scenario_DT!P$13)*(1-Scenario_DT!P$14)+Scenario_DT!P$13-Scenario_DT!P$15)*Scenario_DT!P$16</f>
        <v>3035.3627797225731</v>
      </c>
      <c r="Z219" s="28">
        <f>((Scenario_DT!Q$11*(IF(Scenario_DT!Q$18=1,1,1+$M219/Scenario_DT!$C$19)*(1+$N219)^MAX(0,Scenario_DT!Q$18-3))*(Scenario_DT!Q$12+$O219)-Scenario_DT!Q$13)*(1-Scenario_DT!Q$14)+Scenario_DT!Q$13-Scenario_DT!Q$15)*Scenario_DT!Q$16</f>
        <v>3210.626038289854</v>
      </c>
      <c r="AA219" s="28">
        <f>((Scenario_DT!R$11*(IF(Scenario_DT!R$18=1,1,1+$M219/Scenario_DT!$C$19)*(1+$N219)^MAX(0,Scenario_DT!R$18-3))*(Scenario_DT!R$12+$O219)-Scenario_DT!R$13)*(1-Scenario_DT!R$14)+Scenario_DT!R$13-Scenario_DT!R$15)*Scenario_DT!R$16</f>
        <v>3396.0242003245221</v>
      </c>
      <c r="AB219" s="17">
        <f>(Scenario_DT!$R$11*(1+$M219/Scenario_DT!$C$19)*(1+$N219)^7*(Scenario_DT!$R$12+$O219)*(1+MIN(DCF_FCFF!$C$26+$Q219,(DCF_FCFF!$C$25+$P219)-0.02))*(1-DCF_FCFF!$C$27)*(1-DCF_FCFF!$C$28)/((DCF_FCFF!$C$25+$P219)-MIN(DCF_FCFF!$C$26+$Q219,(DCF_FCFF!$C$25+$P219)-0.02)))*(1+(DCF_FCFF!$C$25+$P219))^(-(Inputs!$C$9+9))</f>
        <v>21330.801605379485</v>
      </c>
      <c r="AC219" s="17">
        <f>SUMPRODUCT(R219:AA219*(1+(DCF_FCFF!$C$25+$P219))^(-Scenario_DT!$I$17:$R$17))+AB219</f>
        <v>37002.294835668617</v>
      </c>
      <c r="AD219" s="68">
        <f>((AC219-DCF_FCFF!$C$48)*(1-DCF_FCFF!$C$50)+DCF_FCFF!$C$57+DCF_FCFF!$C$58)/DCF_FCFF!$C$60</f>
        <v>258.73203328696133</v>
      </c>
      <c r="AE219" s="6"/>
      <c r="AF219" s="6"/>
      <c r="AG219" s="6"/>
    </row>
    <row r="220" spans="1:33" x14ac:dyDescent="0.3">
      <c r="A220" s="6"/>
      <c r="B220" s="72">
        <v>189</v>
      </c>
      <c r="C220" s="73">
        <v>0.26453981115131098</v>
      </c>
      <c r="D220" s="73">
        <v>0.84647853606795698</v>
      </c>
      <c r="E220" s="73">
        <v>0.17949207234608699</v>
      </c>
      <c r="F220" s="73">
        <v>0.41356793130996999</v>
      </c>
      <c r="G220" s="73">
        <v>0.44985929994412599</v>
      </c>
      <c r="H220" s="15">
        <f t="shared" si="21"/>
        <v>-0.62941160512651895</v>
      </c>
      <c r="I220" s="15">
        <f t="shared" si="22"/>
        <v>1.0214465342585404</v>
      </c>
      <c r="J220" s="15">
        <f t="shared" si="23"/>
        <v>-0.91730250576142314</v>
      </c>
      <c r="K220" s="15">
        <f t="shared" si="24"/>
        <v>-0.21837638622760561</v>
      </c>
      <c r="L220" s="15">
        <f t="shared" si="25"/>
        <v>-0.1260168331290088</v>
      </c>
      <c r="M220" s="18">
        <f t="shared" si="26"/>
        <v>-1.258823210253038E-2</v>
      </c>
      <c r="N220" s="18">
        <f t="shared" si="27"/>
        <v>4.5591427576976663E-3</v>
      </c>
      <c r="O220" s="18">
        <f t="shared" si="28"/>
        <v>-1.1007630069137077E-2</v>
      </c>
      <c r="P220" s="18">
        <f t="shared" si="29"/>
        <v>-1.3102583173656337E-3</v>
      </c>
      <c r="Q220" s="18">
        <f t="shared" si="30"/>
        <v>-5.0406733251603518E-4</v>
      </c>
      <c r="R220" s="28">
        <f>((Scenario_DT!I$11*(IF(Scenario_DT!I$18=1,1,1+$M220/Scenario_DT!$C$19)*(1+$N220)^MAX(0,Scenario_DT!I$18-3))*(Scenario_DT!I$12+$O220)-Scenario_DT!I$13)*(1-Scenario_DT!I$14)+Scenario_DT!I$13-Scenario_DT!I$15)*Scenario_DT!I$16</f>
        <v>895.46496373882314</v>
      </c>
      <c r="S220" s="28">
        <f>((Scenario_DT!J$11*(IF(Scenario_DT!J$18=1,1,1+$M220/Scenario_DT!$C$19)*(1+$N220)^MAX(0,Scenario_DT!J$18-3))*(Scenario_DT!J$12+$O220)-Scenario_DT!J$13)*(1-Scenario_DT!J$14)+Scenario_DT!J$13-Scenario_DT!J$15)*Scenario_DT!J$16</f>
        <v>1767.9931938303293</v>
      </c>
      <c r="T220" s="28">
        <f>((Scenario_DT!K$11*(IF(Scenario_DT!K$18=1,1,1+$M220/Scenario_DT!$C$19)*(1+$N220)^MAX(0,Scenario_DT!K$18-3))*(Scenario_DT!K$12+$O220)-Scenario_DT!K$13)*(1-Scenario_DT!K$14)+Scenario_DT!K$13-Scenario_DT!K$15)*Scenario_DT!K$16</f>
        <v>2029.8279532059873</v>
      </c>
      <c r="U220" s="28">
        <f>((Scenario_DT!L$11*(IF(Scenario_DT!L$18=1,1,1+$M220/Scenario_DT!$C$19)*(1+$N220)^MAX(0,Scenario_DT!L$18-3))*(Scenario_DT!L$12+$O220)-Scenario_DT!L$13)*(1-Scenario_DT!L$14)+Scenario_DT!L$13-Scenario_DT!L$15)*Scenario_DT!L$16</f>
        <v>2437.8795337158826</v>
      </c>
      <c r="V220" s="28">
        <f>((Scenario_DT!M$11*(IF(Scenario_DT!M$18=1,1,1+$M220/Scenario_DT!$C$19)*(1+$N220)^MAX(0,Scenario_DT!M$18-3))*(Scenario_DT!M$12+$O220)-Scenario_DT!M$13)*(1-Scenario_DT!M$14)+Scenario_DT!M$13-Scenario_DT!M$15)*Scenario_DT!M$16</f>
        <v>2570.8032352065507</v>
      </c>
      <c r="W220" s="28">
        <f>((Scenario_DT!N$11*(IF(Scenario_DT!N$18=1,1,1+$M220/Scenario_DT!$C$19)*(1+$N220)^MAX(0,Scenario_DT!N$18-3))*(Scenario_DT!N$12+$O220)-Scenario_DT!N$13)*(1-Scenario_DT!N$14)+Scenario_DT!N$13-Scenario_DT!N$15)*Scenario_DT!N$16</f>
        <v>2710.9738773743998</v>
      </c>
      <c r="X220" s="28">
        <f>((Scenario_DT!O$11*(IF(Scenario_DT!O$18=1,1,1+$M220/Scenario_DT!$C$19)*(1+$N220)^MAX(0,Scenario_DT!O$18-3))*(Scenario_DT!O$12+$O220)-Scenario_DT!O$13)*(1-Scenario_DT!O$14)+Scenario_DT!O$13-Scenario_DT!O$15)*Scenario_DT!O$16</f>
        <v>2858.7892863872698</v>
      </c>
      <c r="Y220" s="28">
        <f>((Scenario_DT!P$11*(IF(Scenario_DT!P$18=1,1,1+$M220/Scenario_DT!$C$19)*(1+$N220)^MAX(0,Scenario_DT!P$18-3))*(Scenario_DT!P$12+$O220)-Scenario_DT!P$13)*(1-Scenario_DT!P$14)+Scenario_DT!P$13-Scenario_DT!P$15)*Scenario_DT!P$16</f>
        <v>3014.6691429394527</v>
      </c>
      <c r="Z220" s="28">
        <f>((Scenario_DT!Q$11*(IF(Scenario_DT!Q$18=1,1,1+$M220/Scenario_DT!$C$19)*(1+$N220)^MAX(0,Scenario_DT!Q$18-3))*(Scenario_DT!Q$12+$O220)-Scenario_DT!Q$13)*(1-Scenario_DT!Q$14)+Scenario_DT!Q$13-Scenario_DT!Q$15)*Scenario_DT!Q$16</f>
        <v>3179.0561824506508</v>
      </c>
      <c r="AA220" s="28">
        <f>((Scenario_DT!R$11*(IF(Scenario_DT!R$18=1,1,1+$M220/Scenario_DT!$C$19)*(1+$N220)^MAX(0,Scenario_DT!R$18-3))*(Scenario_DT!R$12+$O220)-Scenario_DT!R$13)*(1-Scenario_DT!R$14)+Scenario_DT!R$13-Scenario_DT!R$15)*Scenario_DT!R$16</f>
        <v>3352.4174611494682</v>
      </c>
      <c r="AB220" s="17">
        <f>(Scenario_DT!$R$11*(1+$M220/Scenario_DT!$C$19)*(1+$N220)^7*(Scenario_DT!$R$12+$O220)*(1+MIN(DCF_FCFF!$C$26+$Q220,(DCF_FCFF!$C$25+$P220)-0.02))*(1-DCF_FCFF!$C$27)*(1-DCF_FCFF!$C$28)/((DCF_FCFF!$C$25+$P220)-MIN(DCF_FCFF!$C$26+$Q220,(DCF_FCFF!$C$25+$P220)-0.02)))*(1+(DCF_FCFF!$C$25+$P220))^(-(Inputs!$C$9+9))</f>
        <v>29051.785085424966</v>
      </c>
      <c r="AC220" s="17">
        <f>SUMPRODUCT(R220:AA220*(1+(DCF_FCFF!$C$25+$P220))^(-Scenario_DT!$I$17:$R$17))+AB220</f>
        <v>45319.203527623511</v>
      </c>
      <c r="AD220" s="68">
        <f>((AC220-DCF_FCFF!$C$48)*(1-DCF_FCFF!$C$50)+DCF_FCFF!$C$57+DCF_FCFF!$C$58)/DCF_FCFF!$C$60</f>
        <v>338.56411423141549</v>
      </c>
      <c r="AE220" s="6"/>
      <c r="AF220" s="6"/>
      <c r="AG220" s="6"/>
    </row>
    <row r="221" spans="1:33" x14ac:dyDescent="0.3">
      <c r="A221" s="6"/>
      <c r="B221" s="72">
        <v>190</v>
      </c>
      <c r="C221" s="73">
        <v>0.24525897302321001</v>
      </c>
      <c r="D221" s="73">
        <v>0.71024520133598701</v>
      </c>
      <c r="E221" s="73">
        <v>0.85133464940220405</v>
      </c>
      <c r="F221" s="73">
        <v>0.874575139855572</v>
      </c>
      <c r="G221" s="73">
        <v>0.339322145736561</v>
      </c>
      <c r="H221" s="15">
        <f t="shared" si="21"/>
        <v>-0.68948525981169673</v>
      </c>
      <c r="I221" s="15">
        <f t="shared" si="22"/>
        <v>0.55410118773140515</v>
      </c>
      <c r="J221" s="15">
        <f t="shared" si="23"/>
        <v>1.0421746770447737</v>
      </c>
      <c r="K221" s="15">
        <f t="shared" si="24"/>
        <v>1.1482879297431887</v>
      </c>
      <c r="L221" s="15">
        <f t="shared" si="25"/>
        <v>-0.41431382343964329</v>
      </c>
      <c r="M221" s="18">
        <f t="shared" si="26"/>
        <v>-1.3789705196233935E-2</v>
      </c>
      <c r="N221" s="18">
        <f t="shared" si="27"/>
        <v>1.0809845994934305E-3</v>
      </c>
      <c r="O221" s="18">
        <f t="shared" si="28"/>
        <v>1.2506096124537285E-2</v>
      </c>
      <c r="P221" s="18">
        <f t="shared" si="29"/>
        <v>6.8897275784591322E-3</v>
      </c>
      <c r="Q221" s="18">
        <f t="shared" si="30"/>
        <v>-1.6572552937585733E-3</v>
      </c>
      <c r="R221" s="28">
        <f>((Scenario_DT!I$11*(IF(Scenario_DT!I$18=1,1,1+$M221/Scenario_DT!$C$19)*(1+$N221)^MAX(0,Scenario_DT!I$18-3))*(Scenario_DT!I$12+$O221)-Scenario_DT!I$13)*(1-Scenario_DT!I$14)+Scenario_DT!I$13-Scenario_DT!I$15)*Scenario_DT!I$16</f>
        <v>928.61678720831674</v>
      </c>
      <c r="S221" s="28">
        <f>((Scenario_DT!J$11*(IF(Scenario_DT!J$18=1,1,1+$M221/Scenario_DT!$C$19)*(1+$N221)^MAX(0,Scenario_DT!J$18-3))*(Scenario_DT!J$12+$O221)-Scenario_DT!J$13)*(1-Scenario_DT!J$14)+Scenario_DT!J$13-Scenario_DT!J$15)*Scenario_DT!J$16</f>
        <v>1837.1608641404264</v>
      </c>
      <c r="T221" s="28">
        <f>((Scenario_DT!K$11*(IF(Scenario_DT!K$18=1,1,1+$M221/Scenario_DT!$C$19)*(1+$N221)^MAX(0,Scenario_DT!K$18-3))*(Scenario_DT!K$12+$O221)-Scenario_DT!K$13)*(1-Scenario_DT!K$14)+Scenario_DT!K$13-Scenario_DT!K$15)*Scenario_DT!K$16</f>
        <v>2101.4674673986729</v>
      </c>
      <c r="U221" s="28">
        <f>((Scenario_DT!L$11*(IF(Scenario_DT!L$18=1,1,1+$M221/Scenario_DT!$C$19)*(1+$N221)^MAX(0,Scenario_DT!L$18-3))*(Scenario_DT!L$12+$O221)-Scenario_DT!L$13)*(1-Scenario_DT!L$14)+Scenario_DT!L$13-Scenario_DT!L$15)*Scenario_DT!L$16</f>
        <v>2505.5276747306866</v>
      </c>
      <c r="V221" s="28">
        <f>((Scenario_DT!M$11*(IF(Scenario_DT!M$18=1,1,1+$M221/Scenario_DT!$C$19)*(1+$N221)^MAX(0,Scenario_DT!M$18-3))*(Scenario_DT!M$12+$O221)-Scenario_DT!M$13)*(1-Scenario_DT!M$14)+Scenario_DT!M$13-Scenario_DT!M$15)*Scenario_DT!M$16</f>
        <v>2632.9456409078766</v>
      </c>
      <c r="W221" s="28">
        <f>((Scenario_DT!N$11*(IF(Scenario_DT!N$18=1,1,1+$M221/Scenario_DT!$C$19)*(1+$N221)^MAX(0,Scenario_DT!N$18-3))*(Scenario_DT!N$12+$O221)-Scenario_DT!N$13)*(1-Scenario_DT!N$14)+Scenario_DT!N$13-Scenario_DT!N$15)*Scenario_DT!N$16</f>
        <v>2766.8378495431652</v>
      </c>
      <c r="X221" s="28">
        <f>((Scenario_DT!O$11*(IF(Scenario_DT!O$18=1,1,1+$M221/Scenario_DT!$C$19)*(1+$N221)^MAX(0,Scenario_DT!O$18-3))*(Scenario_DT!O$12+$O221)-Scenario_DT!O$13)*(1-Scenario_DT!O$14)+Scenario_DT!O$13-Scenario_DT!O$15)*Scenario_DT!O$16</f>
        <v>2907.5357054991496</v>
      </c>
      <c r="Y221" s="28">
        <f>((Scenario_DT!P$11*(IF(Scenario_DT!P$18=1,1,1+$M221/Scenario_DT!$C$19)*(1+$N221)^MAX(0,Scenario_DT!P$18-3))*(Scenario_DT!P$12+$O221)-Scenario_DT!P$13)*(1-Scenario_DT!P$14)+Scenario_DT!P$13-Scenario_DT!P$15)*Scenario_DT!P$16</f>
        <v>3055.3875974236303</v>
      </c>
      <c r="Z221" s="28">
        <f>((Scenario_DT!Q$11*(IF(Scenario_DT!Q$18=1,1,1+$M221/Scenario_DT!$C$19)*(1+$N221)^MAX(0,Scenario_DT!Q$18-3))*(Scenario_DT!Q$12+$O221)-Scenario_DT!Q$13)*(1-Scenario_DT!Q$14)+Scenario_DT!Q$13-Scenario_DT!Q$15)*Scenario_DT!Q$16</f>
        <v>3210.7597681112206</v>
      </c>
      <c r="AA221" s="28">
        <f>((Scenario_DT!R$11*(IF(Scenario_DT!R$18=1,1,1+$M221/Scenario_DT!$C$19)*(1+$N221)^MAX(0,Scenario_DT!R$18-3))*(Scenario_DT!R$12+$O221)-Scenario_DT!R$13)*(1-Scenario_DT!R$14)+Scenario_DT!R$13-Scenario_DT!R$15)*Scenario_DT!R$16</f>
        <v>3374.0372294579965</v>
      </c>
      <c r="AB221" s="17">
        <f>(Scenario_DT!$R$11*(1+$M221/Scenario_DT!$C$19)*(1+$N221)^7*(Scenario_DT!$R$12+$O221)*(1+MIN(DCF_FCFF!$C$26+$Q221,(DCF_FCFF!$C$25+$P221)-0.02))*(1-DCF_FCFF!$C$27)*(1-DCF_FCFF!$C$28)/((DCF_FCFF!$C$25+$P221)-MIN(DCF_FCFF!$C$26+$Q221,(DCF_FCFF!$C$25+$P221)-0.02)))*(1+(DCF_FCFF!$C$25+$P221))^(-(Inputs!$C$9+9))</f>
        <v>22885.885809219104</v>
      </c>
      <c r="AC221" s="17">
        <f>SUMPRODUCT(R221:AA221*(1+(DCF_FCFF!$C$25+$P221))^(-Scenario_DT!$I$17:$R$17))+AB221</f>
        <v>38958.190221641627</v>
      </c>
      <c r="AD221" s="68">
        <f>((AC221-DCF_FCFF!$C$48)*(1-DCF_FCFF!$C$50)+DCF_FCFF!$C$57+DCF_FCFF!$C$58)/DCF_FCFF!$C$60</f>
        <v>277.5062202541601</v>
      </c>
      <c r="AE221" s="6"/>
      <c r="AF221" s="6"/>
      <c r="AG221" s="6"/>
    </row>
    <row r="222" spans="1:33" x14ac:dyDescent="0.3">
      <c r="A222" s="6"/>
      <c r="B222" s="72">
        <v>191</v>
      </c>
      <c r="C222" s="73">
        <v>0.530850394287814</v>
      </c>
      <c r="D222" s="73">
        <v>0.24840640386565199</v>
      </c>
      <c r="E222" s="73">
        <v>0.24479650155014501</v>
      </c>
      <c r="F222" s="73">
        <v>0.16125406285192401</v>
      </c>
      <c r="G222" s="73">
        <v>0.94001901080751504</v>
      </c>
      <c r="H222" s="15">
        <f t="shared" si="21"/>
        <v>7.7407705060579188E-2</v>
      </c>
      <c r="I222" s="15">
        <f t="shared" si="22"/>
        <v>-0.67951310375806973</v>
      </c>
      <c r="J222" s="15">
        <f t="shared" si="23"/>
        <v>-0.69095630114429685</v>
      </c>
      <c r="K222" s="15">
        <f t="shared" si="24"/>
        <v>-0.98931688428395514</v>
      </c>
      <c r="L222" s="15">
        <f t="shared" si="25"/>
        <v>1.5549332041775314</v>
      </c>
      <c r="M222" s="18">
        <f t="shared" si="26"/>
        <v>1.5481541012115838E-3</v>
      </c>
      <c r="N222" s="18">
        <f t="shared" si="27"/>
        <v>-4.3981740602288787E-3</v>
      </c>
      <c r="O222" s="18">
        <f t="shared" si="28"/>
        <v>-8.2914756137315616E-3</v>
      </c>
      <c r="P222" s="18">
        <f t="shared" si="29"/>
        <v>-5.9359013057037309E-3</v>
      </c>
      <c r="Q222" s="18">
        <f t="shared" si="30"/>
        <v>6.2197328167101261E-3</v>
      </c>
      <c r="R222" s="28">
        <f>((Scenario_DT!I$11*(IF(Scenario_DT!I$18=1,1,1+$M222/Scenario_DT!$C$19)*(1+$N222)^MAX(0,Scenario_DT!I$18-3))*(Scenario_DT!I$12+$O222)-Scenario_DT!I$13)*(1-Scenario_DT!I$14)+Scenario_DT!I$13-Scenario_DT!I$15)*Scenario_DT!I$16</f>
        <v>899.29444921806237</v>
      </c>
      <c r="S222" s="28">
        <f>((Scenario_DT!J$11*(IF(Scenario_DT!J$18=1,1,1+$M222/Scenario_DT!$C$19)*(1+$N222)^MAX(0,Scenario_DT!J$18-3))*(Scenario_DT!J$12+$O222)-Scenario_DT!J$13)*(1-Scenario_DT!J$14)+Scenario_DT!J$13-Scenario_DT!J$15)*Scenario_DT!J$16</f>
        <v>1809.8085261813394</v>
      </c>
      <c r="T222" s="28">
        <f>((Scenario_DT!K$11*(IF(Scenario_DT!K$18=1,1,1+$M222/Scenario_DT!$C$19)*(1+$N222)^MAX(0,Scenario_DT!K$18-3))*(Scenario_DT!K$12+$O222)-Scenario_DT!K$13)*(1-Scenario_DT!K$14)+Scenario_DT!K$13-Scenario_DT!K$15)*Scenario_DT!K$16</f>
        <v>2073.6430008677935</v>
      </c>
      <c r="U222" s="28">
        <f>((Scenario_DT!L$11*(IF(Scenario_DT!L$18=1,1,1+$M222/Scenario_DT!$C$19)*(1+$N222)^MAX(0,Scenario_DT!L$18-3))*(Scenario_DT!L$12+$O222)-Scenario_DT!L$13)*(1-Scenario_DT!L$14)+Scenario_DT!L$13-Scenario_DT!L$15)*Scenario_DT!L$16</f>
        <v>2462.3085122766174</v>
      </c>
      <c r="V222" s="28">
        <f>((Scenario_DT!M$11*(IF(Scenario_DT!M$18=1,1,1+$M222/Scenario_DT!$C$19)*(1+$N222)^MAX(0,Scenario_DT!M$18-3))*(Scenario_DT!M$12+$O222)-Scenario_DT!M$13)*(1-Scenario_DT!M$14)+Scenario_DT!M$13-Scenario_DT!M$15)*Scenario_DT!M$16</f>
        <v>2573.2534340126372</v>
      </c>
      <c r="W222" s="28">
        <f>((Scenario_DT!N$11*(IF(Scenario_DT!N$18=1,1,1+$M222/Scenario_DT!$C$19)*(1+$N222)^MAX(0,Scenario_DT!N$18-3))*(Scenario_DT!N$12+$O222)-Scenario_DT!N$13)*(1-Scenario_DT!N$14)+Scenario_DT!N$13-Scenario_DT!N$15)*Scenario_DT!N$16</f>
        <v>2689.1829648247394</v>
      </c>
      <c r="X222" s="28">
        <f>((Scenario_DT!O$11*(IF(Scenario_DT!O$18=1,1,1+$M222/Scenario_DT!$C$19)*(1+$N222)^MAX(0,Scenario_DT!O$18-3))*(Scenario_DT!O$12+$O222)-Scenario_DT!O$13)*(1-Scenario_DT!O$14)+Scenario_DT!O$13-Scenario_DT!O$15)*Scenario_DT!O$16</f>
        <v>2810.32296214696</v>
      </c>
      <c r="Y222" s="28">
        <f>((Scenario_DT!P$11*(IF(Scenario_DT!P$18=1,1,1+$M222/Scenario_DT!$C$19)*(1+$N222)^MAX(0,Scenario_DT!P$18-3))*(Scenario_DT!P$12+$O222)-Scenario_DT!P$13)*(1-Scenario_DT!P$14)+Scenario_DT!P$13-Scenario_DT!P$15)*Scenario_DT!P$16</f>
        <v>2936.9095369345182</v>
      </c>
      <c r="Z222" s="28">
        <f>((Scenario_DT!Q$11*(IF(Scenario_DT!Q$18=1,1,1+$M222/Scenario_DT!$C$19)*(1+$N222)^MAX(0,Scenario_DT!Q$18-3))*(Scenario_DT!Q$12+$O222)-Scenario_DT!Q$13)*(1-Scenario_DT!Q$14)+Scenario_DT!Q$13-Scenario_DT!Q$15)*Scenario_DT!Q$16</f>
        <v>3069.1895193748428</v>
      </c>
      <c r="AA222" s="28">
        <f>((Scenario_DT!R$11*(IF(Scenario_DT!R$18=1,1,1+$M222/Scenario_DT!$C$19)*(1+$N222)^MAX(0,Scenario_DT!R$18-3))*(Scenario_DT!R$12+$O222)-Scenario_DT!R$13)*(1-Scenario_DT!R$14)+Scenario_DT!R$13-Scenario_DT!R$15)*Scenario_DT!R$16</f>
        <v>3207.4209457542888</v>
      </c>
      <c r="AB222" s="17">
        <f>(Scenario_DT!$R$11*(1+$M222/Scenario_DT!$C$19)*(1+$N222)^7*(Scenario_DT!$R$12+$O222)*(1+MIN(DCF_FCFF!$C$26+$Q222,(DCF_FCFF!$C$25+$P222)-0.02))*(1-DCF_FCFF!$C$27)*(1-DCF_FCFF!$C$28)/((DCF_FCFF!$C$25+$P222)-MIN(DCF_FCFF!$C$26+$Q222,(DCF_FCFF!$C$25+$P222)-0.02)))*(1+(DCF_FCFF!$C$25+$P222))^(-(Inputs!$C$9+9))</f>
        <v>37784.057437647745</v>
      </c>
      <c r="AC222" s="17">
        <f>SUMPRODUCT(R222:AA222*(1+(DCF_FCFF!$C$25+$P222))^(-Scenario_DT!$I$17:$R$17))+AB222</f>
        <v>54261.812237613485</v>
      </c>
      <c r="AD222" s="68">
        <f>((AC222-DCF_FCFF!$C$48)*(1-DCF_FCFF!$C$50)+DCF_FCFF!$C$57+DCF_FCFF!$C$58)/DCF_FCFF!$C$60</f>
        <v>424.40214478248748</v>
      </c>
      <c r="AE222" s="6"/>
      <c r="AF222" s="6"/>
      <c r="AG222" s="6"/>
    </row>
    <row r="223" spans="1:33" x14ac:dyDescent="0.3">
      <c r="A223" s="6"/>
      <c r="B223" s="72">
        <v>192</v>
      </c>
      <c r="C223" s="73">
        <v>0.88798882860558004</v>
      </c>
      <c r="D223" s="73">
        <v>0.77735871332769202</v>
      </c>
      <c r="E223" s="73">
        <v>0.51766152128772902</v>
      </c>
      <c r="F223" s="73">
        <v>0.49060791551187199</v>
      </c>
      <c r="G223" s="73">
        <v>0.52974566618249797</v>
      </c>
      <c r="H223" s="15">
        <f t="shared" ref="H223:H286" si="31">NORMSINV(C223)</f>
        <v>1.2159017725450447</v>
      </c>
      <c r="I223" s="15">
        <f t="shared" ref="I223:I286" si="32">NORMSINV(D223)</f>
        <v>0.7633032348305212</v>
      </c>
      <c r="J223" s="15">
        <f t="shared" ref="J223:J286" si="33">NORMSINV(E223)</f>
        <v>4.4285339712736856E-2</v>
      </c>
      <c r="K223" s="15">
        <f t="shared" ref="K223:K286" si="34">NORMSINV(F223)</f>
        <v>-2.3544639683521128E-2</v>
      </c>
      <c r="L223" s="15">
        <f t="shared" ref="L223:L286" si="35">NORMSINV(G223)</f>
        <v>7.4630548587890269E-2</v>
      </c>
      <c r="M223" s="18">
        <f t="shared" ref="M223:M286" si="36">H223*$C$5</f>
        <v>2.4318035450900895E-2</v>
      </c>
      <c r="N223" s="18">
        <f t="shared" ref="N223:N286" si="37">($C$10*H223+SQRT(1-$C$10^2)*I223)*$C$6</f>
        <v>1.0151927027412742E-2</v>
      </c>
      <c r="O223" s="18">
        <f t="shared" ref="O223:O286" si="38">J223*$C$7</f>
        <v>5.3142407655284226E-4</v>
      </c>
      <c r="P223" s="18">
        <f t="shared" ref="P223:P286" si="39">K223*$C$8</f>
        <v>-1.4126783810112676E-4</v>
      </c>
      <c r="Q223" s="18">
        <f t="shared" ref="Q223:Q286" si="40">L223*$C$9</f>
        <v>2.9852219435156106E-4</v>
      </c>
      <c r="R223" s="28">
        <f>((Scenario_DT!I$11*(IF(Scenario_DT!I$18=1,1,1+$M223/Scenario_DT!$C$19)*(1+$N223)^MAX(0,Scenario_DT!I$18-3))*(Scenario_DT!I$12+$O223)-Scenario_DT!I$13)*(1-Scenario_DT!I$14)+Scenario_DT!I$13-Scenario_DT!I$15)*Scenario_DT!I$16</f>
        <v>911.73378829227693</v>
      </c>
      <c r="S223" s="28">
        <f>((Scenario_DT!J$11*(IF(Scenario_DT!J$18=1,1,1+$M223/Scenario_DT!$C$19)*(1+$N223)^MAX(0,Scenario_DT!J$18-3))*(Scenario_DT!J$12+$O223)-Scenario_DT!J$13)*(1-Scenario_DT!J$14)+Scenario_DT!J$13-Scenario_DT!J$15)*Scenario_DT!J$16</f>
        <v>1891.8752907956991</v>
      </c>
      <c r="T223" s="28">
        <f>((Scenario_DT!K$11*(IF(Scenario_DT!K$18=1,1,1+$M223/Scenario_DT!$C$19)*(1+$N223)^MAX(0,Scenario_DT!K$18-3))*(Scenario_DT!K$12+$O223)-Scenario_DT!K$13)*(1-Scenario_DT!K$14)+Scenario_DT!K$13-Scenario_DT!K$15)*Scenario_DT!K$16</f>
        <v>2159.465274532377</v>
      </c>
      <c r="U223" s="28">
        <f>((Scenario_DT!L$11*(IF(Scenario_DT!L$18=1,1,1+$M223/Scenario_DT!$C$19)*(1+$N223)^MAX(0,Scenario_DT!L$18-3))*(Scenario_DT!L$12+$O223)-Scenario_DT!L$13)*(1-Scenario_DT!L$14)+Scenario_DT!L$13-Scenario_DT!L$15)*Scenario_DT!L$16</f>
        <v>2590.589438648396</v>
      </c>
      <c r="V223" s="28">
        <f>((Scenario_DT!M$11*(IF(Scenario_DT!M$18=1,1,1+$M223/Scenario_DT!$C$19)*(1+$N223)^MAX(0,Scenario_DT!M$18-3))*(Scenario_DT!M$12+$O223)-Scenario_DT!M$13)*(1-Scenario_DT!M$14)+Scenario_DT!M$13-Scenario_DT!M$15)*Scenario_DT!M$16</f>
        <v>2747.1918076485395</v>
      </c>
      <c r="W223" s="28">
        <f>((Scenario_DT!N$11*(IF(Scenario_DT!N$18=1,1,1+$M223/Scenario_DT!$C$19)*(1+$N223)^MAX(0,Scenario_DT!N$18-3))*(Scenario_DT!N$12+$O223)-Scenario_DT!N$13)*(1-Scenario_DT!N$14)+Scenario_DT!N$13-Scenario_DT!N$15)*Scenario_DT!N$16</f>
        <v>2913.267229640483</v>
      </c>
      <c r="X223" s="28">
        <f>((Scenario_DT!O$11*(IF(Scenario_DT!O$18=1,1,1+$M223/Scenario_DT!$C$19)*(1+$N223)^MAX(0,Scenario_DT!O$18-3))*(Scenario_DT!O$12+$O223)-Scenario_DT!O$13)*(1-Scenario_DT!O$14)+Scenario_DT!O$13-Scenario_DT!O$15)*Scenario_DT!O$16</f>
        <v>3089.3918352203514</v>
      </c>
      <c r="Y223" s="28">
        <f>((Scenario_DT!P$11*(IF(Scenario_DT!P$18=1,1,1+$M223/Scenario_DT!$C$19)*(1+$N223)^MAX(0,Scenario_DT!P$18-3))*(Scenario_DT!P$12+$O223)-Scenario_DT!P$13)*(1-Scenario_DT!P$14)+Scenario_DT!P$13-Scenario_DT!P$15)*Scenario_DT!P$16</f>
        <v>3276.1767959836748</v>
      </c>
      <c r="Z223" s="28">
        <f>((Scenario_DT!Q$11*(IF(Scenario_DT!Q$18=1,1,1+$M223/Scenario_DT!$C$19)*(1+$N223)^MAX(0,Scenario_DT!Q$18-3))*(Scenario_DT!Q$12+$O223)-Scenario_DT!Q$13)*(1-Scenario_DT!Q$14)+Scenario_DT!Q$13-Scenario_DT!Q$15)*Scenario_DT!Q$16</f>
        <v>3474.2704544884191</v>
      </c>
      <c r="AA223" s="28">
        <f>((Scenario_DT!R$11*(IF(Scenario_DT!R$18=1,1,1+$M223/Scenario_DT!$C$19)*(1+$N223)^MAX(0,Scenario_DT!R$18-3))*(Scenario_DT!R$12+$O223)-Scenario_DT!R$13)*(1-Scenario_DT!R$14)+Scenario_DT!R$13-Scenario_DT!R$15)*Scenario_DT!R$16</f>
        <v>3684.3605836173042</v>
      </c>
      <c r="AB223" s="17">
        <f>(Scenario_DT!$R$11*(1+$M223/Scenario_DT!$C$19)*(1+$N223)^7*(Scenario_DT!$R$12+$O223)*(1+MIN(DCF_FCFF!$C$26+$Q223,(DCF_FCFF!$C$25+$P223)-0.02))*(1-DCF_FCFF!$C$27)*(1-DCF_FCFF!$C$28)/((DCF_FCFF!$C$25+$P223)-MIN(DCF_FCFF!$C$26+$Q223,(DCF_FCFF!$C$25+$P223)-0.02)))*(1+(DCF_FCFF!$C$25+$P223))^(-(Inputs!$C$9+9))</f>
        <v>31374.42551041556</v>
      </c>
      <c r="AC223" s="17">
        <f>SUMPRODUCT(R223:AA223*(1+(DCF_FCFF!$C$25+$P223))^(-Scenario_DT!$I$17:$R$17))+AB223</f>
        <v>48757.139117775834</v>
      </c>
      <c r="AD223" s="68">
        <f>((AC223-DCF_FCFF!$C$48)*(1-DCF_FCFF!$C$50)+DCF_FCFF!$C$57+DCF_FCFF!$C$58)/DCF_FCFF!$C$60</f>
        <v>371.56406198608397</v>
      </c>
      <c r="AE223" s="6"/>
      <c r="AF223" s="6"/>
      <c r="AG223" s="6"/>
    </row>
    <row r="224" spans="1:33" x14ac:dyDescent="0.3">
      <c r="A224" s="6"/>
      <c r="B224" s="72">
        <v>193</v>
      </c>
      <c r="C224" s="73">
        <v>0.53656801357708905</v>
      </c>
      <c r="D224" s="73">
        <v>0.43456308469769001</v>
      </c>
      <c r="E224" s="73">
        <v>0.13175483289206799</v>
      </c>
      <c r="F224" s="73">
        <v>0.12566385286853601</v>
      </c>
      <c r="G224" s="73">
        <v>0.95224971584568296</v>
      </c>
      <c r="H224" s="15">
        <f t="shared" si="31"/>
        <v>9.1791153533988534E-2</v>
      </c>
      <c r="I224" s="15">
        <f t="shared" si="32"/>
        <v>-0.16476853694757679</v>
      </c>
      <c r="J224" s="15">
        <f t="shared" si="33"/>
        <v>-1.1181342374525929</v>
      </c>
      <c r="K224" s="15">
        <f t="shared" si="34"/>
        <v>-1.1471304621097385</v>
      </c>
      <c r="L224" s="15">
        <f t="shared" si="35"/>
        <v>1.6670695891390594</v>
      </c>
      <c r="M224" s="18">
        <f t="shared" si="36"/>
        <v>1.8358230706797707E-3</v>
      </c>
      <c r="N224" s="18">
        <f t="shared" si="37"/>
        <v>-7.7438529579201701E-4</v>
      </c>
      <c r="O224" s="18">
        <f t="shared" si="38"/>
        <v>-1.3417610849431116E-2</v>
      </c>
      <c r="P224" s="18">
        <f t="shared" si="39"/>
        <v>-6.8827827726584308E-3</v>
      </c>
      <c r="Q224" s="18">
        <f t="shared" si="40"/>
        <v>6.6682783565562382E-3</v>
      </c>
      <c r="R224" s="28">
        <f>((Scenario_DT!I$11*(IF(Scenario_DT!I$18=1,1,1+$M224/Scenario_DT!$C$19)*(1+$N224)^MAX(0,Scenario_DT!I$18-3))*(Scenario_DT!I$12+$O224)-Scenario_DT!I$13)*(1-Scenario_DT!I$14)+Scenario_DT!I$13-Scenario_DT!I$15)*Scenario_DT!I$16</f>
        <v>892.06715019216904</v>
      </c>
      <c r="S224" s="28">
        <f>((Scenario_DT!J$11*(IF(Scenario_DT!J$18=1,1,1+$M224/Scenario_DT!$C$19)*(1+$N224)^MAX(0,Scenario_DT!J$18-3))*(Scenario_DT!J$12+$O224)-Scenario_DT!J$13)*(1-Scenario_DT!J$14)+Scenario_DT!J$13-Scenario_DT!J$15)*Scenario_DT!J$16</f>
        <v>1794.5282714608393</v>
      </c>
      <c r="T224" s="28">
        <f>((Scenario_DT!K$11*(IF(Scenario_DT!K$18=1,1,1+$M224/Scenario_DT!$C$19)*(1+$N224)^MAX(0,Scenario_DT!K$18-3))*(Scenario_DT!K$12+$O224)-Scenario_DT!K$13)*(1-Scenario_DT!K$14)+Scenario_DT!K$13-Scenario_DT!K$15)*Scenario_DT!K$16</f>
        <v>2057.8174322830437</v>
      </c>
      <c r="U224" s="28">
        <f>((Scenario_DT!L$11*(IF(Scenario_DT!L$18=1,1,1+$M224/Scenario_DT!$C$19)*(1+$N224)^MAX(0,Scenario_DT!L$18-3))*(Scenario_DT!L$12+$O224)-Scenario_DT!L$13)*(1-Scenario_DT!L$14)+Scenario_DT!L$13-Scenario_DT!L$15)*Scenario_DT!L$16</f>
        <v>2454.5420241163843</v>
      </c>
      <c r="V224" s="28">
        <f>((Scenario_DT!M$11*(IF(Scenario_DT!M$18=1,1,1+$M224/Scenario_DT!$C$19)*(1+$N224)^MAX(0,Scenario_DT!M$18-3))*(Scenario_DT!M$12+$O224)-Scenario_DT!M$13)*(1-Scenario_DT!M$14)+Scenario_DT!M$13-Scenario_DT!M$15)*Scenario_DT!M$16</f>
        <v>2574.5381751770433</v>
      </c>
      <c r="W224" s="28">
        <f>((Scenario_DT!N$11*(IF(Scenario_DT!N$18=1,1,1+$M224/Scenario_DT!$C$19)*(1+$N224)^MAX(0,Scenario_DT!N$18-3))*(Scenario_DT!N$12+$O224)-Scenario_DT!N$13)*(1-Scenario_DT!N$14)+Scenario_DT!N$13-Scenario_DT!N$15)*Scenario_DT!N$16</f>
        <v>2700.3922356451144</v>
      </c>
      <c r="X224" s="28">
        <f>((Scenario_DT!O$11*(IF(Scenario_DT!O$18=1,1,1+$M224/Scenario_DT!$C$19)*(1+$N224)^MAX(0,Scenario_DT!O$18-3))*(Scenario_DT!O$12+$O224)-Scenario_DT!O$13)*(1-Scenario_DT!O$14)+Scenario_DT!O$13-Scenario_DT!O$15)*Scenario_DT!O$16</f>
        <v>2832.3924458156403</v>
      </c>
      <c r="Y224" s="28">
        <f>((Scenario_DT!P$11*(IF(Scenario_DT!P$18=1,1,1+$M224/Scenario_DT!$C$19)*(1+$N224)^MAX(0,Scenario_DT!P$18-3))*(Scenario_DT!P$12+$O224)-Scenario_DT!P$13)*(1-Scenario_DT!P$14)+Scenario_DT!P$13-Scenario_DT!P$15)*Scenario_DT!P$16</f>
        <v>2970.8412496007736</v>
      </c>
      <c r="Z224" s="28">
        <f>((Scenario_DT!Q$11*(IF(Scenario_DT!Q$18=1,1,1+$M224/Scenario_DT!$C$19)*(1+$N224)^MAX(0,Scenario_DT!Q$18-3))*(Scenario_DT!Q$12+$O224)-Scenario_DT!Q$13)*(1-Scenario_DT!Q$14)+Scenario_DT!Q$13-Scenario_DT!Q$15)*Scenario_DT!Q$16</f>
        <v>3116.0559945459304</v>
      </c>
      <c r="AA224" s="28">
        <f>((Scenario_DT!R$11*(IF(Scenario_DT!R$18=1,1,1+$M224/Scenario_DT!$C$19)*(1+$N224)^MAX(0,Scenario_DT!R$18-3))*(Scenario_DT!R$12+$O224)-Scenario_DT!R$13)*(1-Scenario_DT!R$14)+Scenario_DT!R$13-Scenario_DT!R$15)*Scenario_DT!R$16</f>
        <v>3268.3696663422152</v>
      </c>
      <c r="AB224" s="17">
        <f>(Scenario_DT!$R$11*(1+$M224/Scenario_DT!$C$19)*(1+$N224)^7*(Scenario_DT!$R$12+$O224)*(1+MIN(DCF_FCFF!$C$26+$Q224,(DCF_FCFF!$C$25+$P224)-0.02))*(1-DCF_FCFF!$C$27)*(1-DCF_FCFF!$C$28)/((DCF_FCFF!$C$25+$P224)-MIN(DCF_FCFF!$C$26+$Q224,(DCF_FCFF!$C$25+$P224)-0.02)))*(1+(DCF_FCFF!$C$25+$P224))^(-(Inputs!$C$9+9))</f>
        <v>40302.867329349632</v>
      </c>
      <c r="AC224" s="17">
        <f>SUMPRODUCT(R224:AA224*(1+(DCF_FCFF!$C$25+$P224))^(-Scenario_DT!$I$17:$R$17))+AB224</f>
        <v>56902.352647054693</v>
      </c>
      <c r="AD224" s="68">
        <f>((AC224-DCF_FCFF!$C$48)*(1-DCF_FCFF!$C$50)+DCF_FCFF!$C$57+DCF_FCFF!$C$58)/DCF_FCFF!$C$60</f>
        <v>449.74808081609137</v>
      </c>
      <c r="AE224" s="6"/>
      <c r="AF224" s="6"/>
      <c r="AG224" s="6"/>
    </row>
    <row r="225" spans="1:33" x14ac:dyDescent="0.3">
      <c r="A225" s="6"/>
      <c r="B225" s="72">
        <v>194</v>
      </c>
      <c r="C225" s="73">
        <v>0.482030759586351</v>
      </c>
      <c r="D225" s="73">
        <v>0.95320552490518895</v>
      </c>
      <c r="E225" s="73">
        <v>0.16357687771011001</v>
      </c>
      <c r="F225" s="73">
        <v>0.55441655203993401</v>
      </c>
      <c r="G225" s="73">
        <v>0.20771725335153901</v>
      </c>
      <c r="H225" s="15">
        <f t="shared" si="31"/>
        <v>-4.5057447192459951E-2</v>
      </c>
      <c r="I225" s="15">
        <f t="shared" si="32"/>
        <v>1.6767624144135169</v>
      </c>
      <c r="J225" s="15">
        <f t="shared" si="33"/>
        <v>-0.97986298698622498</v>
      </c>
      <c r="K225" s="15">
        <f t="shared" si="34"/>
        <v>0.13682781664713112</v>
      </c>
      <c r="L225" s="15">
        <f t="shared" si="35"/>
        <v>-0.81436740314492195</v>
      </c>
      <c r="M225" s="18">
        <f t="shared" si="36"/>
        <v>-9.0114894384919905E-4</v>
      </c>
      <c r="N225" s="18">
        <f t="shared" si="37"/>
        <v>1.1436720987174451E-2</v>
      </c>
      <c r="O225" s="18">
        <f t="shared" si="38"/>
        <v>-1.17583558438347E-2</v>
      </c>
      <c r="P225" s="18">
        <f t="shared" si="39"/>
        <v>8.2096689988278668E-4</v>
      </c>
      <c r="Q225" s="18">
        <f t="shared" si="40"/>
        <v>-3.2574696125796877E-3</v>
      </c>
      <c r="R225" s="28">
        <f>((Scenario_DT!I$11*(IF(Scenario_DT!I$18=1,1,1+$M225/Scenario_DT!$C$19)*(1+$N225)^MAX(0,Scenario_DT!I$18-3))*(Scenario_DT!I$12+$O225)-Scenario_DT!I$13)*(1-Scenario_DT!I$14)+Scenario_DT!I$13-Scenario_DT!I$15)*Scenario_DT!I$16</f>
        <v>894.40652118693731</v>
      </c>
      <c r="S225" s="28">
        <f>((Scenario_DT!J$11*(IF(Scenario_DT!J$18=1,1,1+$M225/Scenario_DT!$C$19)*(1+$N225)^MAX(0,Scenario_DT!J$18-3))*(Scenario_DT!J$12+$O225)-Scenario_DT!J$13)*(1-Scenario_DT!J$14)+Scenario_DT!J$13-Scenario_DT!J$15)*Scenario_DT!J$16</f>
        <v>1793.2426641177717</v>
      </c>
      <c r="T225" s="28">
        <f>((Scenario_DT!K$11*(IF(Scenario_DT!K$18=1,1,1+$M225/Scenario_DT!$C$19)*(1+$N225)^MAX(0,Scenario_DT!K$18-3))*(Scenario_DT!K$12+$O225)-Scenario_DT!K$13)*(1-Scenario_DT!K$14)+Scenario_DT!K$13-Scenario_DT!K$15)*Scenario_DT!K$16</f>
        <v>2056.3920596146882</v>
      </c>
      <c r="U225" s="28">
        <f>((Scenario_DT!L$11*(IF(Scenario_DT!L$18=1,1,1+$M225/Scenario_DT!$C$19)*(1+$N225)^MAX(0,Scenario_DT!L$18-3))*(Scenario_DT!L$12+$O225)-Scenario_DT!L$13)*(1-Scenario_DT!L$14)+Scenario_DT!L$13-Scenario_DT!L$15)*Scenario_DT!L$16</f>
        <v>2483.2134100668468</v>
      </c>
      <c r="V225" s="28">
        <f>((Scenario_DT!M$11*(IF(Scenario_DT!M$18=1,1,1+$M225/Scenario_DT!$C$19)*(1+$N225)^MAX(0,Scenario_DT!M$18-3))*(Scenario_DT!M$12+$O225)-Scenario_DT!M$13)*(1-Scenario_DT!M$14)+Scenario_DT!M$13-Scenario_DT!M$15)*Scenario_DT!M$16</f>
        <v>2636.6751036007581</v>
      </c>
      <c r="W225" s="28">
        <f>((Scenario_DT!N$11*(IF(Scenario_DT!N$18=1,1,1+$M225/Scenario_DT!$C$19)*(1+$N225)^MAX(0,Scenario_DT!N$18-3))*(Scenario_DT!N$12+$O225)-Scenario_DT!N$13)*(1-Scenario_DT!N$14)+Scenario_DT!N$13-Scenario_DT!N$15)*Scenario_DT!N$16</f>
        <v>2799.628474711435</v>
      </c>
      <c r="X225" s="28">
        <f>((Scenario_DT!O$11*(IF(Scenario_DT!O$18=1,1,1+$M225/Scenario_DT!$C$19)*(1+$N225)^MAX(0,Scenario_DT!O$18-3))*(Scenario_DT!O$12+$O225)-Scenario_DT!O$13)*(1-Scenario_DT!O$14)+Scenario_DT!O$13-Scenario_DT!O$15)*Scenario_DT!O$16</f>
        <v>2972.6637520036729</v>
      </c>
      <c r="Y225" s="28">
        <f>((Scenario_DT!P$11*(IF(Scenario_DT!P$18=1,1,1+$M225/Scenario_DT!$C$19)*(1+$N225)^MAX(0,Scenario_DT!P$18-3))*(Scenario_DT!P$12+$O225)-Scenario_DT!P$13)*(1-Scenario_DT!P$14)+Scenario_DT!P$13-Scenario_DT!P$15)*Scenario_DT!P$16</f>
        <v>3156.4078644026399</v>
      </c>
      <c r="Z225" s="28">
        <f>((Scenario_DT!Q$11*(IF(Scenario_DT!Q$18=1,1,1+$M225/Scenario_DT!$C$19)*(1+$N225)^MAX(0,Scenario_DT!Q$18-3))*(Scenario_DT!Q$12+$O225)-Scenario_DT!Q$13)*(1-Scenario_DT!Q$14)+Scenario_DT!Q$13-Scenario_DT!Q$15)*Scenario_DT!Q$16</f>
        <v>3351.526721634244</v>
      </c>
      <c r="AA225" s="28">
        <f>((Scenario_DT!R$11*(IF(Scenario_DT!R$18=1,1,1+$M225/Scenario_DT!$C$19)*(1+$N225)^MAX(0,Scenario_DT!R$18-3))*(Scenario_DT!R$12+$O225)-Scenario_DT!R$13)*(1-Scenario_DT!R$14)+Scenario_DT!R$13-Scenario_DT!R$15)*Scenario_DT!R$16</f>
        <v>3558.7276363270753</v>
      </c>
      <c r="AB225" s="17">
        <f>(Scenario_DT!$R$11*(1+$M225/Scenario_DT!$C$19)*(1+$N225)^7*(Scenario_DT!$R$12+$O225)*(1+MIN(DCF_FCFF!$C$26+$Q225,(DCF_FCFF!$C$25+$P225)-0.02))*(1-DCF_FCFF!$C$27)*(1-DCF_FCFF!$C$28)/((DCF_FCFF!$C$25+$P225)-MIN(DCF_FCFF!$C$26+$Q225,(DCF_FCFF!$C$25+$P225)-0.02)))*(1+(DCF_FCFF!$C$25+$P225))^(-(Inputs!$C$9+9))</f>
        <v>27473.052663535538</v>
      </c>
      <c r="AC225" s="17">
        <f>SUMPRODUCT(R225:AA225*(1+(DCF_FCFF!$C$25+$P225))^(-Scenario_DT!$I$17:$R$17))+AB225</f>
        <v>44102.198041626558</v>
      </c>
      <c r="AD225" s="68">
        <f>((AC225-DCF_FCFF!$C$48)*(1-DCF_FCFF!$C$50)+DCF_FCFF!$C$57+DCF_FCFF!$C$58)/DCF_FCFF!$C$60</f>
        <v>326.88236034106262</v>
      </c>
      <c r="AE225" s="6"/>
      <c r="AF225" s="6"/>
      <c r="AG225" s="6"/>
    </row>
    <row r="226" spans="1:33" x14ac:dyDescent="0.3">
      <c r="A226" s="6"/>
      <c r="B226" s="72">
        <v>195</v>
      </c>
      <c r="C226" s="73">
        <v>0.25318460612660199</v>
      </c>
      <c r="D226" s="73">
        <v>3.0054578761178799E-2</v>
      </c>
      <c r="E226" s="73">
        <v>0.118953310740211</v>
      </c>
      <c r="F226" s="73">
        <v>0.91684840762919595</v>
      </c>
      <c r="G226" s="73">
        <v>0.321532991482332</v>
      </c>
      <c r="H226" s="15">
        <f t="shared" si="31"/>
        <v>-0.6645017765725626</v>
      </c>
      <c r="I226" s="15">
        <f t="shared" si="32"/>
        <v>-1.8799920785484163</v>
      </c>
      <c r="J226" s="15">
        <f t="shared" si="33"/>
        <v>-1.1802353539158139</v>
      </c>
      <c r="K226" s="15">
        <f t="shared" si="34"/>
        <v>1.3841805259430173</v>
      </c>
      <c r="L226" s="15">
        <f t="shared" si="35"/>
        <v>-0.46341631990689974</v>
      </c>
      <c r="M226" s="18">
        <f t="shared" si="36"/>
        <v>-1.3290035531451251E-2</v>
      </c>
      <c r="N226" s="18">
        <f t="shared" si="37"/>
        <v>-1.5682974297781756E-2</v>
      </c>
      <c r="O226" s="18">
        <f t="shared" si="38"/>
        <v>-1.4162824246989766E-2</v>
      </c>
      <c r="P226" s="18">
        <f t="shared" si="39"/>
        <v>8.305083155658104E-3</v>
      </c>
      <c r="Q226" s="18">
        <f t="shared" si="40"/>
        <v>-1.8536652796275991E-3</v>
      </c>
      <c r="R226" s="28">
        <f>((Scenario_DT!I$11*(IF(Scenario_DT!I$18=1,1,1+$M226/Scenario_DT!$C$19)*(1+$N226)^MAX(0,Scenario_DT!I$18-3))*(Scenario_DT!I$12+$O226)-Scenario_DT!I$13)*(1-Scenario_DT!I$14)+Scenario_DT!I$13-Scenario_DT!I$15)*Scenario_DT!I$16</f>
        <v>891.01647949882693</v>
      </c>
      <c r="S226" s="28">
        <f>((Scenario_DT!J$11*(IF(Scenario_DT!J$18=1,1,1+$M226/Scenario_DT!$C$19)*(1+$N226)^MAX(0,Scenario_DT!J$18-3))*(Scenario_DT!J$12+$O226)-Scenario_DT!J$13)*(1-Scenario_DT!J$14)+Scenario_DT!J$13-Scenario_DT!J$15)*Scenario_DT!J$16</f>
        <v>1756.6700634713452</v>
      </c>
      <c r="T226" s="28">
        <f>((Scenario_DT!K$11*(IF(Scenario_DT!K$18=1,1,1+$M226/Scenario_DT!$C$19)*(1+$N226)^MAX(0,Scenario_DT!K$18-3))*(Scenario_DT!K$12+$O226)-Scenario_DT!K$13)*(1-Scenario_DT!K$14)+Scenario_DT!K$13-Scenario_DT!K$15)*Scenario_DT!K$16</f>
        <v>2018.0696179065421</v>
      </c>
      <c r="U226" s="28">
        <f>((Scenario_DT!L$11*(IF(Scenario_DT!L$18=1,1,1+$M226/Scenario_DT!$C$19)*(1+$N226)^MAX(0,Scenario_DT!L$18-3))*(Scenario_DT!L$12+$O226)-Scenario_DT!L$13)*(1-Scenario_DT!L$14)+Scenario_DT!L$13-Scenario_DT!L$15)*Scenario_DT!L$16</f>
        <v>2376.1266879918653</v>
      </c>
      <c r="V226" s="28">
        <f>((Scenario_DT!M$11*(IF(Scenario_DT!M$18=1,1,1+$M226/Scenario_DT!$C$19)*(1+$N226)^MAX(0,Scenario_DT!M$18-3))*(Scenario_DT!M$12+$O226)-Scenario_DT!M$13)*(1-Scenario_DT!M$14)+Scenario_DT!M$13-Scenario_DT!M$15)*Scenario_DT!M$16</f>
        <v>2454.8057414219516</v>
      </c>
      <c r="W226" s="28">
        <f>((Scenario_DT!N$11*(IF(Scenario_DT!N$18=1,1,1+$M226/Scenario_DT!$C$19)*(1+$N226)^MAX(0,Scenario_DT!N$18-3))*(Scenario_DT!N$12+$O226)-Scenario_DT!N$13)*(1-Scenario_DT!N$14)+Scenario_DT!N$13-Scenario_DT!N$15)*Scenario_DT!N$16</f>
        <v>2536.0542998853316</v>
      </c>
      <c r="X226" s="28">
        <f>((Scenario_DT!O$11*(IF(Scenario_DT!O$18=1,1,1+$M226/Scenario_DT!$C$19)*(1+$N226)^MAX(0,Scenario_DT!O$18-3))*(Scenario_DT!O$12+$O226)-Scenario_DT!O$13)*(1-Scenario_DT!O$14)+Scenario_DT!O$13-Scenario_DT!O$15)*Scenario_DT!O$16</f>
        <v>2619.9567351321489</v>
      </c>
      <c r="Y226" s="28">
        <f>((Scenario_DT!P$11*(IF(Scenario_DT!P$18=1,1,1+$M226/Scenario_DT!$C$19)*(1+$N226)^MAX(0,Scenario_DT!P$18-3))*(Scenario_DT!P$12+$O226)-Scenario_DT!P$13)*(1-Scenario_DT!P$14)+Scenario_DT!P$13-Scenario_DT!P$15)*Scenario_DT!P$16</f>
        <v>2706.6001823922211</v>
      </c>
      <c r="Z226" s="28">
        <f>((Scenario_DT!Q$11*(IF(Scenario_DT!Q$18=1,1,1+$M226/Scenario_DT!$C$19)*(1+$N226)^MAX(0,Scenario_DT!Q$18-3))*(Scenario_DT!Q$12+$O226)-Scenario_DT!Q$13)*(1-Scenario_DT!Q$14)+Scenario_DT!Q$13-Scenario_DT!Q$15)*Scenario_DT!Q$16</f>
        <v>2796.0746303219425</v>
      </c>
      <c r="AA226" s="28">
        <f>((Scenario_DT!R$11*(IF(Scenario_DT!R$18=1,1,1+$M226/Scenario_DT!$C$19)*(1+$N226)^MAX(0,Scenario_DT!R$18-3))*(Scenario_DT!R$12+$O226)-Scenario_DT!R$13)*(1-Scenario_DT!R$14)+Scenario_DT!R$13-Scenario_DT!R$15)*Scenario_DT!R$16</f>
        <v>2888.4730138517921</v>
      </c>
      <c r="AB226" s="17">
        <f>(Scenario_DT!$R$11*(1+$M226/Scenario_DT!$C$19)*(1+$N226)^7*(Scenario_DT!$R$12+$O226)*(1+MIN(DCF_FCFF!$C$26+$Q226,(DCF_FCFF!$C$25+$P226)-0.02))*(1-DCF_FCFF!$C$27)*(1-DCF_FCFF!$C$28)/((DCF_FCFF!$C$25+$P226)-MIN(DCF_FCFF!$C$26+$Q226,(DCF_FCFF!$C$25+$P226)-0.02)))*(1+(DCF_FCFF!$C$25+$P226))^(-(Inputs!$C$9+9))</f>
        <v>18862.135650980334</v>
      </c>
      <c r="AC226" s="17">
        <f>SUMPRODUCT(R226:AA226*(1+(DCF_FCFF!$C$25+$P226))^(-Scenario_DT!$I$17:$R$17))+AB226</f>
        <v>33546.426445761557</v>
      </c>
      <c r="AD226" s="68">
        <f>((AC226-DCF_FCFF!$C$48)*(1-DCF_FCFF!$C$50)+DCF_FCFF!$C$57+DCF_FCFF!$C$58)/DCF_FCFF!$C$60</f>
        <v>225.55995273937592</v>
      </c>
      <c r="AE226" s="6"/>
      <c r="AF226" s="6"/>
      <c r="AG226" s="6"/>
    </row>
    <row r="227" spans="1:33" x14ac:dyDescent="0.3">
      <c r="A227" s="6"/>
      <c r="B227" s="72">
        <v>196</v>
      </c>
      <c r="C227" s="73">
        <v>0.60812921191459202</v>
      </c>
      <c r="D227" s="73">
        <v>0.46501413198927299</v>
      </c>
      <c r="E227" s="73">
        <v>0.40045124524527798</v>
      </c>
      <c r="F227" s="73">
        <v>0.53188609134606801</v>
      </c>
      <c r="G227" s="73">
        <v>0.18723894461534199</v>
      </c>
      <c r="H227" s="15">
        <f t="shared" si="31"/>
        <v>0.27444641704669398</v>
      </c>
      <c r="I227" s="15">
        <f t="shared" si="32"/>
        <v>-8.7809277366412253E-2</v>
      </c>
      <c r="J227" s="15">
        <f t="shared" si="33"/>
        <v>-0.25217928298028103</v>
      </c>
      <c r="K227" s="15">
        <f t="shared" si="34"/>
        <v>8.0011867532252715E-2</v>
      </c>
      <c r="L227" s="15">
        <f t="shared" si="35"/>
        <v>-0.88811686955266833</v>
      </c>
      <c r="M227" s="18">
        <f t="shared" si="36"/>
        <v>5.4889283409338798E-3</v>
      </c>
      <c r="N227" s="18">
        <f t="shared" si="37"/>
        <v>4.8942514908864045E-4</v>
      </c>
      <c r="O227" s="18">
        <f t="shared" si="38"/>
        <v>-3.0261513957633725E-3</v>
      </c>
      <c r="P227" s="18">
        <f t="shared" si="39"/>
        <v>4.800712051935163E-4</v>
      </c>
      <c r="Q227" s="18">
        <f t="shared" si="40"/>
        <v>-3.5524674782106734E-3</v>
      </c>
      <c r="R227" s="28">
        <f>((Scenario_DT!I$11*(IF(Scenario_DT!I$18=1,1,1+$M227/Scenario_DT!$C$19)*(1+$N227)^MAX(0,Scenario_DT!I$18-3))*(Scenario_DT!I$12+$O227)-Scenario_DT!I$13)*(1-Scenario_DT!I$14)+Scenario_DT!I$13-Scenario_DT!I$15)*Scenario_DT!I$16</f>
        <v>906.71798972993111</v>
      </c>
      <c r="S227" s="28">
        <f>((Scenario_DT!J$11*(IF(Scenario_DT!J$18=1,1,1+$M227/Scenario_DT!$C$19)*(1+$N227)^MAX(0,Scenario_DT!J$18-3))*(Scenario_DT!J$12+$O227)-Scenario_DT!J$13)*(1-Scenario_DT!J$14)+Scenario_DT!J$13-Scenario_DT!J$15)*Scenario_DT!J$16</f>
        <v>1835.6023504668033</v>
      </c>
      <c r="T227" s="28">
        <f>((Scenario_DT!K$11*(IF(Scenario_DT!K$18=1,1,1+$M227/Scenario_DT!$C$19)*(1+$N227)^MAX(0,Scenario_DT!K$18-3))*(Scenario_DT!K$12+$O227)-Scenario_DT!K$13)*(1-Scenario_DT!K$14)+Scenario_DT!K$13-Scenario_DT!K$15)*Scenario_DT!K$16</f>
        <v>2100.5078470425756</v>
      </c>
      <c r="U227" s="28">
        <f>((Scenario_DT!L$11*(IF(Scenario_DT!L$18=1,1,1+$M227/Scenario_DT!$C$19)*(1+$N227)^MAX(0,Scenario_DT!L$18-3))*(Scenario_DT!L$12+$O227)-Scenario_DT!L$13)*(1-Scenario_DT!L$14)+Scenario_DT!L$13-Scenario_DT!L$15)*Scenario_DT!L$16</f>
        <v>2503.0177333872061</v>
      </c>
      <c r="V227" s="28">
        <f>((Scenario_DT!M$11*(IF(Scenario_DT!M$18=1,1,1+$M227/Scenario_DT!$C$19)*(1+$N227)^MAX(0,Scenario_DT!M$18-3))*(Scenario_DT!M$12+$O227)-Scenario_DT!M$13)*(1-Scenario_DT!M$14)+Scenario_DT!M$13-Scenario_DT!M$15)*Scenario_DT!M$16</f>
        <v>2628.7421540253345</v>
      </c>
      <c r="W227" s="28">
        <f>((Scenario_DT!N$11*(IF(Scenario_DT!N$18=1,1,1+$M227/Scenario_DT!$C$19)*(1+$N227)^MAX(0,Scenario_DT!N$18-3))*(Scenario_DT!N$12+$O227)-Scenario_DT!N$13)*(1-Scenario_DT!N$14)+Scenario_DT!N$13-Scenario_DT!N$15)*Scenario_DT!N$16</f>
        <v>2760.7751532825005</v>
      </c>
      <c r="X227" s="28">
        <f>((Scenario_DT!O$11*(IF(Scenario_DT!O$18=1,1,1+$M227/Scenario_DT!$C$19)*(1+$N227)^MAX(0,Scenario_DT!O$18-3))*(Scenario_DT!O$12+$O227)-Scenario_DT!O$13)*(1-Scenario_DT!O$14)+Scenario_DT!O$13-Scenario_DT!O$15)*Scenario_DT!O$16</f>
        <v>2899.4356709478793</v>
      </c>
      <c r="Y227" s="28">
        <f>((Scenario_DT!P$11*(IF(Scenario_DT!P$18=1,1,1+$M227/Scenario_DT!$C$19)*(1+$N227)^MAX(0,Scenario_DT!P$18-3))*(Scenario_DT!P$12+$O227)-Scenario_DT!P$13)*(1-Scenario_DT!P$14)+Scenario_DT!P$13-Scenario_DT!P$15)*Scenario_DT!P$16</f>
        <v>3045.0587914491066</v>
      </c>
      <c r="Z227" s="28">
        <f>((Scenario_DT!Q$11*(IF(Scenario_DT!Q$18=1,1,1+$M227/Scenario_DT!$C$19)*(1+$N227)^MAX(0,Scenario_DT!Q$18-3))*(Scenario_DT!Q$12+$O227)-Scenario_DT!Q$13)*(1-Scenario_DT!Q$14)+Scenario_DT!Q$13-Scenario_DT!Q$15)*Scenario_DT!Q$16</f>
        <v>3197.9965611131679</v>
      </c>
      <c r="AA227" s="28">
        <f>((Scenario_DT!R$11*(IF(Scenario_DT!R$18=1,1,1+$M227/Scenario_DT!$C$19)*(1+$N227)^MAX(0,Scenario_DT!R$18-3))*(Scenario_DT!R$12+$O227)-Scenario_DT!R$13)*(1-Scenario_DT!R$14)+Scenario_DT!R$13-Scenario_DT!R$15)*Scenario_DT!R$16</f>
        <v>3358.6188467902543</v>
      </c>
      <c r="AB227" s="17">
        <f>(Scenario_DT!$R$11*(1+$M227/Scenario_DT!$C$19)*(1+$N227)^7*(Scenario_DT!$R$12+$O227)*(1+MIN(DCF_FCFF!$C$26+$Q227,(DCF_FCFF!$C$25+$P227)-0.02))*(1-DCF_FCFF!$C$27)*(1-DCF_FCFF!$C$28)/((DCF_FCFF!$C$25+$P227)-MIN(DCF_FCFF!$C$26+$Q227,(DCF_FCFF!$C$25+$P227)-0.02)))*(1+(DCF_FCFF!$C$25+$P227))^(-(Inputs!$C$9+9))</f>
        <v>26031.787033601886</v>
      </c>
      <c r="AC227" s="17">
        <f>SUMPRODUCT(R227:AA227*(1+(DCF_FCFF!$C$25+$P227))^(-Scenario_DT!$I$17:$R$17))+AB227</f>
        <v>42485.137642328875</v>
      </c>
      <c r="AD227" s="68">
        <f>((AC227-DCF_FCFF!$C$48)*(1-DCF_FCFF!$C$50)+DCF_FCFF!$C$57+DCF_FCFF!$C$58)/DCF_FCFF!$C$60</f>
        <v>311.36057196148374</v>
      </c>
      <c r="AE227" s="6"/>
      <c r="AF227" s="6"/>
      <c r="AG227" s="6"/>
    </row>
    <row r="228" spans="1:33" x14ac:dyDescent="0.3">
      <c r="A228" s="6"/>
      <c r="B228" s="72">
        <v>197</v>
      </c>
      <c r="C228" s="73">
        <v>0.98860389851957697</v>
      </c>
      <c r="D228" s="73">
        <v>0.81830786870386296</v>
      </c>
      <c r="E228" s="73">
        <v>0.74161463273151496</v>
      </c>
      <c r="F228" s="73">
        <v>0.46875929701395302</v>
      </c>
      <c r="G228" s="73">
        <v>0.152877122126336</v>
      </c>
      <c r="H228" s="15">
        <f t="shared" si="31"/>
        <v>2.27689991520915</v>
      </c>
      <c r="I228" s="15">
        <f t="shared" si="32"/>
        <v>0.90893533125824966</v>
      </c>
      <c r="J228" s="15">
        <f t="shared" si="33"/>
        <v>0.64833123707048756</v>
      </c>
      <c r="K228" s="15">
        <f t="shared" si="34"/>
        <v>-7.8389036843368953E-2</v>
      </c>
      <c r="L228" s="15">
        <f t="shared" si="35"/>
        <v>-1.0241715705835677</v>
      </c>
      <c r="M228" s="18">
        <f t="shared" si="36"/>
        <v>4.5537998304183001E-2</v>
      </c>
      <c r="N228" s="18">
        <f t="shared" si="37"/>
        <v>1.5404888358971544E-2</v>
      </c>
      <c r="O228" s="18">
        <f t="shared" si="38"/>
        <v>7.7799748448458507E-3</v>
      </c>
      <c r="P228" s="18">
        <f t="shared" si="39"/>
        <v>-4.7033422106021374E-4</v>
      </c>
      <c r="Q228" s="18">
        <f t="shared" si="40"/>
        <v>-4.096686282334271E-3</v>
      </c>
      <c r="R228" s="28">
        <f>((Scenario_DT!I$11*(IF(Scenario_DT!I$18=1,1,1+$M228/Scenario_DT!$C$19)*(1+$N228)^MAX(0,Scenario_DT!I$18-3))*(Scenario_DT!I$12+$O228)-Scenario_DT!I$13)*(1-Scenario_DT!I$14)+Scenario_DT!I$13-Scenario_DT!I$15)*Scenario_DT!I$16</f>
        <v>921.95346481231559</v>
      </c>
      <c r="S228" s="28">
        <f>((Scenario_DT!J$11*(IF(Scenario_DT!J$18=1,1,1+$M228/Scenario_DT!$C$19)*(1+$N228)^MAX(0,Scenario_DT!J$18-3))*(Scenario_DT!J$12+$O228)-Scenario_DT!J$13)*(1-Scenario_DT!J$14)+Scenario_DT!J$13-Scenario_DT!J$15)*Scenario_DT!J$16</f>
        <v>1966.3780077318156</v>
      </c>
      <c r="T228" s="28">
        <f>((Scenario_DT!K$11*(IF(Scenario_DT!K$18=1,1,1+$M228/Scenario_DT!$C$19)*(1+$N228)^MAX(0,Scenario_DT!K$18-3))*(Scenario_DT!K$12+$O228)-Scenario_DT!K$13)*(1-Scenario_DT!K$14)+Scenario_DT!K$13-Scenario_DT!K$15)*Scenario_DT!K$16</f>
        <v>2237.3960165402732</v>
      </c>
      <c r="U228" s="28">
        <f>((Scenario_DT!L$11*(IF(Scenario_DT!L$18=1,1,1+$M228/Scenario_DT!$C$19)*(1+$N228)^MAX(0,Scenario_DT!L$18-3))*(Scenario_DT!L$12+$O228)-Scenario_DT!L$13)*(1-Scenario_DT!L$14)+Scenario_DT!L$13-Scenario_DT!L$15)*Scenario_DT!L$16</f>
        <v>2688.168445453266</v>
      </c>
      <c r="V228" s="28">
        <f>((Scenario_DT!M$11*(IF(Scenario_DT!M$18=1,1,1+$M228/Scenario_DT!$C$19)*(1+$N228)^MAX(0,Scenario_DT!M$18-3))*(Scenario_DT!M$12+$O228)-Scenario_DT!M$13)*(1-Scenario_DT!M$14)+Scenario_DT!M$13-Scenario_DT!M$15)*Scenario_DT!M$16</f>
        <v>2865.6098728828747</v>
      </c>
      <c r="W228" s="28">
        <f>((Scenario_DT!N$11*(IF(Scenario_DT!N$18=1,1,1+$M228/Scenario_DT!$C$19)*(1+$N228)^MAX(0,Scenario_DT!N$18-3))*(Scenario_DT!N$12+$O228)-Scenario_DT!N$13)*(1-Scenario_DT!N$14)+Scenario_DT!N$13-Scenario_DT!N$15)*Scenario_DT!N$16</f>
        <v>3054.7757711481249</v>
      </c>
      <c r="X228" s="28">
        <f>((Scenario_DT!O$11*(IF(Scenario_DT!O$18=1,1,1+$M228/Scenario_DT!$C$19)*(1+$N228)^MAX(0,Scenario_DT!O$18-3))*(Scenario_DT!O$12+$O228)-Scenario_DT!O$13)*(1-Scenario_DT!O$14)+Scenario_DT!O$13-Scenario_DT!O$15)*Scenario_DT!O$16</f>
        <v>3256.4441775048681</v>
      </c>
      <c r="Y228" s="28">
        <f>((Scenario_DT!P$11*(IF(Scenario_DT!P$18=1,1,1+$M228/Scenario_DT!$C$19)*(1+$N228)^MAX(0,Scenario_DT!P$18-3))*(Scenario_DT!P$12+$O228)-Scenario_DT!P$13)*(1-Scenario_DT!P$14)+Scenario_DT!P$13-Scenario_DT!P$15)*Scenario_DT!P$16</f>
        <v>3471.4447414366527</v>
      </c>
      <c r="Z228" s="28">
        <f>((Scenario_DT!Q$11*(IF(Scenario_DT!Q$18=1,1,1+$M228/Scenario_DT!$C$19)*(1+$N228)^MAX(0,Scenario_DT!Q$18-3))*(Scenario_DT!Q$12+$O228)-Scenario_DT!Q$13)*(1-Scenario_DT!Q$14)+Scenario_DT!Q$13-Scenario_DT!Q$15)*Scenario_DT!Q$16</f>
        <v>3700.6621459397679</v>
      </c>
      <c r="AA228" s="28">
        <f>((Scenario_DT!R$11*(IF(Scenario_DT!R$18=1,1,1+$M228/Scenario_DT!$C$19)*(1+$N228)^MAX(0,Scenario_DT!R$18-3))*(Scenario_DT!R$12+$O228)-Scenario_DT!R$13)*(1-Scenario_DT!R$14)+Scenario_DT!R$13-Scenario_DT!R$15)*Scenario_DT!R$16</f>
        <v>3945.0397554725391</v>
      </c>
      <c r="AB228" s="17">
        <f>(Scenario_DT!$R$11*(1+$M228/Scenario_DT!$C$19)*(1+$N228)^7*(Scenario_DT!$R$12+$O228)*(1+MIN(DCF_FCFF!$C$26+$Q228,(DCF_FCFF!$C$25+$P228)-0.02))*(1-DCF_FCFF!$C$27)*(1-DCF_FCFF!$C$28)/((DCF_FCFF!$C$25+$P228)-MIN(DCF_FCFF!$C$26+$Q228,(DCF_FCFF!$C$25+$P228)-0.02)))*(1+(DCF_FCFF!$C$25+$P228))^(-(Inputs!$C$9+9))</f>
        <v>31007.507009861696</v>
      </c>
      <c r="AC228" s="17">
        <f>SUMPRODUCT(R228:AA228*(1+(DCF_FCFF!$C$25+$P228))^(-Scenario_DT!$I$17:$R$17))+AB228</f>
        <v>49252.361527906716</v>
      </c>
      <c r="AD228" s="68">
        <f>((AC228-DCF_FCFF!$C$48)*(1-DCF_FCFF!$C$50)+DCF_FCFF!$C$57+DCF_FCFF!$C$58)/DCF_FCFF!$C$60</f>
        <v>376.3175872435296</v>
      </c>
      <c r="AE228" s="6"/>
      <c r="AF228" s="6"/>
      <c r="AG228" s="6"/>
    </row>
    <row r="229" spans="1:33" x14ac:dyDescent="0.3">
      <c r="A229" s="6"/>
      <c r="B229" s="72">
        <v>198</v>
      </c>
      <c r="C229" s="73">
        <v>0.92066585827356795</v>
      </c>
      <c r="D229" s="73">
        <v>0.34138706738172803</v>
      </c>
      <c r="E229" s="73">
        <v>5.0106689696933798E-2</v>
      </c>
      <c r="F229" s="73">
        <v>0.342403676810629</v>
      </c>
      <c r="G229" s="73">
        <v>0.79445703049588401</v>
      </c>
      <c r="H229" s="15">
        <f t="shared" si="31"/>
        <v>1.409564608565578</v>
      </c>
      <c r="I229" s="15">
        <f t="shared" si="32"/>
        <v>-0.40868051523119103</v>
      </c>
      <c r="J229" s="15">
        <f t="shared" si="33"/>
        <v>-1.6438200458324146</v>
      </c>
      <c r="K229" s="15">
        <f t="shared" si="34"/>
        <v>-0.40591187337459417</v>
      </c>
      <c r="L229" s="15">
        <f t="shared" si="35"/>
        <v>0.82198411272291305</v>
      </c>
      <c r="M229" s="18">
        <f t="shared" si="36"/>
        <v>2.8191292171311558E-2</v>
      </c>
      <c r="N229" s="18">
        <f t="shared" si="37"/>
        <v>2.8068367684869152E-3</v>
      </c>
      <c r="O229" s="18">
        <f t="shared" si="38"/>
        <v>-1.9725840549988976E-2</v>
      </c>
      <c r="P229" s="18">
        <f t="shared" si="39"/>
        <v>-2.4354712402475651E-3</v>
      </c>
      <c r="Q229" s="18">
        <f t="shared" si="40"/>
        <v>3.2879364508916521E-3</v>
      </c>
      <c r="R229" s="28">
        <f>((Scenario_DT!I$11*(IF(Scenario_DT!I$18=1,1,1+$M229/Scenario_DT!$C$19)*(1+$N229)^MAX(0,Scenario_DT!I$18-3))*(Scenario_DT!I$12+$O229)-Scenario_DT!I$13)*(1-Scenario_DT!I$14)+Scenario_DT!I$13-Scenario_DT!I$15)*Scenario_DT!I$16</f>
        <v>883.17322518362812</v>
      </c>
      <c r="S229" s="28">
        <f>((Scenario_DT!J$11*(IF(Scenario_DT!J$18=1,1,1+$M229/Scenario_DT!$C$19)*(1+$N229)^MAX(0,Scenario_DT!J$18-3))*(Scenario_DT!J$12+$O229)-Scenario_DT!J$13)*(1-Scenario_DT!J$14)+Scenario_DT!J$13-Scenario_DT!J$15)*Scenario_DT!J$16</f>
        <v>1836.3228416231218</v>
      </c>
      <c r="T229" s="28">
        <f>((Scenario_DT!K$11*(IF(Scenario_DT!K$18=1,1,1+$M229/Scenario_DT!$C$19)*(1+$N229)^MAX(0,Scenario_DT!K$18-3))*(Scenario_DT!K$12+$O229)-Scenario_DT!K$13)*(1-Scenario_DT!K$14)+Scenario_DT!K$13-Scenario_DT!K$15)*Scenario_DT!K$16</f>
        <v>2102.0264356942239</v>
      </c>
      <c r="U229" s="28">
        <f>((Scenario_DT!L$11*(IF(Scenario_DT!L$18=1,1,1+$M229/Scenario_DT!$C$19)*(1+$N229)^MAX(0,Scenario_DT!L$18-3))*(Scenario_DT!L$12+$O229)-Scenario_DT!L$13)*(1-Scenario_DT!L$14)+Scenario_DT!L$13-Scenario_DT!L$15)*Scenario_DT!L$16</f>
        <v>2510.4714334393884</v>
      </c>
      <c r="V229" s="28">
        <f>((Scenario_DT!M$11*(IF(Scenario_DT!M$18=1,1,1+$M229/Scenario_DT!$C$19)*(1+$N229)^MAX(0,Scenario_DT!M$18-3))*(Scenario_DT!M$12+$O229)-Scenario_DT!M$13)*(1-Scenario_DT!M$14)+Scenario_DT!M$13-Scenario_DT!M$15)*Scenario_DT!M$16</f>
        <v>2642.7221163069867</v>
      </c>
      <c r="W229" s="28">
        <f>((Scenario_DT!N$11*(IF(Scenario_DT!N$18=1,1,1+$M229/Scenario_DT!$C$19)*(1+$N229)^MAX(0,Scenario_DT!N$18-3))*(Scenario_DT!N$12+$O229)-Scenario_DT!N$13)*(1-Scenario_DT!N$14)+Scenario_DT!N$13-Scenario_DT!N$15)*Scenario_DT!N$16</f>
        <v>2781.936656469863</v>
      </c>
      <c r="X229" s="28">
        <f>((Scenario_DT!O$11*(IF(Scenario_DT!O$18=1,1,1+$M229/Scenario_DT!$C$19)*(1+$N229)^MAX(0,Scenario_DT!O$18-3))*(Scenario_DT!O$12+$O229)-Scenario_DT!O$13)*(1-Scenario_DT!O$14)+Scenario_DT!O$13-Scenario_DT!O$15)*Scenario_DT!O$16</f>
        <v>2928.484334619422</v>
      </c>
      <c r="Y229" s="28">
        <f>((Scenario_DT!P$11*(IF(Scenario_DT!P$18=1,1,1+$M229/Scenario_DT!$C$19)*(1+$N229)^MAX(0,Scenario_DT!P$18-3))*(Scenario_DT!P$12+$O229)-Scenario_DT!P$13)*(1-Scenario_DT!P$14)+Scenario_DT!P$13-Scenario_DT!P$15)*Scenario_DT!P$16</f>
        <v>3082.7540318218239</v>
      </c>
      <c r="Z229" s="28">
        <f>((Scenario_DT!Q$11*(IF(Scenario_DT!Q$18=1,1,1+$M229/Scenario_DT!$C$19)*(1+$N229)^MAX(0,Scenario_DT!Q$18-3))*(Scenario_DT!Q$12+$O229)-Scenario_DT!Q$13)*(1-Scenario_DT!Q$14)+Scenario_DT!Q$13-Scenario_DT!Q$15)*Scenario_DT!Q$16</f>
        <v>3245.1552696728786</v>
      </c>
      <c r="AA229" s="28">
        <f>((Scenario_DT!R$11*(IF(Scenario_DT!R$18=1,1,1+$M229/Scenario_DT!$C$19)*(1+$N229)^MAX(0,Scenario_DT!R$18-3))*(Scenario_DT!R$12+$O229)-Scenario_DT!R$13)*(1-Scenario_DT!R$14)+Scenario_DT!R$13-Scenario_DT!R$15)*Scenario_DT!R$16</f>
        <v>3416.1193056341585</v>
      </c>
      <c r="AB229" s="17">
        <f>(Scenario_DT!$R$11*(1+$M229/Scenario_DT!$C$19)*(1+$N229)^7*(Scenario_DT!$R$12+$O229)*(1+MIN(DCF_FCFF!$C$26+$Q229,(DCF_FCFF!$C$25+$P229)-0.02))*(1-DCF_FCFF!$C$27)*(1-DCF_FCFF!$C$28)/((DCF_FCFF!$C$25+$P229)-MIN(DCF_FCFF!$C$26+$Q229,(DCF_FCFF!$C$25+$P229)-0.02)))*(1+(DCF_FCFF!$C$25+$P229))^(-(Inputs!$C$9+9))</f>
        <v>33301.466105173393</v>
      </c>
      <c r="AC229" s="17">
        <f>SUMPRODUCT(R229:AA229*(1+(DCF_FCFF!$C$25+$P229))^(-Scenario_DT!$I$17:$R$17))+AB229</f>
        <v>50057.52663794189</v>
      </c>
      <c r="AD229" s="68">
        <f>((AC229-DCF_FCFF!$C$48)*(1-DCF_FCFF!$C$50)+DCF_FCFF!$C$57+DCF_FCFF!$C$58)/DCF_FCFF!$C$60</f>
        <v>384.04618071722678</v>
      </c>
      <c r="AE229" s="6"/>
      <c r="AF229" s="6"/>
      <c r="AG229" s="6"/>
    </row>
    <row r="230" spans="1:33" x14ac:dyDescent="0.3">
      <c r="A230" s="6"/>
      <c r="B230" s="72">
        <v>199</v>
      </c>
      <c r="C230" s="73">
        <v>0.62270874498820805</v>
      </c>
      <c r="D230" s="73">
        <v>0.75083858474485998</v>
      </c>
      <c r="E230" s="73">
        <v>0.79363538386237698</v>
      </c>
      <c r="F230" s="73">
        <v>0.211954611080543</v>
      </c>
      <c r="G230" s="73">
        <v>0.92378331609317998</v>
      </c>
      <c r="H230" s="15">
        <f t="shared" si="31"/>
        <v>0.3126027217704303</v>
      </c>
      <c r="I230" s="15">
        <f t="shared" si="32"/>
        <v>0.67713101763649985</v>
      </c>
      <c r="J230" s="15">
        <f t="shared" si="33"/>
        <v>0.81910022724208842</v>
      </c>
      <c r="K230" s="15">
        <f t="shared" si="34"/>
        <v>-0.7996575705799891</v>
      </c>
      <c r="L230" s="15">
        <f t="shared" si="35"/>
        <v>1.4309889997633933</v>
      </c>
      <c r="M230" s="18">
        <f t="shared" si="36"/>
        <v>6.2520544354086058E-3</v>
      </c>
      <c r="N230" s="18">
        <f t="shared" si="37"/>
        <v>5.9417121907906628E-3</v>
      </c>
      <c r="O230" s="18">
        <f t="shared" si="38"/>
        <v>9.8292027269050609E-3</v>
      </c>
      <c r="P230" s="18">
        <f t="shared" si="39"/>
        <v>-4.7979454234799348E-3</v>
      </c>
      <c r="Q230" s="18">
        <f t="shared" si="40"/>
        <v>5.7239559990535736E-3</v>
      </c>
      <c r="R230" s="28">
        <f>((Scenario_DT!I$11*(IF(Scenario_DT!I$18=1,1,1+$M230/Scenario_DT!$C$19)*(1+$N230)^MAX(0,Scenario_DT!I$18-3))*(Scenario_DT!I$12+$O230)-Scenario_DT!I$13)*(1-Scenario_DT!I$14)+Scenario_DT!I$13-Scenario_DT!I$15)*Scenario_DT!I$16</f>
        <v>924.84265559540211</v>
      </c>
      <c r="S230" s="28">
        <f>((Scenario_DT!J$11*(IF(Scenario_DT!J$18=1,1,1+$M230/Scenario_DT!$C$19)*(1+$N230)^MAX(0,Scenario_DT!J$18-3))*(Scenario_DT!J$12+$O230)-Scenario_DT!J$13)*(1-Scenario_DT!J$14)+Scenario_DT!J$13-Scenario_DT!J$15)*Scenario_DT!J$16</f>
        <v>1877.6397804229359</v>
      </c>
      <c r="T230" s="28">
        <f>((Scenario_DT!K$11*(IF(Scenario_DT!K$18=1,1,1+$M230/Scenario_DT!$C$19)*(1+$N230)^MAX(0,Scenario_DT!K$18-3))*(Scenario_DT!K$12+$O230)-Scenario_DT!K$13)*(1-Scenario_DT!K$14)+Scenario_DT!K$13-Scenario_DT!K$15)*Scenario_DT!K$16</f>
        <v>2144.0983441744479</v>
      </c>
      <c r="U230" s="28">
        <f>((Scenario_DT!L$11*(IF(Scenario_DT!L$18=1,1,1+$M230/Scenario_DT!$C$19)*(1+$N230)^MAX(0,Scenario_DT!L$18-3))*(Scenario_DT!L$12+$O230)-Scenario_DT!L$13)*(1-Scenario_DT!L$14)+Scenario_DT!L$13-Scenario_DT!L$15)*Scenario_DT!L$16</f>
        <v>2563.308581241336</v>
      </c>
      <c r="V230" s="28">
        <f>((Scenario_DT!M$11*(IF(Scenario_DT!M$18=1,1,1+$M230/Scenario_DT!$C$19)*(1+$N230)^MAX(0,Scenario_DT!M$18-3))*(Scenario_DT!M$12+$O230)-Scenario_DT!M$13)*(1-Scenario_DT!M$14)+Scenario_DT!M$13-Scenario_DT!M$15)*Scenario_DT!M$16</f>
        <v>2706.8498234122617</v>
      </c>
      <c r="W230" s="28">
        <f>((Scenario_DT!N$11*(IF(Scenario_DT!N$18=1,1,1+$M230/Scenario_DT!$C$19)*(1+$N230)^MAX(0,Scenario_DT!N$18-3))*(Scenario_DT!N$12+$O230)-Scenario_DT!N$13)*(1-Scenario_DT!N$14)+Scenario_DT!N$13-Scenario_DT!N$15)*Scenario_DT!N$16</f>
        <v>2858.4303612022341</v>
      </c>
      <c r="X230" s="28">
        <f>((Scenario_DT!O$11*(IF(Scenario_DT!O$18=1,1,1+$M230/Scenario_DT!$C$19)*(1+$N230)^MAX(0,Scenario_DT!O$18-3))*(Scenario_DT!O$12+$O230)-Scenario_DT!O$13)*(1-Scenario_DT!O$14)+Scenario_DT!O$13-Scenario_DT!O$15)*Scenario_DT!O$16</f>
        <v>3018.5032783494444</v>
      </c>
      <c r="Y230" s="28">
        <f>((Scenario_DT!P$11*(IF(Scenario_DT!P$18=1,1,1+$M230/Scenario_DT!$C$19)*(1+$N230)^MAX(0,Scenario_DT!P$18-3))*(Scenario_DT!P$12+$O230)-Scenario_DT!P$13)*(1-Scenario_DT!P$14)+Scenario_DT!P$13-Scenario_DT!P$15)*Scenario_DT!P$16</f>
        <v>3187.547206767033</v>
      </c>
      <c r="Z230" s="28">
        <f>((Scenario_DT!Q$11*(IF(Scenario_DT!Q$18=1,1,1+$M230/Scenario_DT!$C$19)*(1+$N230)^MAX(0,Scenario_DT!Q$18-3))*(Scenario_DT!Q$12+$O230)-Scenario_DT!Q$13)*(1-Scenario_DT!Q$14)+Scenario_DT!Q$13-Scenario_DT!Q$15)*Scenario_DT!Q$16</f>
        <v>3366.0677665752391</v>
      </c>
      <c r="AA230" s="28">
        <f>((Scenario_DT!R$11*(IF(Scenario_DT!R$18=1,1,1+$M230/Scenario_DT!$C$19)*(1+$N230)^MAX(0,Scenario_DT!R$18-3))*(Scenario_DT!R$12+$O230)-Scenario_DT!R$13)*(1-Scenario_DT!R$14)+Scenario_DT!R$13-Scenario_DT!R$15)*Scenario_DT!R$16</f>
        <v>3554.5990872650514</v>
      </c>
      <c r="AB230" s="17">
        <f>(Scenario_DT!$R$11*(1+$M230/Scenario_DT!$C$19)*(1+$N230)^7*(Scenario_DT!$R$12+$O230)*(1+MIN(DCF_FCFF!$C$26+$Q230,(DCF_FCFF!$C$25+$P230)-0.02))*(1-DCF_FCFF!$C$27)*(1-DCF_FCFF!$C$28)/((DCF_FCFF!$C$25+$P230)-MIN(DCF_FCFF!$C$26+$Q230,(DCF_FCFF!$C$25+$P230)-0.02)))*(1+(DCF_FCFF!$C$25+$P230))^(-(Inputs!$C$9+9))</f>
        <v>39708.674065933417</v>
      </c>
      <c r="AC230" s="17">
        <f>SUMPRODUCT(R230:AA230*(1+(DCF_FCFF!$C$25+$P230))^(-Scenario_DT!$I$17:$R$17))+AB230</f>
        <v>57131.830783937621</v>
      </c>
      <c r="AD230" s="68">
        <f>((AC230-DCF_FCFF!$C$48)*(1-DCF_FCFF!$C$50)+DCF_FCFF!$C$57+DCF_FCFF!$C$58)/DCF_FCFF!$C$60</f>
        <v>451.95078832162659</v>
      </c>
      <c r="AE230" s="6"/>
      <c r="AF230" s="6"/>
      <c r="AG230" s="6"/>
    </row>
    <row r="231" spans="1:33" x14ac:dyDescent="0.3">
      <c r="A231" s="6"/>
      <c r="B231" s="72">
        <v>200</v>
      </c>
      <c r="C231" s="73">
        <v>0.43798960292037298</v>
      </c>
      <c r="D231" s="73">
        <v>0.63901364926416504</v>
      </c>
      <c r="E231" s="73">
        <v>2.3087725867420002E-3</v>
      </c>
      <c r="F231" s="73">
        <v>0.99336849841117802</v>
      </c>
      <c r="G231" s="73">
        <v>0.280896385964155</v>
      </c>
      <c r="H231" s="15">
        <f t="shared" si="31"/>
        <v>-0.1560682736564567</v>
      </c>
      <c r="I231" s="15">
        <f t="shared" si="32"/>
        <v>0.35582356335717313</v>
      </c>
      <c r="J231" s="15">
        <f t="shared" si="33"/>
        <v>-2.832570021215445</v>
      </c>
      <c r="K231" s="15">
        <f t="shared" si="34"/>
        <v>2.4766280706587165</v>
      </c>
      <c r="L231" s="15">
        <f t="shared" si="35"/>
        <v>-0.58018069321244503</v>
      </c>
      <c r="M231" s="18">
        <f t="shared" si="36"/>
        <v>-3.121365473129134E-3</v>
      </c>
      <c r="N231" s="18">
        <f t="shared" si="37"/>
        <v>1.8409448664334822E-3</v>
      </c>
      <c r="O231" s="18">
        <f t="shared" si="38"/>
        <v>-3.399084025458534E-2</v>
      </c>
      <c r="P231" s="18">
        <f t="shared" si="39"/>
        <v>1.4859768423952299E-2</v>
      </c>
      <c r="Q231" s="18">
        <f t="shared" si="40"/>
        <v>-2.3207227728497802E-3</v>
      </c>
      <c r="R231" s="28">
        <f>((Scenario_DT!I$11*(IF(Scenario_DT!I$18=1,1,1+$M231/Scenario_DT!$C$19)*(1+$N231)^MAX(0,Scenario_DT!I$18-3))*(Scenario_DT!I$12+$O231)-Scenario_DT!I$13)*(1-Scenario_DT!I$14)+Scenario_DT!I$13-Scenario_DT!I$15)*Scenario_DT!I$16</f>
        <v>863.06111074868227</v>
      </c>
      <c r="S231" s="28">
        <f>((Scenario_DT!J$11*(IF(Scenario_DT!J$18=1,1,1+$M231/Scenario_DT!$C$19)*(1+$N231)^MAX(0,Scenario_DT!J$18-3))*(Scenario_DT!J$12+$O231)-Scenario_DT!J$13)*(1-Scenario_DT!J$14)+Scenario_DT!J$13-Scenario_DT!J$15)*Scenario_DT!J$16</f>
        <v>1719.1455086692713</v>
      </c>
      <c r="T231" s="28">
        <f>((Scenario_DT!K$11*(IF(Scenario_DT!K$18=1,1,1+$M231/Scenario_DT!$C$19)*(1+$N231)^MAX(0,Scenario_DT!K$18-3))*(Scenario_DT!K$12+$O231)-Scenario_DT!K$13)*(1-Scenario_DT!K$14)+Scenario_DT!K$13-Scenario_DT!K$15)*Scenario_DT!K$16</f>
        <v>1979.5276398731921</v>
      </c>
      <c r="U231" s="28">
        <f>((Scenario_DT!L$11*(IF(Scenario_DT!L$18=1,1,1+$M231/Scenario_DT!$C$19)*(1+$N231)^MAX(0,Scenario_DT!L$18-3))*(Scenario_DT!L$12+$O231)-Scenario_DT!L$13)*(1-Scenario_DT!L$14)+Scenario_DT!L$13-Scenario_DT!L$15)*Scenario_DT!L$16</f>
        <v>2377.7312704887504</v>
      </c>
      <c r="V231" s="28">
        <f>((Scenario_DT!M$11*(IF(Scenario_DT!M$18=1,1,1+$M231/Scenario_DT!$C$19)*(1+$N231)^MAX(0,Scenario_DT!M$18-3))*(Scenario_DT!M$12+$O231)-Scenario_DT!M$13)*(1-Scenario_DT!M$14)+Scenario_DT!M$13-Scenario_DT!M$15)*Scenario_DT!M$16</f>
        <v>2500.525159017071</v>
      </c>
      <c r="W231" s="28">
        <f>((Scenario_DT!N$11*(IF(Scenario_DT!N$18=1,1,1+$M231/Scenario_DT!$C$19)*(1+$N231)^MAX(0,Scenario_DT!N$18-3))*(Scenario_DT!N$12+$O231)-Scenario_DT!N$13)*(1-Scenario_DT!N$14)+Scenario_DT!N$13-Scenario_DT!N$15)*Scenario_DT!N$16</f>
        <v>2629.6560709799669</v>
      </c>
      <c r="X231" s="28">
        <f>((Scenario_DT!O$11*(IF(Scenario_DT!O$18=1,1,1+$M231/Scenario_DT!$C$19)*(1+$N231)^MAX(0,Scenario_DT!O$18-3))*(Scenario_DT!O$12+$O231)-Scenario_DT!O$13)*(1-Scenario_DT!O$14)+Scenario_DT!O$13-Scenario_DT!O$15)*Scenario_DT!O$16</f>
        <v>2765.4535480250684</v>
      </c>
      <c r="Y231" s="28">
        <f>((Scenario_DT!P$11*(IF(Scenario_DT!P$18=1,1,1+$M231/Scenario_DT!$C$19)*(1+$N231)^MAX(0,Scenario_DT!P$18-3))*(Scenario_DT!P$12+$O231)-Scenario_DT!P$13)*(1-Scenario_DT!P$14)+Scenario_DT!P$13-Scenario_DT!P$15)*Scenario_DT!P$16</f>
        <v>2908.2642879455184</v>
      </c>
      <c r="Z231" s="28">
        <f>((Scenario_DT!Q$11*(IF(Scenario_DT!Q$18=1,1,1+$M231/Scenario_DT!$C$19)*(1+$N231)^MAX(0,Scenario_DT!Q$18-3))*(Scenario_DT!Q$12+$O231)-Scenario_DT!Q$13)*(1-Scenario_DT!Q$14)+Scenario_DT!Q$13-Scenario_DT!Q$15)*Scenario_DT!Q$16</f>
        <v>3058.4530377543579</v>
      </c>
      <c r="AA231" s="28">
        <f>((Scenario_DT!R$11*(IF(Scenario_DT!R$18=1,1,1+$M231/Scenario_DT!$C$19)*(1+$N231)^MAX(0,Scenario_DT!R$18-3))*(Scenario_DT!R$12+$O231)-Scenario_DT!R$13)*(1-Scenario_DT!R$14)+Scenario_DT!R$13-Scenario_DT!R$15)*Scenario_DT!R$16</f>
        <v>3216.4035332352037</v>
      </c>
      <c r="AB231" s="17">
        <f>(Scenario_DT!$R$11*(1+$M231/Scenario_DT!$C$19)*(1+$N231)^7*(Scenario_DT!$R$12+$O231)*(1+MIN(DCF_FCFF!$C$26+$Q231,(DCF_FCFF!$C$25+$P231)-0.02))*(1-DCF_FCFF!$C$27)*(1-DCF_FCFF!$C$28)/((DCF_FCFF!$C$25+$P231)-MIN(DCF_FCFF!$C$26+$Q231,(DCF_FCFF!$C$25+$P231)-0.02)))*(1+(DCF_FCFF!$C$25+$P231))^(-(Inputs!$C$9+9))</f>
        <v>17764.643374275747</v>
      </c>
      <c r="AC231" s="17">
        <f>SUMPRODUCT(R231:AA231*(1+(DCF_FCFF!$C$25+$P231))^(-Scenario_DT!$I$17:$R$17))+AB231</f>
        <v>32494.993584953809</v>
      </c>
      <c r="AD231" s="68">
        <f>((AC231-DCF_FCFF!$C$48)*(1-DCF_FCFF!$C$50)+DCF_FCFF!$C$57+DCF_FCFF!$C$58)/DCF_FCFF!$C$60</f>
        <v>215.46749214366707</v>
      </c>
      <c r="AE231" s="6"/>
      <c r="AF231" s="6"/>
      <c r="AG231" s="6"/>
    </row>
    <row r="232" spans="1:33" x14ac:dyDescent="0.3">
      <c r="A232" s="6"/>
      <c r="B232" s="72">
        <v>201</v>
      </c>
      <c r="C232" s="73">
        <v>6.2063106540155198E-2</v>
      </c>
      <c r="D232" s="73">
        <v>0.45826204153651401</v>
      </c>
      <c r="E232" s="73">
        <v>0.129030057182042</v>
      </c>
      <c r="F232" s="73">
        <v>0.15232671015757601</v>
      </c>
      <c r="G232" s="73">
        <v>0.63228281303020994</v>
      </c>
      <c r="H232" s="15">
        <f t="shared" si="31"/>
        <v>-1.5376827104230508</v>
      </c>
      <c r="I232" s="15">
        <f t="shared" si="32"/>
        <v>-0.10481314024939199</v>
      </c>
      <c r="J232" s="15">
        <f t="shared" si="33"/>
        <v>-1.1309880661488514</v>
      </c>
      <c r="K232" s="15">
        <f t="shared" si="34"/>
        <v>-1.026505398444751</v>
      </c>
      <c r="L232" s="15">
        <f t="shared" si="35"/>
        <v>0.33790553816980984</v>
      </c>
      <c r="M232" s="18">
        <f t="shared" si="36"/>
        <v>-3.0753654208461018E-2</v>
      </c>
      <c r="N232" s="18">
        <f t="shared" si="37"/>
        <v>-6.8768975785433607E-3</v>
      </c>
      <c r="O232" s="18">
        <f t="shared" si="38"/>
        <v>-1.3571856793786218E-2</v>
      </c>
      <c r="P232" s="18">
        <f t="shared" si="39"/>
        <v>-6.1590323906685063E-3</v>
      </c>
      <c r="Q232" s="18">
        <f t="shared" si="40"/>
        <v>1.3516221526792393E-3</v>
      </c>
      <c r="R232" s="28">
        <f>((Scenario_DT!I$11*(IF(Scenario_DT!I$18=1,1,1+$M232/Scenario_DT!$C$19)*(1+$N232)^MAX(0,Scenario_DT!I$18-3))*(Scenario_DT!I$12+$O232)-Scenario_DT!I$13)*(1-Scenario_DT!I$14)+Scenario_DT!I$13-Scenario_DT!I$15)*Scenario_DT!I$16</f>
        <v>891.84968001002835</v>
      </c>
      <c r="S232" s="28">
        <f>((Scenario_DT!J$11*(IF(Scenario_DT!J$18=1,1,1+$M232/Scenario_DT!$C$19)*(1+$N232)^MAX(0,Scenario_DT!J$18-3))*(Scenario_DT!J$12+$O232)-Scenario_DT!J$13)*(1-Scenario_DT!J$14)+Scenario_DT!J$13-Scenario_DT!J$15)*Scenario_DT!J$16</f>
        <v>1717.4163169434123</v>
      </c>
      <c r="T232" s="28">
        <f>((Scenario_DT!K$11*(IF(Scenario_DT!K$18=1,1,1+$M232/Scenario_DT!$C$19)*(1+$N232)^MAX(0,Scenario_DT!K$18-3))*(Scenario_DT!K$12+$O232)-Scenario_DT!K$13)*(1-Scenario_DT!K$14)+Scenario_DT!K$13-Scenario_DT!K$15)*Scenario_DT!K$16</f>
        <v>1976.7960800976998</v>
      </c>
      <c r="U232" s="28">
        <f>((Scenario_DT!L$11*(IF(Scenario_DT!L$18=1,1,1+$M232/Scenario_DT!$C$19)*(1+$N232)^MAX(0,Scenario_DT!L$18-3))*(Scenario_DT!L$12+$O232)-Scenario_DT!L$13)*(1-Scenario_DT!L$14)+Scenario_DT!L$13-Scenario_DT!L$15)*Scenario_DT!L$16</f>
        <v>2354.0134696313107</v>
      </c>
      <c r="V232" s="28">
        <f>((Scenario_DT!M$11*(IF(Scenario_DT!M$18=1,1,1+$M232/Scenario_DT!$C$19)*(1+$N232)^MAX(0,Scenario_DT!M$18-3))*(Scenario_DT!M$12+$O232)-Scenario_DT!M$13)*(1-Scenario_DT!M$14)+Scenario_DT!M$13-Scenario_DT!M$15)*Scenario_DT!M$16</f>
        <v>2453.8731391593169</v>
      </c>
      <c r="W232" s="28">
        <f>((Scenario_DT!N$11*(IF(Scenario_DT!N$18=1,1,1+$M232/Scenario_DT!$C$19)*(1+$N232)^MAX(0,Scenario_DT!N$18-3))*(Scenario_DT!N$12+$O232)-Scenario_DT!N$13)*(1-Scenario_DT!N$14)+Scenario_DT!N$13-Scenario_DT!N$15)*Scenario_DT!N$16</f>
        <v>2557.9503734135337</v>
      </c>
      <c r="X232" s="28">
        <f>((Scenario_DT!O$11*(IF(Scenario_DT!O$18=1,1,1+$M232/Scenario_DT!$C$19)*(1+$N232)^MAX(0,Scenario_DT!O$18-3))*(Scenario_DT!O$12+$O232)-Scenario_DT!O$13)*(1-Scenario_DT!O$14)+Scenario_DT!O$13-Scenario_DT!O$15)*Scenario_DT!O$16</f>
        <v>2666.4249272580214</v>
      </c>
      <c r="Y232" s="28">
        <f>((Scenario_DT!P$11*(IF(Scenario_DT!P$18=1,1,1+$M232/Scenario_DT!$C$19)*(1+$N232)^MAX(0,Scenario_DT!P$18-3))*(Scenario_DT!P$12+$O232)-Scenario_DT!P$13)*(1-Scenario_DT!P$14)+Scenario_DT!P$13-Scenario_DT!P$15)*Scenario_DT!P$16</f>
        <v>2779.4842337648238</v>
      </c>
      <c r="Z232" s="28">
        <f>((Scenario_DT!Q$11*(IF(Scenario_DT!Q$18=1,1,1+$M232/Scenario_DT!$C$19)*(1+$N232)^MAX(0,Scenario_DT!Q$18-3))*(Scenario_DT!Q$12+$O232)-Scenario_DT!Q$13)*(1-Scenario_DT!Q$14)+Scenario_DT!Q$13-Scenario_DT!Q$15)*Scenario_DT!Q$16</f>
        <v>2897.3237323860913</v>
      </c>
      <c r="AA232" s="28">
        <f>((Scenario_DT!R$11*(IF(Scenario_DT!R$18=1,1,1+$M232/Scenario_DT!$C$19)*(1+$N232)^MAX(0,Scenario_DT!R$18-3))*(Scenario_DT!R$12+$O232)-Scenario_DT!R$13)*(1-Scenario_DT!R$14)+Scenario_DT!R$13-Scenario_DT!R$15)*Scenario_DT!R$16</f>
        <v>3020.1472111560574</v>
      </c>
      <c r="AB232" s="17">
        <f>(Scenario_DT!$R$11*(1+$M232/Scenario_DT!$C$19)*(1+$N232)^7*(Scenario_DT!$R$12+$O232)*(1+MIN(DCF_FCFF!$C$26+$Q232,(DCF_FCFF!$C$25+$P232)-0.02))*(1-DCF_FCFF!$C$27)*(1-DCF_FCFF!$C$28)/((DCF_FCFF!$C$25+$P232)-MIN(DCF_FCFF!$C$26+$Q232,(DCF_FCFF!$C$25+$P232)-0.02)))*(1+(DCF_FCFF!$C$25+$P232))^(-(Inputs!$C$9+9))</f>
        <v>31655.655549260737</v>
      </c>
      <c r="AC232" s="17">
        <f>SUMPRODUCT(R232:AA232*(1+(DCF_FCFF!$C$25+$P232))^(-Scenario_DT!$I$17:$R$17))+AB232</f>
        <v>47355.046588421334</v>
      </c>
      <c r="AD232" s="68">
        <f>((AC232-DCF_FCFF!$C$48)*(1-DCF_FCFF!$C$50)+DCF_FCFF!$C$57+DCF_FCFF!$C$58)/DCF_FCFF!$C$60</f>
        <v>358.10570041920556</v>
      </c>
      <c r="AE232" s="6"/>
      <c r="AF232" s="6"/>
      <c r="AG232" s="6"/>
    </row>
    <row r="233" spans="1:33" x14ac:dyDescent="0.3">
      <c r="A233" s="6"/>
      <c r="B233" s="72">
        <v>202</v>
      </c>
      <c r="C233" s="73">
        <v>0.39292739157023299</v>
      </c>
      <c r="D233" s="73">
        <v>0.92185245015499495</v>
      </c>
      <c r="E233" s="73">
        <v>0.31915649460807</v>
      </c>
      <c r="F233" s="73">
        <v>0.726180128383901</v>
      </c>
      <c r="G233" s="73">
        <v>0.46109943015490801</v>
      </c>
      <c r="H233" s="15">
        <f t="shared" si="31"/>
        <v>-0.27169729268380699</v>
      </c>
      <c r="I233" s="15">
        <f t="shared" si="32"/>
        <v>1.4176427248733867</v>
      </c>
      <c r="J233" s="15">
        <f t="shared" si="33"/>
        <v>-0.47005882691825618</v>
      </c>
      <c r="K233" s="15">
        <f t="shared" si="34"/>
        <v>0.601300670261112</v>
      </c>
      <c r="L233" s="15">
        <f t="shared" si="35"/>
        <v>-9.7664305231380658E-2</v>
      </c>
      <c r="M233" s="18">
        <f t="shared" si="36"/>
        <v>-5.4339458536761401E-3</v>
      </c>
      <c r="N233" s="18">
        <f t="shared" si="37"/>
        <v>8.7349277351091437E-3</v>
      </c>
      <c r="O233" s="18">
        <f t="shared" si="38"/>
        <v>-5.6407059230190746E-3</v>
      </c>
      <c r="P233" s="18">
        <f t="shared" si="39"/>
        <v>3.6078040215666721E-3</v>
      </c>
      <c r="Q233" s="18">
        <f t="shared" si="40"/>
        <v>-3.9065722092552265E-4</v>
      </c>
      <c r="R233" s="28">
        <f>((Scenario_DT!I$11*(IF(Scenario_DT!I$18=1,1,1+$M233/Scenario_DT!$C$19)*(1+$N233)^MAX(0,Scenario_DT!I$18-3))*(Scenario_DT!I$12+$O233)-Scenario_DT!I$13)*(1-Scenario_DT!I$14)+Scenario_DT!I$13-Scenario_DT!I$15)*Scenario_DT!I$16</f>
        <v>903.03174921556001</v>
      </c>
      <c r="S233" s="28">
        <f>((Scenario_DT!J$11*(IF(Scenario_DT!J$18=1,1,1+$M233/Scenario_DT!$C$19)*(1+$N233)^MAX(0,Scenario_DT!J$18-3))*(Scenario_DT!J$12+$O233)-Scenario_DT!J$13)*(1-Scenario_DT!J$14)+Scenario_DT!J$13-Scenario_DT!J$15)*Scenario_DT!J$16</f>
        <v>1801.4591338379423</v>
      </c>
      <c r="T233" s="28">
        <f>((Scenario_DT!K$11*(IF(Scenario_DT!K$18=1,1,1+$M233/Scenario_DT!$C$19)*(1+$N233)^MAX(0,Scenario_DT!K$18-3))*(Scenario_DT!K$12+$O233)-Scenario_DT!K$13)*(1-Scenario_DT!K$14)+Scenario_DT!K$13-Scenario_DT!K$15)*Scenario_DT!K$16</f>
        <v>2064.7528902951694</v>
      </c>
      <c r="U233" s="28">
        <f>((Scenario_DT!L$11*(IF(Scenario_DT!L$18=1,1,1+$M233/Scenario_DT!$C$19)*(1+$N233)^MAX(0,Scenario_DT!L$18-3))*(Scenario_DT!L$12+$O233)-Scenario_DT!L$13)*(1-Scenario_DT!L$14)+Scenario_DT!L$13-Scenario_DT!L$15)*Scenario_DT!L$16</f>
        <v>2485.4899475948387</v>
      </c>
      <c r="V233" s="28">
        <f>((Scenario_DT!M$11*(IF(Scenario_DT!M$18=1,1,1+$M233/Scenario_DT!$C$19)*(1+$N233)^MAX(0,Scenario_DT!M$18-3))*(Scenario_DT!M$12+$O233)-Scenario_DT!M$13)*(1-Scenario_DT!M$14)+Scenario_DT!M$13-Scenario_DT!M$15)*Scenario_DT!M$16</f>
        <v>2631.9938899119425</v>
      </c>
      <c r="W233" s="28">
        <f>((Scenario_DT!N$11*(IF(Scenario_DT!N$18=1,1,1+$M233/Scenario_DT!$C$19)*(1+$N233)^MAX(0,Scenario_DT!N$18-3))*(Scenario_DT!N$12+$O233)-Scenario_DT!N$13)*(1-Scenario_DT!N$14)+Scenario_DT!N$13-Scenario_DT!N$15)*Scenario_DT!N$16</f>
        <v>2787.1380149470501</v>
      </c>
      <c r="X233" s="28">
        <f>((Scenario_DT!O$11*(IF(Scenario_DT!O$18=1,1,1+$M233/Scenario_DT!$C$19)*(1+$N233)^MAX(0,Scenario_DT!O$18-3))*(Scenario_DT!O$12+$O233)-Scenario_DT!O$13)*(1-Scenario_DT!O$14)+Scenario_DT!O$13-Scenario_DT!O$15)*Scenario_DT!O$16</f>
        <v>2951.4348959949225</v>
      </c>
      <c r="Y233" s="28">
        <f>((Scenario_DT!P$11*(IF(Scenario_DT!P$18=1,1,1+$M233/Scenario_DT!$C$19)*(1+$N233)^MAX(0,Scenario_DT!P$18-3))*(Scenario_DT!P$12+$O233)-Scenario_DT!P$13)*(1-Scenario_DT!P$14)+Scenario_DT!P$13-Scenario_DT!P$15)*Scenario_DT!P$16</f>
        <v>3125.4275206447414</v>
      </c>
      <c r="Z233" s="28">
        <f>((Scenario_DT!Q$11*(IF(Scenario_DT!Q$18=1,1,1+$M233/Scenario_DT!$C$19)*(1+$N233)^MAX(0,Scenario_DT!Q$18-3))*(Scenario_DT!Q$12+$O233)-Scenario_DT!Q$13)*(1-Scenario_DT!Q$14)+Scenario_DT!Q$13-Scenario_DT!Q$15)*Scenario_DT!Q$16</f>
        <v>3309.6910944473971</v>
      </c>
      <c r="AA233" s="28">
        <f>((Scenario_DT!R$11*(IF(Scenario_DT!R$18=1,1,1+$M233/Scenario_DT!$C$19)*(1+$N233)^MAX(0,Scenario_DT!R$18-3))*(Scenario_DT!R$12+$O233)-Scenario_DT!R$13)*(1-Scenario_DT!R$14)+Scenario_DT!R$13-Scenario_DT!R$15)*Scenario_DT!R$16</f>
        <v>3504.8349514883876</v>
      </c>
      <c r="AB233" s="17">
        <f>(Scenario_DT!$R$11*(1+$M233/Scenario_DT!$C$19)*(1+$N233)^7*(Scenario_DT!$R$12+$O233)*(1+MIN(DCF_FCFF!$C$26+$Q233,(DCF_FCFF!$C$25+$P233)-0.02))*(1-DCF_FCFF!$C$27)*(1-DCF_FCFF!$C$28)/((DCF_FCFF!$C$25+$P233)-MIN(DCF_FCFF!$C$26+$Q233,(DCF_FCFF!$C$25+$P233)-0.02)))*(1+(DCF_FCFF!$C$25+$P233))^(-(Inputs!$C$9+9))</f>
        <v>26526.385621166799</v>
      </c>
      <c r="AC233" s="17">
        <f>SUMPRODUCT(R233:AA233*(1+(DCF_FCFF!$C$25+$P233))^(-Scenario_DT!$I$17:$R$17))+AB233</f>
        <v>42898.731355034324</v>
      </c>
      <c r="AD233" s="68">
        <f>((AC233-DCF_FCFF!$C$48)*(1-DCF_FCFF!$C$50)+DCF_FCFF!$C$57+DCF_FCFF!$C$58)/DCF_FCFF!$C$60</f>
        <v>315.33056225159692</v>
      </c>
      <c r="AE233" s="6"/>
      <c r="AF233" s="6"/>
      <c r="AG233" s="6"/>
    </row>
    <row r="234" spans="1:33" x14ac:dyDescent="0.3">
      <c r="A234" s="6"/>
      <c r="B234" s="72">
        <v>203</v>
      </c>
      <c r="C234" s="73">
        <v>0.65995130112927902</v>
      </c>
      <c r="D234" s="73">
        <v>0.59969535671598995</v>
      </c>
      <c r="E234" s="73">
        <v>0.47278397275899797</v>
      </c>
      <c r="F234" s="73">
        <v>0.950061094624437</v>
      </c>
      <c r="G234" s="73">
        <v>0.34271364275495603</v>
      </c>
      <c r="H234" s="15">
        <f t="shared" si="31"/>
        <v>0.41233022506637912</v>
      </c>
      <c r="I234" s="15">
        <f t="shared" si="32"/>
        <v>0.25255865023822099</v>
      </c>
      <c r="J234" s="15">
        <f t="shared" si="33"/>
        <v>-6.8273466474749689E-2</v>
      </c>
      <c r="K234" s="15">
        <f t="shared" si="34"/>
        <v>1.6454462873679969</v>
      </c>
      <c r="L234" s="15">
        <f t="shared" si="35"/>
        <v>-0.40506832934141468</v>
      </c>
      <c r="M234" s="18">
        <f t="shared" si="36"/>
        <v>8.246604501327583E-3</v>
      </c>
      <c r="N234" s="18">
        <f t="shared" si="37"/>
        <v>3.3990985566799818E-3</v>
      </c>
      <c r="O234" s="18">
        <f t="shared" si="38"/>
        <v>-8.1928159769699633E-4</v>
      </c>
      <c r="P234" s="18">
        <f t="shared" si="39"/>
        <v>9.8726777242079816E-3</v>
      </c>
      <c r="Q234" s="18">
        <f t="shared" si="40"/>
        <v>-1.6202733173656587E-3</v>
      </c>
      <c r="R234" s="28">
        <f>((Scenario_DT!I$11*(IF(Scenario_DT!I$18=1,1,1+$M234/Scenario_DT!$C$19)*(1+$N234)^MAX(0,Scenario_DT!I$18-3))*(Scenario_DT!I$12+$O234)-Scenario_DT!I$13)*(1-Scenario_DT!I$14)+Scenario_DT!I$13-Scenario_DT!I$15)*Scenario_DT!I$16</f>
        <v>909.82943864972572</v>
      </c>
      <c r="S234" s="28">
        <f>((Scenario_DT!J$11*(IF(Scenario_DT!J$18=1,1,1+$M234/Scenario_DT!$C$19)*(1+$N234)^MAX(0,Scenario_DT!J$18-3))*(Scenario_DT!J$12+$O234)-Scenario_DT!J$13)*(1-Scenario_DT!J$14)+Scenario_DT!J$13-Scenario_DT!J$15)*Scenario_DT!J$16</f>
        <v>1849.1013522670742</v>
      </c>
      <c r="T234" s="28">
        <f>((Scenario_DT!K$11*(IF(Scenario_DT!K$18=1,1,1+$M234/Scenario_DT!$C$19)*(1+$N234)^MAX(0,Scenario_DT!K$18-3))*(Scenario_DT!K$12+$O234)-Scenario_DT!K$13)*(1-Scenario_DT!K$14)+Scenario_DT!K$13-Scenario_DT!K$15)*Scenario_DT!K$16</f>
        <v>2114.5910015992649</v>
      </c>
      <c r="U234" s="28">
        <f>((Scenario_DT!L$11*(IF(Scenario_DT!L$18=1,1,1+$M234/Scenario_DT!$C$19)*(1+$N234)^MAX(0,Scenario_DT!L$18-3))*(Scenario_DT!L$12+$O234)-Scenario_DT!L$13)*(1-Scenario_DT!L$14)+Scenario_DT!L$13-Scenario_DT!L$15)*Scenario_DT!L$16</f>
        <v>2525.3502084461238</v>
      </c>
      <c r="V234" s="28">
        <f>((Scenario_DT!M$11*(IF(Scenario_DT!M$18=1,1,1+$M234/Scenario_DT!$C$19)*(1+$N234)^MAX(0,Scenario_DT!M$18-3))*(Scenario_DT!M$12+$O234)-Scenario_DT!M$13)*(1-Scenario_DT!M$14)+Scenario_DT!M$13-Scenario_DT!M$15)*Scenario_DT!M$16</f>
        <v>2659.9696263867972</v>
      </c>
      <c r="W234" s="28">
        <f>((Scenario_DT!N$11*(IF(Scenario_DT!N$18=1,1,1+$M234/Scenario_DT!$C$19)*(1+$N234)^MAX(0,Scenario_DT!N$18-3))*(Scenario_DT!N$12+$O234)-Scenario_DT!N$13)*(1-Scenario_DT!N$14)+Scenario_DT!N$13-Scenario_DT!N$15)*Scenario_DT!N$16</f>
        <v>2801.7630092380296</v>
      </c>
      <c r="X234" s="28">
        <f>((Scenario_DT!O$11*(IF(Scenario_DT!O$18=1,1,1+$M234/Scenario_DT!$C$19)*(1+$N234)^MAX(0,Scenario_DT!O$18-3))*(Scenario_DT!O$12+$O234)-Scenario_DT!O$13)*(1-Scenario_DT!O$14)+Scenario_DT!O$13-Scenario_DT!O$15)*Scenario_DT!O$16</f>
        <v>2951.1152990478154</v>
      </c>
      <c r="Y234" s="28">
        <f>((Scenario_DT!P$11*(IF(Scenario_DT!P$18=1,1,1+$M234/Scenario_DT!$C$19)*(1+$N234)^MAX(0,Scenario_DT!P$18-3))*(Scenario_DT!P$12+$O234)-Scenario_DT!P$13)*(1-Scenario_DT!P$14)+Scenario_DT!P$13-Scenario_DT!P$15)*Scenario_DT!P$16</f>
        <v>3108.4321104930136</v>
      </c>
      <c r="Z234" s="28">
        <f>((Scenario_DT!Q$11*(IF(Scenario_DT!Q$18=1,1,1+$M234/Scenario_DT!$C$19)*(1+$N234)^MAX(0,Scenario_DT!Q$18-3))*(Scenario_DT!Q$12+$O234)-Scenario_DT!Q$13)*(1-Scenario_DT!Q$14)+Scenario_DT!Q$13-Scenario_DT!Q$15)*Scenario_DT!Q$16</f>
        <v>3274.1408408259294</v>
      </c>
      <c r="AA234" s="28">
        <f>((Scenario_DT!R$11*(IF(Scenario_DT!R$18=1,1,1+$M234/Scenario_DT!$C$19)*(1+$N234)^MAX(0,Scenario_DT!R$18-3))*(Scenario_DT!R$12+$O234)-Scenario_DT!R$13)*(1-Scenario_DT!R$14)+Scenario_DT!R$13-Scenario_DT!R$15)*Scenario_DT!R$16</f>
        <v>3448.6918393948031</v>
      </c>
      <c r="AB234" s="17">
        <f>(Scenario_DT!$R$11*(1+$M234/Scenario_DT!$C$19)*(1+$N234)^7*(Scenario_DT!$R$12+$O234)*(1+MIN(DCF_FCFF!$C$26+$Q234,(DCF_FCFF!$C$25+$P234)-0.02))*(1-DCF_FCFF!$C$27)*(1-DCF_FCFF!$C$28)/((DCF_FCFF!$C$25+$P234)-MIN(DCF_FCFF!$C$26+$Q234,(DCF_FCFF!$C$25+$P234)-0.02)))*(1+(DCF_FCFF!$C$25+$P234))^(-(Inputs!$C$9+9))</f>
        <v>21710.135046092339</v>
      </c>
      <c r="AC234" s="17">
        <f>SUMPRODUCT(R234:AA234*(1+(DCF_FCFF!$C$25+$P234))^(-Scenario_DT!$I$17:$R$17))+AB234</f>
        <v>37756.64689142994</v>
      </c>
      <c r="AD234" s="68">
        <f>((AC234-DCF_FCFF!$C$48)*(1-DCF_FCFF!$C$50)+DCF_FCFF!$C$57+DCF_FCFF!$C$58)/DCF_FCFF!$C$60</f>
        <v>265.97288401728218</v>
      </c>
      <c r="AE234" s="6"/>
      <c r="AF234" s="6"/>
      <c r="AG234" s="6"/>
    </row>
    <row r="235" spans="1:33" x14ac:dyDescent="0.3">
      <c r="A235" s="6"/>
      <c r="B235" s="72">
        <v>204</v>
      </c>
      <c r="C235" s="73">
        <v>0.17723550124927301</v>
      </c>
      <c r="D235" s="73">
        <v>0.67809406087982804</v>
      </c>
      <c r="E235" s="73">
        <v>0.846007561307909</v>
      </c>
      <c r="F235" s="73">
        <v>4.0253739939923802E-2</v>
      </c>
      <c r="G235" s="73">
        <v>0.449632688422681</v>
      </c>
      <c r="H235" s="15">
        <f t="shared" si="31"/>
        <v>-0.92595185234478572</v>
      </c>
      <c r="I235" s="15">
        <f t="shared" si="32"/>
        <v>0.46237576130045421</v>
      </c>
      <c r="J235" s="15">
        <f t="shared" si="33"/>
        <v>1.0194594866460756</v>
      </c>
      <c r="K235" s="15">
        <f t="shared" si="34"/>
        <v>-1.7477491157755842</v>
      </c>
      <c r="L235" s="15">
        <f t="shared" si="35"/>
        <v>-0.12658941285107192</v>
      </c>
      <c r="M235" s="18">
        <f t="shared" si="36"/>
        <v>-1.8519037046895715E-2</v>
      </c>
      <c r="N235" s="18">
        <f t="shared" si="37"/>
        <v>-5.0037416633623845E-4</v>
      </c>
      <c r="O235" s="18">
        <f t="shared" si="38"/>
        <v>1.2233513839752908E-2</v>
      </c>
      <c r="P235" s="18">
        <f t="shared" si="39"/>
        <v>-1.0486494694653506E-2</v>
      </c>
      <c r="Q235" s="18">
        <f t="shared" si="40"/>
        <v>-5.0635765140428764E-4</v>
      </c>
      <c r="R235" s="28">
        <f>((Scenario_DT!I$11*(IF(Scenario_DT!I$18=1,1,1+$M235/Scenario_DT!$C$19)*(1+$N235)^MAX(0,Scenario_DT!I$18-3))*(Scenario_DT!I$12+$O235)-Scenario_DT!I$13)*(1-Scenario_DT!I$14)+Scenario_DT!I$13-Scenario_DT!I$15)*Scenario_DT!I$16</f>
        <v>928.23247552110672</v>
      </c>
      <c r="S235" s="28">
        <f>((Scenario_DT!J$11*(IF(Scenario_DT!J$18=1,1,1+$M235/Scenario_DT!$C$19)*(1+$N235)^MAX(0,Scenario_DT!J$18-3))*(Scenario_DT!J$12+$O235)-Scenario_DT!J$13)*(1-Scenario_DT!J$14)+Scenario_DT!J$13-Scenario_DT!J$15)*Scenario_DT!J$16</f>
        <v>1824.8023381157782</v>
      </c>
      <c r="T235" s="28">
        <f>((Scenario_DT!K$11*(IF(Scenario_DT!K$18=1,1,1+$M235/Scenario_DT!$C$19)*(1+$N235)^MAX(0,Scenario_DT!K$18-3))*(Scenario_DT!K$12+$O235)-Scenario_DT!K$13)*(1-Scenario_DT!K$14)+Scenario_DT!K$13-Scenario_DT!K$15)*Scenario_DT!K$16</f>
        <v>2088.4991793157988</v>
      </c>
      <c r="U235" s="28">
        <f>((Scenario_DT!L$11*(IF(Scenario_DT!L$18=1,1,1+$M235/Scenario_DT!$C$19)*(1+$N235)^MAX(0,Scenario_DT!L$18-3))*(Scenario_DT!L$12+$O235)-Scenario_DT!L$13)*(1-Scenario_DT!L$14)+Scenario_DT!L$13-Scenario_DT!L$15)*Scenario_DT!L$16</f>
        <v>2487.7806180423804</v>
      </c>
      <c r="V235" s="28">
        <f>((Scenario_DT!M$11*(IF(Scenario_DT!M$18=1,1,1+$M235/Scenario_DT!$C$19)*(1+$N235)^MAX(0,Scenario_DT!M$18-3))*(Scenario_DT!M$12+$O235)-Scenario_DT!M$13)*(1-Scenario_DT!M$14)+Scenario_DT!M$13-Scenario_DT!M$15)*Scenario_DT!M$16</f>
        <v>2610.1322910028694</v>
      </c>
      <c r="W235" s="28">
        <f>((Scenario_DT!N$11*(IF(Scenario_DT!N$18=1,1,1+$M235/Scenario_DT!$C$19)*(1+$N235)^MAX(0,Scenario_DT!N$18-3))*(Scenario_DT!N$12+$O235)-Scenario_DT!N$13)*(1-Scenario_DT!N$14)+Scenario_DT!N$13-Scenario_DT!N$15)*Scenario_DT!N$16</f>
        <v>2738.4933865050466</v>
      </c>
      <c r="X235" s="28">
        <f>((Scenario_DT!O$11*(IF(Scenario_DT!O$18=1,1,1+$M235/Scenario_DT!$C$19)*(1+$N235)^MAX(0,Scenario_DT!O$18-3))*(Scenario_DT!O$12+$O235)-Scenario_DT!O$13)*(1-Scenario_DT!O$14)+Scenario_DT!O$13-Scenario_DT!O$15)*Scenario_DT!O$16</f>
        <v>2873.1613611894168</v>
      </c>
      <c r="Y235" s="28">
        <f>((Scenario_DT!P$11*(IF(Scenario_DT!P$18=1,1,1+$M235/Scenario_DT!$C$19)*(1+$N235)^MAX(0,Scenario_DT!P$18-3))*(Scenario_DT!P$12+$O235)-Scenario_DT!P$13)*(1-Scenario_DT!P$14)+Scenario_DT!P$13-Scenario_DT!P$15)*Scenario_DT!P$16</f>
        <v>3014.4484159045173</v>
      </c>
      <c r="Z235" s="28">
        <f>((Scenario_DT!Q$11*(IF(Scenario_DT!Q$18=1,1,1+$M235/Scenario_DT!$C$19)*(1+$N235)^MAX(0,Scenario_DT!Q$18-3))*(Scenario_DT!Q$12+$O235)-Scenario_DT!Q$13)*(1-Scenario_DT!Q$14)+Scenario_DT!Q$13-Scenario_DT!Q$15)*Scenario_DT!Q$16</f>
        <v>3162.682226630593</v>
      </c>
      <c r="AA235" s="28">
        <f>((Scenario_DT!R$11*(IF(Scenario_DT!R$18=1,1,1+$M235/Scenario_DT!$C$19)*(1+$N235)^MAX(0,Scenario_DT!R$18-3))*(Scenario_DT!R$12+$O235)-Scenario_DT!R$13)*(1-Scenario_DT!R$14)+Scenario_DT!R$13-Scenario_DT!R$15)*Scenario_DT!R$16</f>
        <v>3318.2067116333833</v>
      </c>
      <c r="AB235" s="17">
        <f>(Scenario_DT!$R$11*(1+$M235/Scenario_DT!$C$19)*(1+$N235)^7*(Scenario_DT!$R$12+$O235)*(1+MIN(DCF_FCFF!$C$26+$Q235,(DCF_FCFF!$C$25+$P235)-0.02))*(1-DCF_FCFF!$C$27)*(1-DCF_FCFF!$C$28)/((DCF_FCFF!$C$25+$P235)-MIN(DCF_FCFF!$C$26+$Q235,(DCF_FCFF!$C$25+$P235)-0.02)))*(1+(DCF_FCFF!$C$25+$P235))^(-(Inputs!$C$9+9))</f>
        <v>38229.282235375336</v>
      </c>
      <c r="AC235" s="17">
        <f>SUMPRODUCT(R235:AA235*(1+(DCF_FCFF!$C$25+$P235))^(-Scenario_DT!$I$17:$R$17))+AB235</f>
        <v>55358.742328531618</v>
      </c>
      <c r="AD235" s="68">
        <f>((AC235-DCF_FCFF!$C$48)*(1-DCF_FCFF!$C$50)+DCF_FCFF!$C$57+DCF_FCFF!$C$58)/DCF_FCFF!$C$60</f>
        <v>434.9313227561849</v>
      </c>
      <c r="AE235" s="6"/>
      <c r="AF235" s="6"/>
      <c r="AG235" s="6"/>
    </row>
    <row r="236" spans="1:33" x14ac:dyDescent="0.3">
      <c r="A236" s="6"/>
      <c r="B236" s="72">
        <v>205</v>
      </c>
      <c r="C236" s="73">
        <v>0.89248768968732595</v>
      </c>
      <c r="D236" s="73">
        <v>0.74961861892286796</v>
      </c>
      <c r="E236" s="73">
        <v>0.991807716497628</v>
      </c>
      <c r="F236" s="73">
        <v>0.53141381159724399</v>
      </c>
      <c r="G236" s="73">
        <v>0.65999571880115104</v>
      </c>
      <c r="H236" s="15">
        <f t="shared" si="31"/>
        <v>1.2398669213298725</v>
      </c>
      <c r="I236" s="15">
        <f t="shared" si="32"/>
        <v>0.67329008061029516</v>
      </c>
      <c r="J236" s="15">
        <f t="shared" si="33"/>
        <v>2.4002346064438247</v>
      </c>
      <c r="K236" s="15">
        <f t="shared" si="34"/>
        <v>7.8824298453554445E-2</v>
      </c>
      <c r="L236" s="15">
        <f t="shared" si="35"/>
        <v>0.41245144530434019</v>
      </c>
      <c r="M236" s="18">
        <f t="shared" si="36"/>
        <v>2.479733842659745E-2</v>
      </c>
      <c r="N236" s="18">
        <f t="shared" si="37"/>
        <v>9.6241581967161944E-3</v>
      </c>
      <c r="O236" s="18">
        <f t="shared" si="38"/>
        <v>2.8802815277325897E-2</v>
      </c>
      <c r="P236" s="18">
        <f t="shared" si="39"/>
        <v>4.7294579072132669E-4</v>
      </c>
      <c r="Q236" s="18">
        <f t="shared" si="40"/>
        <v>1.6498057812173608E-3</v>
      </c>
      <c r="R236" s="28">
        <f>((Scenario_DT!I$11*(IF(Scenario_DT!I$18=1,1,1+$M236/Scenario_DT!$C$19)*(1+$N236)^MAX(0,Scenario_DT!I$18-3))*(Scenario_DT!I$12+$O236)-Scenario_DT!I$13)*(1-Scenario_DT!I$14)+Scenario_DT!I$13-Scenario_DT!I$15)*Scenario_DT!I$16</f>
        <v>951.59340741879168</v>
      </c>
      <c r="S236" s="28">
        <f>((Scenario_DT!J$11*(IF(Scenario_DT!J$18=1,1,1+$M236/Scenario_DT!$C$19)*(1+$N236)^MAX(0,Scenario_DT!J$18-3))*(Scenario_DT!J$12+$O236)-Scenario_DT!J$13)*(1-Scenario_DT!J$14)+Scenario_DT!J$13-Scenario_DT!J$15)*Scenario_DT!J$16</f>
        <v>1983.2003200601034</v>
      </c>
      <c r="T236" s="28">
        <f>((Scenario_DT!K$11*(IF(Scenario_DT!K$18=1,1,1+$M236/Scenario_DT!$C$19)*(1+$N236)^MAX(0,Scenario_DT!K$18-3))*(Scenario_DT!K$12+$O236)-Scenario_DT!K$13)*(1-Scenario_DT!K$14)+Scenario_DT!K$13-Scenario_DT!K$15)*Scenario_DT!K$16</f>
        <v>2254.124221209976</v>
      </c>
      <c r="U236" s="28">
        <f>((Scenario_DT!L$11*(IF(Scenario_DT!L$18=1,1,1+$M236/Scenario_DT!$C$19)*(1+$N236)^MAX(0,Scenario_DT!L$18-3))*(Scenario_DT!L$12+$O236)-Scenario_DT!L$13)*(1-Scenario_DT!L$14)+Scenario_DT!L$13-Scenario_DT!L$15)*Scenario_DT!L$16</f>
        <v>2690.7011176262436</v>
      </c>
      <c r="V236" s="28">
        <f>((Scenario_DT!M$11*(IF(Scenario_DT!M$18=1,1,1+$M236/Scenario_DT!$C$19)*(1+$N236)^MAX(0,Scenario_DT!M$18-3))*(Scenario_DT!M$12+$O236)-Scenario_DT!M$13)*(1-Scenario_DT!M$14)+Scenario_DT!M$13-Scenario_DT!M$15)*Scenario_DT!M$16</f>
        <v>2851.8757904289641</v>
      </c>
      <c r="W236" s="28">
        <f>((Scenario_DT!N$11*(IF(Scenario_DT!N$18=1,1,1+$M236/Scenario_DT!$C$19)*(1+$N236)^MAX(0,Scenario_DT!N$18-3))*(Scenario_DT!N$12+$O236)-Scenario_DT!N$13)*(1-Scenario_DT!N$14)+Scenario_DT!N$13-Scenario_DT!N$15)*Scenario_DT!N$16</f>
        <v>3022.7106865234387</v>
      </c>
      <c r="X236" s="28">
        <f>((Scenario_DT!O$11*(IF(Scenario_DT!O$18=1,1,1+$M236/Scenario_DT!$C$19)*(1+$N236)^MAX(0,Scenario_DT!O$18-3))*(Scenario_DT!O$12+$O236)-Scenario_DT!O$13)*(1-Scenario_DT!O$14)+Scenario_DT!O$13-Scenario_DT!O$15)*Scenario_DT!O$16</f>
        <v>3203.7878696565276</v>
      </c>
      <c r="Y236" s="28">
        <f>((Scenario_DT!P$11*(IF(Scenario_DT!P$18=1,1,1+$M236/Scenario_DT!$C$19)*(1+$N236)^MAX(0,Scenario_DT!P$18-3))*(Scenario_DT!P$12+$O236)-Scenario_DT!P$13)*(1-Scenario_DT!P$14)+Scenario_DT!P$13-Scenario_DT!P$15)*Scenario_DT!P$16</f>
        <v>3395.7244786748311</v>
      </c>
      <c r="Z236" s="28">
        <f>((Scenario_DT!Q$11*(IF(Scenario_DT!Q$18=1,1,1+$M236/Scenario_DT!$C$19)*(1+$N236)^MAX(0,Scenario_DT!Q$18-3))*(Scenario_DT!Q$12+$O236)-Scenario_DT!Q$13)*(1-Scenario_DT!Q$14)+Scenario_DT!Q$13-Scenario_DT!Q$15)*Scenario_DT!Q$16</f>
        <v>3599.1748399737885</v>
      </c>
      <c r="AA236" s="28">
        <f>((Scenario_DT!R$11*(IF(Scenario_DT!R$18=1,1,1+$M236/Scenario_DT!$C$19)*(1+$N236)^MAX(0,Scenario_DT!R$18-3))*(Scenario_DT!R$12+$O236)-Scenario_DT!R$13)*(1-Scenario_DT!R$14)+Scenario_DT!R$13-Scenario_DT!R$15)*Scenario_DT!R$16</f>
        <v>3814.8327071066824</v>
      </c>
      <c r="AB236" s="17">
        <f>(Scenario_DT!$R$11*(1+$M236/Scenario_DT!$C$19)*(1+$N236)^7*(Scenario_DT!$R$12+$O236)*(1+MIN(DCF_FCFF!$C$26+$Q236,(DCF_FCFF!$C$25+$P236)-0.02))*(1-DCF_FCFF!$C$27)*(1-DCF_FCFF!$C$28)/((DCF_FCFF!$C$25+$P236)-MIN(DCF_FCFF!$C$26+$Q236,(DCF_FCFF!$C$25+$P236)-0.02)))*(1+(DCF_FCFF!$C$25+$P236))^(-(Inputs!$C$9+9))</f>
        <v>32830.588216663935</v>
      </c>
      <c r="AC236" s="17">
        <f>SUMPRODUCT(R236:AA236*(1+(DCF_FCFF!$C$25+$P236))^(-Scenario_DT!$I$17:$R$17))+AB236</f>
        <v>50848.272073333894</v>
      </c>
      <c r="AD236" s="68">
        <f>((AC236-DCF_FCFF!$C$48)*(1-DCF_FCFF!$C$50)+DCF_FCFF!$C$57+DCF_FCFF!$C$58)/DCF_FCFF!$C$60</f>
        <v>391.63636307256945</v>
      </c>
      <c r="AE236" s="6"/>
      <c r="AF236" s="6"/>
      <c r="AG236" s="6"/>
    </row>
    <row r="237" spans="1:33" x14ac:dyDescent="0.3">
      <c r="A237" s="6"/>
      <c r="B237" s="72">
        <v>206</v>
      </c>
      <c r="C237" s="73">
        <v>0.30248028113792802</v>
      </c>
      <c r="D237" s="73">
        <v>0.94753559966599199</v>
      </c>
      <c r="E237" s="73">
        <v>0.36633548855653603</v>
      </c>
      <c r="F237" s="73">
        <v>0.73851071268662905</v>
      </c>
      <c r="G237" s="73">
        <v>0.40314020411908202</v>
      </c>
      <c r="H237" s="15">
        <f t="shared" si="31"/>
        <v>-0.51728021646941935</v>
      </c>
      <c r="I237" s="15">
        <f t="shared" si="32"/>
        <v>1.6214143713422891</v>
      </c>
      <c r="J237" s="15">
        <f t="shared" si="33"/>
        <v>-0.34157470340896112</v>
      </c>
      <c r="K237" s="15">
        <f t="shared" si="34"/>
        <v>0.63876076683556993</v>
      </c>
      <c r="L237" s="15">
        <f t="shared" si="35"/>
        <v>-0.24522734008424088</v>
      </c>
      <c r="M237" s="18">
        <f t="shared" si="36"/>
        <v>-1.0345604329388388E-2</v>
      </c>
      <c r="N237" s="18">
        <f t="shared" si="37"/>
        <v>9.1643674192711036E-3</v>
      </c>
      <c r="O237" s="18">
        <f t="shared" si="38"/>
        <v>-4.0988964409075339E-3</v>
      </c>
      <c r="P237" s="18">
        <f t="shared" si="39"/>
        <v>3.8325646010134197E-3</v>
      </c>
      <c r="Q237" s="18">
        <f t="shared" si="40"/>
        <v>-9.8090936033696347E-4</v>
      </c>
      <c r="R237" s="28">
        <f>((Scenario_DT!I$11*(IF(Scenario_DT!I$18=1,1,1+$M237/Scenario_DT!$C$19)*(1+$N237)^MAX(0,Scenario_DT!I$18-3))*(Scenario_DT!I$12+$O237)-Scenario_DT!I$13)*(1-Scenario_DT!I$14)+Scenario_DT!I$13-Scenario_DT!I$15)*Scenario_DT!I$16</f>
        <v>905.20553466128422</v>
      </c>
      <c r="S237" s="28">
        <f>((Scenario_DT!J$11*(IF(Scenario_DT!J$18=1,1,1+$M237/Scenario_DT!$C$19)*(1+$N237)^MAX(0,Scenario_DT!J$18-3))*(Scenario_DT!J$12+$O237)-Scenario_DT!J$13)*(1-Scenario_DT!J$14)+Scenario_DT!J$13-Scenario_DT!J$15)*Scenario_DT!J$16</f>
        <v>1794.5198793519589</v>
      </c>
      <c r="T237" s="28">
        <f>((Scenario_DT!K$11*(IF(Scenario_DT!K$18=1,1,1+$M237/Scenario_DT!$C$19)*(1+$N237)^MAX(0,Scenario_DT!K$18-3))*(Scenario_DT!K$12+$O237)-Scenario_DT!K$13)*(1-Scenario_DT!K$14)+Scenario_DT!K$13-Scenario_DT!K$15)*Scenario_DT!K$16</f>
        <v>2057.3945434889411</v>
      </c>
      <c r="U237" s="28">
        <f>((Scenario_DT!L$11*(IF(Scenario_DT!L$18=1,1,1+$M237/Scenario_DT!$C$19)*(1+$N237)^MAX(0,Scenario_DT!L$18-3))*(Scenario_DT!L$12+$O237)-Scenario_DT!L$13)*(1-Scenario_DT!L$14)+Scenario_DT!L$13-Scenario_DT!L$15)*Scenario_DT!L$16</f>
        <v>2478.6707328573179</v>
      </c>
      <c r="V237" s="28">
        <f>((Scenario_DT!M$11*(IF(Scenario_DT!M$18=1,1,1+$M237/Scenario_DT!$C$19)*(1+$N237)^MAX(0,Scenario_DT!M$18-3))*(Scenario_DT!M$12+$O237)-Scenario_DT!M$13)*(1-Scenario_DT!M$14)+Scenario_DT!M$13-Scenario_DT!M$15)*Scenario_DT!M$16</f>
        <v>2625.8964414577204</v>
      </c>
      <c r="W237" s="28">
        <f>((Scenario_DT!N$11*(IF(Scenario_DT!N$18=1,1,1+$M237/Scenario_DT!$C$19)*(1+$N237)^MAX(0,Scenario_DT!N$18-3))*(Scenario_DT!N$12+$O237)-Scenario_DT!N$13)*(1-Scenario_DT!N$14)+Scenario_DT!N$13-Scenario_DT!N$15)*Scenario_DT!N$16</f>
        <v>2781.8721324404387</v>
      </c>
      <c r="X237" s="28">
        <f>((Scenario_DT!O$11*(IF(Scenario_DT!O$18=1,1,1+$M237/Scenario_DT!$C$19)*(1+$N237)^MAX(0,Scenario_DT!O$18-3))*(Scenario_DT!O$12+$O237)-Scenario_DT!O$13)*(1-Scenario_DT!O$14)+Scenario_DT!O$13-Scenario_DT!O$15)*Scenario_DT!O$16</f>
        <v>2947.1208763015838</v>
      </c>
      <c r="Y237" s="28">
        <f>((Scenario_DT!P$11*(IF(Scenario_DT!P$18=1,1,1+$M237/Scenario_DT!$C$19)*(1+$N237)^MAX(0,Scenario_DT!P$18-3))*(Scenario_DT!P$12+$O237)-Scenario_DT!P$13)*(1-Scenario_DT!P$14)+Scenario_DT!P$13-Scenario_DT!P$15)*Scenario_DT!P$16</f>
        <v>3122.1970174692328</v>
      </c>
      <c r="Z237" s="28">
        <f>((Scenario_DT!Q$11*(IF(Scenario_DT!Q$18=1,1,1+$M237/Scenario_DT!$C$19)*(1+$N237)^MAX(0,Scenario_DT!Q$18-3))*(Scenario_DT!Q$12+$O237)-Scenario_DT!Q$13)*(1-Scenario_DT!Q$14)+Scenario_DT!Q$13-Scenario_DT!Q$15)*Scenario_DT!Q$16</f>
        <v>3307.6880430569217</v>
      </c>
      <c r="AA237" s="28">
        <f>((Scenario_DT!R$11*(IF(Scenario_DT!R$18=1,1,1+$M237/Scenario_DT!$C$19)*(1+$N237)^MAX(0,Scenario_DT!R$18-3))*(Scenario_DT!R$12+$O237)-Scenario_DT!R$13)*(1-Scenario_DT!R$14)+Scenario_DT!R$13-Scenario_DT!R$15)*Scenario_DT!R$16</f>
        <v>3504.216563221853</v>
      </c>
      <c r="AB237" s="17">
        <f>(Scenario_DT!$R$11*(1+$M237/Scenario_DT!$C$19)*(1+$N237)^7*(Scenario_DT!$R$12+$O237)*(1+MIN(DCF_FCFF!$C$26+$Q237,(DCF_FCFF!$C$25+$P237)-0.02))*(1-DCF_FCFF!$C$27)*(1-DCF_FCFF!$C$28)/((DCF_FCFF!$C$25+$P237)-MIN(DCF_FCFF!$C$26+$Q237,(DCF_FCFF!$C$25+$P237)-0.02)))*(1+(DCF_FCFF!$C$25+$P237))^(-(Inputs!$C$9+9))</f>
        <v>26064.636752378759</v>
      </c>
      <c r="AC237" s="17">
        <f>SUMPRODUCT(R237:AA237*(1+(DCF_FCFF!$C$25+$P237))^(-Scenario_DT!$I$17:$R$17))+AB237</f>
        <v>42392.655150471372</v>
      </c>
      <c r="AD237" s="68">
        <f>((AC237-DCF_FCFF!$C$48)*(1-DCF_FCFF!$C$50)+DCF_FCFF!$C$57+DCF_FCFF!$C$58)/DCF_FCFF!$C$60</f>
        <v>310.47285393434527</v>
      </c>
      <c r="AE237" s="6"/>
      <c r="AF237" s="6"/>
      <c r="AG237" s="6"/>
    </row>
    <row r="238" spans="1:33" x14ac:dyDescent="0.3">
      <c r="A238" s="6"/>
      <c r="B238" s="72">
        <v>207</v>
      </c>
      <c r="C238" s="73">
        <v>0.56181893006299899</v>
      </c>
      <c r="D238" s="73">
        <v>0.71978253502154599</v>
      </c>
      <c r="E238" s="73">
        <v>0.50893415175135404</v>
      </c>
      <c r="F238" s="73">
        <v>0.90708632690950897</v>
      </c>
      <c r="G238" s="73">
        <v>0.41930098792781001</v>
      </c>
      <c r="H238" s="15">
        <f t="shared" si="31"/>
        <v>0.15558247469766742</v>
      </c>
      <c r="I238" s="15">
        <f t="shared" si="32"/>
        <v>0.58219561010915188</v>
      </c>
      <c r="J238" s="15">
        <f t="shared" si="33"/>
        <v>2.2396469600686583E-2</v>
      </c>
      <c r="K238" s="15">
        <f t="shared" si="34"/>
        <v>1.3230241518710177</v>
      </c>
      <c r="L238" s="15">
        <f t="shared" si="35"/>
        <v>-0.20368204272961066</v>
      </c>
      <c r="M238" s="18">
        <f t="shared" si="36"/>
        <v>3.1116494939533485E-3</v>
      </c>
      <c r="N238" s="18">
        <f t="shared" si="37"/>
        <v>4.655899405401117E-3</v>
      </c>
      <c r="O238" s="18">
        <f t="shared" si="38"/>
        <v>2.6875763520823898E-4</v>
      </c>
      <c r="P238" s="18">
        <f t="shared" si="39"/>
        <v>7.9381449112261061E-3</v>
      </c>
      <c r="Q238" s="18">
        <f t="shared" si="40"/>
        <v>-8.1472817091844262E-4</v>
      </c>
      <c r="R238" s="28">
        <f>((Scenario_DT!I$11*(IF(Scenario_DT!I$18=1,1,1+$M238/Scenario_DT!$C$19)*(1+$N238)^MAX(0,Scenario_DT!I$18-3))*(Scenario_DT!I$12+$O238)-Scenario_DT!I$13)*(1-Scenario_DT!I$14)+Scenario_DT!I$13-Scenario_DT!I$15)*Scenario_DT!I$16</f>
        <v>911.36345687720927</v>
      </c>
      <c r="S238" s="28">
        <f>((Scenario_DT!J$11*(IF(Scenario_DT!J$18=1,1,1+$M238/Scenario_DT!$C$19)*(1+$N238)^MAX(0,Scenario_DT!J$18-3))*(Scenario_DT!J$12+$O238)-Scenario_DT!J$13)*(1-Scenario_DT!J$14)+Scenario_DT!J$13-Scenario_DT!J$15)*Scenario_DT!J$16</f>
        <v>1840.2030803120797</v>
      </c>
      <c r="T238" s="28">
        <f>((Scenario_DT!K$11*(IF(Scenario_DT!K$18=1,1,1+$M238/Scenario_DT!$C$19)*(1+$N238)^MAX(0,Scenario_DT!K$18-3))*(Scenario_DT!K$12+$O238)-Scenario_DT!K$13)*(1-Scenario_DT!K$14)+Scenario_DT!K$13-Scenario_DT!K$15)*Scenario_DT!K$16</f>
        <v>2105.1948783892512</v>
      </c>
      <c r="U238" s="28">
        <f>((Scenario_DT!L$11*(IF(Scenario_DT!L$18=1,1,1+$M238/Scenario_DT!$C$19)*(1+$N238)^MAX(0,Scenario_DT!L$18-3))*(Scenario_DT!L$12+$O238)-Scenario_DT!L$13)*(1-Scenario_DT!L$14)+Scenario_DT!L$13-Scenario_DT!L$15)*Scenario_DT!L$16</f>
        <v>2518.5114177679529</v>
      </c>
      <c r="V238" s="28">
        <f>((Scenario_DT!M$11*(IF(Scenario_DT!M$18=1,1,1+$M238/Scenario_DT!$C$19)*(1+$N238)^MAX(0,Scenario_DT!M$18-3))*(Scenario_DT!M$12+$O238)-Scenario_DT!M$13)*(1-Scenario_DT!M$14)+Scenario_DT!M$13-Scenario_DT!M$15)*Scenario_DT!M$16</f>
        <v>2656.1102875976353</v>
      </c>
      <c r="W238" s="28">
        <f>((Scenario_DT!N$11*(IF(Scenario_DT!N$18=1,1,1+$M238/Scenario_DT!$C$19)*(1+$N238)^MAX(0,Scenario_DT!N$18-3))*(Scenario_DT!N$12+$O238)-Scenario_DT!N$13)*(1-Scenario_DT!N$14)+Scenario_DT!N$13-Scenario_DT!N$15)*Scenario_DT!N$16</f>
        <v>2801.2263753179723</v>
      </c>
      <c r="X238" s="28">
        <f>((Scenario_DT!O$11*(IF(Scenario_DT!O$18=1,1,1+$M238/Scenario_DT!$C$19)*(1+$N238)^MAX(0,Scenario_DT!O$18-3))*(Scenario_DT!O$12+$O238)-Scenario_DT!O$13)*(1-Scenario_DT!O$14)+Scenario_DT!O$13-Scenario_DT!O$15)*Scenario_DT!O$16</f>
        <v>2954.273090834251</v>
      </c>
      <c r="Y238" s="28">
        <f>((Scenario_DT!P$11*(IF(Scenario_DT!P$18=1,1,1+$M238/Scenario_DT!$C$19)*(1+$N238)^MAX(0,Scenario_DT!P$18-3))*(Scenario_DT!P$12+$O238)-Scenario_DT!P$13)*(1-Scenario_DT!P$14)+Scenario_DT!P$13-Scenario_DT!P$15)*Scenario_DT!P$16</f>
        <v>3115.6865949614189</v>
      </c>
      <c r="Z238" s="28">
        <f>((Scenario_DT!Q$11*(IF(Scenario_DT!Q$18=1,1,1+$M238/Scenario_DT!$C$19)*(1+$N238)^MAX(0,Scenario_DT!Q$18-3))*(Scenario_DT!Q$12+$O238)-Scenario_DT!Q$13)*(1-Scenario_DT!Q$14)+Scenario_DT!Q$13-Scenario_DT!Q$15)*Scenario_DT!Q$16</f>
        <v>3285.9270510712768</v>
      </c>
      <c r="AA238" s="28">
        <f>((Scenario_DT!R$11*(IF(Scenario_DT!R$18=1,1,1+$M238/Scenario_DT!$C$19)*(1+$N238)^MAX(0,Scenario_DT!R$18-3))*(Scenario_DT!R$12+$O238)-Scenario_DT!R$13)*(1-Scenario_DT!R$14)+Scenario_DT!R$13-Scenario_DT!R$15)*Scenario_DT!R$16</f>
        <v>3465.4799455712528</v>
      </c>
      <c r="AB238" s="17">
        <f>(Scenario_DT!$R$11*(1+$M238/Scenario_DT!$C$19)*(1+$N238)^7*(Scenario_DT!$R$12+$O238)*(1+MIN(DCF_FCFF!$C$26+$Q238,(DCF_FCFF!$C$25+$P238)-0.02))*(1-DCF_FCFF!$C$27)*(1-DCF_FCFF!$C$28)/((DCF_FCFF!$C$25+$P238)-MIN(DCF_FCFF!$C$26+$Q238,(DCF_FCFF!$C$25+$P238)-0.02)))*(1+(DCF_FCFF!$C$25+$P238))^(-(Inputs!$C$9+9))</f>
        <v>23227.149674267414</v>
      </c>
      <c r="AC238" s="17">
        <f>SUMPRODUCT(R238:AA238*(1+(DCF_FCFF!$C$25+$P238))^(-Scenario_DT!$I$17:$R$17))+AB238</f>
        <v>39399.037472097822</v>
      </c>
      <c r="AD238" s="68">
        <f>((AC238-DCF_FCFF!$C$48)*(1-DCF_FCFF!$C$50)+DCF_FCFF!$C$57+DCF_FCFF!$C$58)/DCF_FCFF!$C$60</f>
        <v>281.73781094321049</v>
      </c>
      <c r="AE238" s="6"/>
      <c r="AF238" s="6"/>
      <c r="AG238" s="6"/>
    </row>
    <row r="239" spans="1:33" x14ac:dyDescent="0.3">
      <c r="A239" s="6"/>
      <c r="B239" s="72">
        <v>208</v>
      </c>
      <c r="C239" s="73">
        <v>0.64707179814332505</v>
      </c>
      <c r="D239" s="73">
        <v>0.342362433300054</v>
      </c>
      <c r="E239" s="73">
        <v>0.40815666823101299</v>
      </c>
      <c r="F239" s="73">
        <v>0.44005010823355201</v>
      </c>
      <c r="G239" s="73">
        <v>0.125807018312285</v>
      </c>
      <c r="H239" s="15">
        <f t="shared" si="31"/>
        <v>0.37742686705546263</v>
      </c>
      <c r="I239" s="15">
        <f t="shared" si="32"/>
        <v>-0.40602413558787476</v>
      </c>
      <c r="J239" s="15">
        <f t="shared" si="33"/>
        <v>-0.23228928207532257</v>
      </c>
      <c r="K239" s="15">
        <f t="shared" si="34"/>
        <v>-0.15084217446296025</v>
      </c>
      <c r="L239" s="15">
        <f t="shared" si="35"/>
        <v>-1.1464378318108721</v>
      </c>
      <c r="M239" s="18">
        <f t="shared" si="36"/>
        <v>7.548537341109253E-3</v>
      </c>
      <c r="N239" s="18">
        <f t="shared" si="37"/>
        <v>-1.3033102595278844E-3</v>
      </c>
      <c r="O239" s="18">
        <f t="shared" si="38"/>
        <v>-2.7874713849038711E-3</v>
      </c>
      <c r="P239" s="18">
        <f t="shared" si="39"/>
        <v>-9.0505304677776152E-4</v>
      </c>
      <c r="Q239" s="18">
        <f t="shared" si="40"/>
        <v>-4.5857513272434883E-3</v>
      </c>
      <c r="R239" s="28">
        <f>((Scenario_DT!I$11*(IF(Scenario_DT!I$18=1,1,1+$M239/Scenario_DT!$C$19)*(1+$N239)^MAX(0,Scenario_DT!I$18-3))*(Scenario_DT!I$12+$O239)-Scenario_DT!I$13)*(1-Scenario_DT!I$14)+Scenario_DT!I$13-Scenario_DT!I$15)*Scenario_DT!I$16</f>
        <v>907.05450285934899</v>
      </c>
      <c r="S239" s="28">
        <f>((Scenario_DT!J$11*(IF(Scenario_DT!J$18=1,1,1+$M239/Scenario_DT!$C$19)*(1+$N239)^MAX(0,Scenario_DT!J$18-3))*(Scenario_DT!J$12+$O239)-Scenario_DT!J$13)*(1-Scenario_DT!J$14)+Scenario_DT!J$13-Scenario_DT!J$15)*Scenario_DT!J$16</f>
        <v>1841.2648201136312</v>
      </c>
      <c r="T239" s="28">
        <f>((Scenario_DT!K$11*(IF(Scenario_DT!K$18=1,1,1+$M239/Scenario_DT!$C$19)*(1+$N239)^MAX(0,Scenario_DT!K$18-3))*(Scenario_DT!K$12+$O239)-Scenario_DT!K$13)*(1-Scenario_DT!K$14)+Scenario_DT!K$13-Scenario_DT!K$15)*Scenario_DT!K$16</f>
        <v>2106.4460513311783</v>
      </c>
      <c r="U239" s="28">
        <f>((Scenario_DT!L$11*(IF(Scenario_DT!L$18=1,1,1+$M239/Scenario_DT!$C$19)*(1+$N239)^MAX(0,Scenario_DT!L$18-3))*(Scenario_DT!L$12+$O239)-Scenario_DT!L$13)*(1-Scenario_DT!L$14)+Scenario_DT!L$13-Scenario_DT!L$15)*Scenario_DT!L$16</f>
        <v>2504.7992740317582</v>
      </c>
      <c r="V239" s="28">
        <f>((Scenario_DT!M$11*(IF(Scenario_DT!M$18=1,1,1+$M239/Scenario_DT!$C$19)*(1+$N239)^MAX(0,Scenario_DT!M$18-3))*(Scenario_DT!M$12+$O239)-Scenario_DT!M$13)*(1-Scenario_DT!M$14)+Scenario_DT!M$13-Scenario_DT!M$15)*Scenario_DT!M$16</f>
        <v>2625.8669579584139</v>
      </c>
      <c r="W239" s="28">
        <f>((Scenario_DT!N$11*(IF(Scenario_DT!N$18=1,1,1+$M239/Scenario_DT!$C$19)*(1+$N239)^MAX(0,Scenario_DT!N$18-3))*(Scenario_DT!N$12+$O239)-Scenario_DT!N$13)*(1-Scenario_DT!N$14)+Scenario_DT!N$13-Scenario_DT!N$15)*Scenario_DT!N$16</f>
        <v>2752.7771499087276</v>
      </c>
      <c r="X239" s="28">
        <f>((Scenario_DT!O$11*(IF(Scenario_DT!O$18=1,1,1+$M239/Scenario_DT!$C$19)*(1+$N239)^MAX(0,Scenario_DT!O$18-3))*(Scenario_DT!O$12+$O239)-Scenario_DT!O$13)*(1-Scenario_DT!O$14)+Scenario_DT!O$13-Scenario_DT!O$15)*Scenario_DT!O$16</f>
        <v>2885.8140204959968</v>
      </c>
      <c r="Y239" s="28">
        <f>((Scenario_DT!P$11*(IF(Scenario_DT!P$18=1,1,1+$M239/Scenario_DT!$C$19)*(1+$N239)^MAX(0,Scenario_DT!P$18-3))*(Scenario_DT!P$12+$O239)-Scenario_DT!P$13)*(1-Scenario_DT!P$14)+Scenario_DT!P$13-Scenario_DT!P$15)*Scenario_DT!P$16</f>
        <v>3025.2755827014257</v>
      </c>
      <c r="Z239" s="28">
        <f>((Scenario_DT!Q$11*(IF(Scenario_DT!Q$18=1,1,1+$M239/Scenario_DT!$C$19)*(1+$N239)^MAX(0,Scenario_DT!Q$18-3))*(Scenario_DT!Q$12+$O239)-Scenario_DT!Q$13)*(1-Scenario_DT!Q$14)+Scenario_DT!Q$13-Scenario_DT!Q$15)*Scenario_DT!Q$16</f>
        <v>3171.4743662882606</v>
      </c>
      <c r="AA239" s="28">
        <f>((Scenario_DT!R$11*(IF(Scenario_DT!R$18=1,1,1+$M239/Scenario_DT!$C$19)*(1+$N239)^MAX(0,Scenario_DT!R$18-3))*(Scenario_DT!R$12+$O239)-Scenario_DT!R$13)*(1-Scenario_DT!R$14)+Scenario_DT!R$13-Scenario_DT!R$15)*Scenario_DT!R$16</f>
        <v>3324.7381250719804</v>
      </c>
      <c r="AB239" s="17">
        <f>(Scenario_DT!$R$11*(1+$M239/Scenario_DT!$C$19)*(1+$N239)^7*(Scenario_DT!$R$12+$O239)*(1+MIN(DCF_FCFF!$C$26+$Q239,(DCF_FCFF!$C$25+$P239)-0.02))*(1-DCF_FCFF!$C$27)*(1-DCF_FCFF!$C$28)/((DCF_FCFF!$C$25+$P239)-MIN(DCF_FCFF!$C$26+$Q239,(DCF_FCFF!$C$25+$P239)-0.02)))*(1+(DCF_FCFF!$C$25+$P239))^(-(Inputs!$C$9+9))</f>
        <v>26226.898028563384</v>
      </c>
      <c r="AC239" s="17">
        <f>SUMPRODUCT(R239:AA239*(1+(DCF_FCFF!$C$25+$P239))^(-Scenario_DT!$I$17:$R$17))+AB239</f>
        <v>42733.45681771102</v>
      </c>
      <c r="AD239" s="68">
        <f>((AC239-DCF_FCFF!$C$48)*(1-DCF_FCFF!$C$50)+DCF_FCFF!$C$57+DCF_FCFF!$C$58)/DCF_FCFF!$C$60</f>
        <v>313.74413023336228</v>
      </c>
      <c r="AE239" s="6"/>
      <c r="AF239" s="6"/>
      <c r="AG239" s="6"/>
    </row>
    <row r="240" spans="1:33" x14ac:dyDescent="0.3">
      <c r="A240" s="6"/>
      <c r="B240" s="72">
        <v>209</v>
      </c>
      <c r="C240" s="73">
        <v>9.1723679059006705E-2</v>
      </c>
      <c r="D240" s="73">
        <v>0.66748992314675804</v>
      </c>
      <c r="E240" s="73">
        <v>0.65551773834305205</v>
      </c>
      <c r="F240" s="73">
        <v>0.66290971421009504</v>
      </c>
      <c r="G240" s="73">
        <v>1.9766445342691698E-2</v>
      </c>
      <c r="H240" s="15">
        <f t="shared" si="31"/>
        <v>-1.3302152587626934</v>
      </c>
      <c r="I240" s="15">
        <f t="shared" si="32"/>
        <v>0.43299258916043082</v>
      </c>
      <c r="J240" s="15">
        <f t="shared" si="33"/>
        <v>0.40026068292901779</v>
      </c>
      <c r="K240" s="15">
        <f t="shared" si="34"/>
        <v>0.42041738298521075</v>
      </c>
      <c r="L240" s="15">
        <f t="shared" si="35"/>
        <v>-2.0585966840373051</v>
      </c>
      <c r="M240" s="18">
        <f t="shared" si="36"/>
        <v>-2.6604305175253869E-2</v>
      </c>
      <c r="N240" s="18">
        <f t="shared" si="37"/>
        <v>-2.3210003801441208E-3</v>
      </c>
      <c r="O240" s="18">
        <f t="shared" si="38"/>
        <v>4.8031281951482138E-3</v>
      </c>
      <c r="P240" s="18">
        <f t="shared" si="39"/>
        <v>2.5225042979112647E-3</v>
      </c>
      <c r="Q240" s="18">
        <f t="shared" si="40"/>
        <v>-8.2343867361492212E-3</v>
      </c>
      <c r="R240" s="28">
        <f>((Scenario_DT!I$11*(IF(Scenario_DT!I$18=1,1,1+$M240/Scenario_DT!$C$19)*(1+$N240)^MAX(0,Scenario_DT!I$18-3))*(Scenario_DT!I$12+$O240)-Scenario_DT!I$13)*(1-Scenario_DT!I$14)+Scenario_DT!I$13-Scenario_DT!I$15)*Scenario_DT!I$16</f>
        <v>917.75643139389126</v>
      </c>
      <c r="S240" s="28">
        <f>((Scenario_DT!J$11*(IF(Scenario_DT!J$18=1,1,1+$M240/Scenario_DT!$C$19)*(1+$N240)^MAX(0,Scenario_DT!J$18-3))*(Scenario_DT!J$12+$O240)-Scenario_DT!J$13)*(1-Scenario_DT!J$14)+Scenario_DT!J$13-Scenario_DT!J$15)*Scenario_DT!J$16</f>
        <v>1782.6626398026783</v>
      </c>
      <c r="T240" s="28">
        <f>((Scenario_DT!K$11*(IF(Scenario_DT!K$18=1,1,1+$M240/Scenario_DT!$C$19)*(1+$N240)^MAX(0,Scenario_DT!K$18-3))*(Scenario_DT!K$12+$O240)-Scenario_DT!K$13)*(1-Scenario_DT!K$14)+Scenario_DT!K$13-Scenario_DT!K$15)*Scenario_DT!K$16</f>
        <v>2044.553731834244</v>
      </c>
      <c r="U240" s="28">
        <f>((Scenario_DT!L$11*(IF(Scenario_DT!L$18=1,1,1+$M240/Scenario_DT!$C$19)*(1+$N240)^MAX(0,Scenario_DT!L$18-3))*(Scenario_DT!L$12+$O240)-Scenario_DT!L$13)*(1-Scenario_DT!L$14)+Scenario_DT!L$13-Scenario_DT!L$15)*Scenario_DT!L$16</f>
        <v>2436.6663256360844</v>
      </c>
      <c r="V240" s="28">
        <f>((Scenario_DT!M$11*(IF(Scenario_DT!M$18=1,1,1+$M240/Scenario_DT!$C$19)*(1+$N240)^MAX(0,Scenario_DT!M$18-3))*(Scenario_DT!M$12+$O240)-Scenario_DT!M$13)*(1-Scenario_DT!M$14)+Scenario_DT!M$13-Scenario_DT!M$15)*Scenario_DT!M$16</f>
        <v>2551.7988085550151</v>
      </c>
      <c r="W240" s="28">
        <f>((Scenario_DT!N$11*(IF(Scenario_DT!N$18=1,1,1+$M240/Scenario_DT!$C$19)*(1+$N240)^MAX(0,Scenario_DT!N$18-3))*(Scenario_DT!N$12+$O240)-Scenario_DT!N$13)*(1-Scenario_DT!N$14)+Scenario_DT!N$13-Scenario_DT!N$15)*Scenario_DT!N$16</f>
        <v>2672.3604614710839</v>
      </c>
      <c r="X240" s="28">
        <f>((Scenario_DT!O$11*(IF(Scenario_DT!O$18=1,1,1+$M240/Scenario_DT!$C$19)*(1+$N240)^MAX(0,Scenario_DT!O$18-3))*(Scenario_DT!O$12+$O240)-Scenario_DT!O$13)*(1-Scenario_DT!O$14)+Scenario_DT!O$13-Scenario_DT!O$15)*Scenario_DT!O$16</f>
        <v>2798.6094226321575</v>
      </c>
      <c r="Y240" s="28">
        <f>((Scenario_DT!P$11*(IF(Scenario_DT!P$18=1,1,1+$M240/Scenario_DT!$C$19)*(1+$N240)^MAX(0,Scenario_DT!P$18-3))*(Scenario_DT!P$12+$O240)-Scenario_DT!P$13)*(1-Scenario_DT!P$14)+Scenario_DT!P$13-Scenario_DT!P$15)*Scenario_DT!P$16</f>
        <v>2930.8161245594415</v>
      </c>
      <c r="Z240" s="28">
        <f>((Scenario_DT!Q$11*(IF(Scenario_DT!Q$18=1,1,1+$M240/Scenario_DT!$C$19)*(1+$N240)^MAX(0,Scenario_DT!Q$18-3))*(Scenario_DT!Q$12+$O240)-Scenario_DT!Q$13)*(1-Scenario_DT!Q$14)+Scenario_DT!Q$13-Scenario_DT!Q$15)*Scenario_DT!Q$16</f>
        <v>3069.2638797578734</v>
      </c>
      <c r="AA240" s="28">
        <f>((Scenario_DT!R$11*(IF(Scenario_DT!R$18=1,1,1+$M240/Scenario_DT!$C$19)*(1+$N240)^MAX(0,Scenario_DT!R$18-3))*(Scenario_DT!R$12+$O240)-Scenario_DT!R$13)*(1-Scenario_DT!R$14)+Scenario_DT!R$13-Scenario_DT!R$15)*Scenario_DT!R$16</f>
        <v>3214.2494943305751</v>
      </c>
      <c r="AB240" s="17">
        <f>(Scenario_DT!$R$11*(1+$M240/Scenario_DT!$C$19)*(1+$N240)^7*(Scenario_DT!$R$12+$O240)*(1+MIN(DCF_FCFF!$C$26+$Q240,(DCF_FCFF!$C$25+$P240)-0.02))*(1-DCF_FCFF!$C$27)*(1-DCF_FCFF!$C$28)/((DCF_FCFF!$C$25+$P240)-MIN(DCF_FCFF!$C$26+$Q240,(DCF_FCFF!$C$25+$P240)-0.02)))*(1+(DCF_FCFF!$C$25+$P240))^(-(Inputs!$C$9+9))</f>
        <v>21693.814402189084</v>
      </c>
      <c r="AC240" s="17">
        <f>SUMPRODUCT(R240:AA240*(1+(DCF_FCFF!$C$25+$P240))^(-Scenario_DT!$I$17:$R$17))+AB240</f>
        <v>37510.341386114553</v>
      </c>
      <c r="AD240" s="68">
        <f>((AC240-DCF_FCFF!$C$48)*(1-DCF_FCFF!$C$50)+DCF_FCFF!$C$57+DCF_FCFF!$C$58)/DCF_FCFF!$C$60</f>
        <v>263.60865449815526</v>
      </c>
      <c r="AE240" s="6"/>
      <c r="AF240" s="6"/>
      <c r="AG240" s="6"/>
    </row>
    <row r="241" spans="1:33" x14ac:dyDescent="0.3">
      <c r="A241" s="6"/>
      <c r="B241" s="72">
        <v>210</v>
      </c>
      <c r="C241" s="73">
        <v>0.32654684267178002</v>
      </c>
      <c r="D241" s="73">
        <v>0.19780984725919701</v>
      </c>
      <c r="E241" s="73">
        <v>0.77815142254401204</v>
      </c>
      <c r="F241" s="73">
        <v>0.86063040139613001</v>
      </c>
      <c r="G241" s="73">
        <v>0.246680377226147</v>
      </c>
      <c r="H241" s="15">
        <f t="shared" si="31"/>
        <v>-0.44946855713840039</v>
      </c>
      <c r="I241" s="15">
        <f t="shared" si="32"/>
        <v>-0.84947021947337975</v>
      </c>
      <c r="J241" s="15">
        <f t="shared" si="33"/>
        <v>0.76596495472984849</v>
      </c>
      <c r="K241" s="15">
        <f t="shared" si="34"/>
        <v>1.0831559747938448</v>
      </c>
      <c r="L241" s="15">
        <f t="shared" si="35"/>
        <v>-0.68497332399549882</v>
      </c>
      <c r="M241" s="18">
        <f t="shared" si="36"/>
        <v>-8.9893711427680087E-3</v>
      </c>
      <c r="N241" s="18">
        <f t="shared" si="37"/>
        <v>-7.6831765471319161E-3</v>
      </c>
      <c r="O241" s="18">
        <f t="shared" si="38"/>
        <v>9.1915794567581817E-3</v>
      </c>
      <c r="P241" s="18">
        <f t="shared" si="39"/>
        <v>6.4989358487630693E-3</v>
      </c>
      <c r="Q241" s="18">
        <f t="shared" si="40"/>
        <v>-2.7398932959819952E-3</v>
      </c>
      <c r="R241" s="28">
        <f>((Scenario_DT!I$11*(IF(Scenario_DT!I$18=1,1,1+$M241/Scenario_DT!$C$19)*(1+$N241)^MAX(0,Scenario_DT!I$18-3))*(Scenario_DT!I$12+$O241)-Scenario_DT!I$13)*(1-Scenario_DT!I$14)+Scenario_DT!I$13-Scenario_DT!I$15)*Scenario_DT!I$16</f>
        <v>923.94367540324379</v>
      </c>
      <c r="S241" s="28">
        <f>((Scenario_DT!J$11*(IF(Scenario_DT!J$18=1,1,1+$M241/Scenario_DT!$C$19)*(1+$N241)^MAX(0,Scenario_DT!J$18-3))*(Scenario_DT!J$12+$O241)-Scenario_DT!J$13)*(1-Scenario_DT!J$14)+Scenario_DT!J$13-Scenario_DT!J$15)*Scenario_DT!J$16</f>
        <v>1838.6598543189884</v>
      </c>
      <c r="T241" s="28">
        <f>((Scenario_DT!K$11*(IF(Scenario_DT!K$18=1,1,1+$M241/Scenario_DT!$C$19)*(1+$N241)^MAX(0,Scenario_DT!K$18-3))*(Scenario_DT!K$12+$O241)-Scenario_DT!K$13)*(1-Scenario_DT!K$14)+Scenario_DT!K$13-Scenario_DT!K$15)*Scenario_DT!K$16</f>
        <v>2103.1841328453415</v>
      </c>
      <c r="U241" s="28">
        <f>((Scenario_DT!L$11*(IF(Scenario_DT!L$18=1,1,1+$M241/Scenario_DT!$C$19)*(1+$N241)^MAX(0,Scenario_DT!L$18-3))*(Scenario_DT!L$12+$O241)-Scenario_DT!L$13)*(1-Scenario_DT!L$14)+Scenario_DT!L$13-Scenario_DT!L$15)*Scenario_DT!L$16</f>
        <v>2485.2535151994039</v>
      </c>
      <c r="V241" s="28">
        <f>((Scenario_DT!M$11*(IF(Scenario_DT!M$18=1,1,1+$M241/Scenario_DT!$C$19)*(1+$N241)^MAX(0,Scenario_DT!M$18-3))*(Scenario_DT!M$12+$O241)-Scenario_DT!M$13)*(1-Scenario_DT!M$14)+Scenario_DT!M$13-Scenario_DT!M$15)*Scenario_DT!M$16</f>
        <v>2588.6092522603258</v>
      </c>
      <c r="W241" s="28">
        <f>((Scenario_DT!N$11*(IF(Scenario_DT!N$18=1,1,1+$M241/Scenario_DT!$C$19)*(1+$N241)^MAX(0,Scenario_DT!N$18-3))*(Scenario_DT!N$12+$O241)-Scenario_DT!N$13)*(1-Scenario_DT!N$14)+Scenario_DT!N$13-Scenario_DT!N$15)*Scenario_DT!N$16</f>
        <v>2696.2432879208886</v>
      </c>
      <c r="X241" s="28">
        <f>((Scenario_DT!O$11*(IF(Scenario_DT!O$18=1,1,1+$M241/Scenario_DT!$C$19)*(1+$N241)^MAX(0,Scenario_DT!O$18-3))*(Scenario_DT!O$12+$O241)-Scenario_DT!O$13)*(1-Scenario_DT!O$14)+Scenario_DT!O$13-Scenario_DT!O$15)*Scenario_DT!O$16</f>
        <v>2808.3342505136507</v>
      </c>
      <c r="Y241" s="28">
        <f>((Scenario_DT!P$11*(IF(Scenario_DT!P$18=1,1,1+$M241/Scenario_DT!$C$19)*(1+$N241)^MAX(0,Scenario_DT!P$18-3))*(Scenario_DT!P$12+$O241)-Scenario_DT!P$13)*(1-Scenario_DT!P$14)+Scenario_DT!P$13-Scenario_DT!P$15)*Scenario_DT!P$16</f>
        <v>2925.0682422011537</v>
      </c>
      <c r="Z241" s="28">
        <f>((Scenario_DT!Q$11*(IF(Scenario_DT!Q$18=1,1,1+$M241/Scenario_DT!$C$19)*(1+$N241)^MAX(0,Scenario_DT!Q$18-3))*(Scenario_DT!Q$12+$O241)-Scenario_DT!Q$13)*(1-Scenario_DT!Q$14)+Scenario_DT!Q$13-Scenario_DT!Q$15)*Scenario_DT!Q$16</f>
        <v>3046.6391518556193</v>
      </c>
      <c r="AA241" s="28">
        <f>((Scenario_DT!R$11*(IF(Scenario_DT!R$18=1,1,1+$M241/Scenario_DT!$C$19)*(1+$N241)^MAX(0,Scenario_DT!R$18-3))*(Scenario_DT!R$12+$O241)-Scenario_DT!R$13)*(1-Scenario_DT!R$14)+Scenario_DT!R$13-Scenario_DT!R$15)*Scenario_DT!R$16</f>
        <v>3173.2489810396669</v>
      </c>
      <c r="AB241" s="17">
        <f>(Scenario_DT!$R$11*(1+$M241/Scenario_DT!$C$19)*(1+$N241)^7*(Scenario_DT!$R$12+$O241)*(1+MIN(DCF_FCFF!$C$26+$Q241,(DCF_FCFF!$C$25+$P241)-0.02))*(1-DCF_FCFF!$C$27)*(1-DCF_FCFF!$C$28)/((DCF_FCFF!$C$25+$P241)-MIN(DCF_FCFF!$C$26+$Q241,(DCF_FCFF!$C$25+$P241)-0.02)))*(1+(DCF_FCFF!$C$25+$P241))^(-(Inputs!$C$9+9))</f>
        <v>21335.074441556888</v>
      </c>
      <c r="AC241" s="17">
        <f>SUMPRODUCT(R241:AA241*(1+(DCF_FCFF!$C$25+$P241))^(-Scenario_DT!$I$17:$R$17))+AB241</f>
        <v>37049.473643055404</v>
      </c>
      <c r="AD241" s="68">
        <f>((AC241-DCF_FCFF!$C$48)*(1-DCF_FCFF!$C$50)+DCF_FCFF!$C$57+DCF_FCFF!$C$58)/DCF_FCFF!$C$60</f>
        <v>259.18489173589535</v>
      </c>
      <c r="AE241" s="6"/>
      <c r="AF241" s="6"/>
      <c r="AG241" s="6"/>
    </row>
    <row r="242" spans="1:33" x14ac:dyDescent="0.3">
      <c r="A242" s="6"/>
      <c r="B242" s="72">
        <v>211</v>
      </c>
      <c r="C242" s="73">
        <v>0.66784915884798601</v>
      </c>
      <c r="D242" s="73">
        <v>0.129362803458274</v>
      </c>
      <c r="E242" s="73">
        <v>0.27515252560171299</v>
      </c>
      <c r="F242" s="73">
        <v>0.13865449623341999</v>
      </c>
      <c r="G242" s="73">
        <v>0.28352076659922898</v>
      </c>
      <c r="H242" s="15">
        <f t="shared" si="31"/>
        <v>0.43398176573606395</v>
      </c>
      <c r="I242" s="15">
        <f t="shared" si="32"/>
        <v>-1.1294083621399713</v>
      </c>
      <c r="J242" s="15">
        <f t="shared" si="33"/>
        <v>-0.59730307594474474</v>
      </c>
      <c r="K242" s="15">
        <f t="shared" si="34"/>
        <v>-1.0863843275541376</v>
      </c>
      <c r="L242" s="15">
        <f t="shared" si="35"/>
        <v>-0.57241400032889433</v>
      </c>
      <c r="M242" s="18">
        <f t="shared" si="36"/>
        <v>8.6796353147212801E-3</v>
      </c>
      <c r="N242" s="18">
        <f t="shared" si="37"/>
        <v>-6.088843599934066E-3</v>
      </c>
      <c r="O242" s="18">
        <f t="shared" si="38"/>
        <v>-7.1676369113369371E-3</v>
      </c>
      <c r="P242" s="18">
        <f t="shared" si="39"/>
        <v>-6.5183059653248256E-3</v>
      </c>
      <c r="Q242" s="18">
        <f t="shared" si="40"/>
        <v>-2.2896560013155776E-3</v>
      </c>
      <c r="R242" s="28">
        <f>((Scenario_DT!I$11*(IF(Scenario_DT!I$18=1,1,1+$M242/Scenario_DT!$C$19)*(1+$N242)^MAX(0,Scenario_DT!I$18-3))*(Scenario_DT!I$12+$O242)-Scenario_DT!I$13)*(1-Scenario_DT!I$14)+Scenario_DT!I$13-Scenario_DT!I$15)*Scenario_DT!I$16</f>
        <v>900.8789408449145</v>
      </c>
      <c r="S242" s="28">
        <f>((Scenario_DT!J$11*(IF(Scenario_DT!J$18=1,1,1+$M242/Scenario_DT!$C$19)*(1+$N242)^MAX(0,Scenario_DT!J$18-3))*(Scenario_DT!J$12+$O242)-Scenario_DT!J$13)*(1-Scenario_DT!J$14)+Scenario_DT!J$13-Scenario_DT!J$15)*Scenario_DT!J$16</f>
        <v>1830.2268655882308</v>
      </c>
      <c r="T242" s="28">
        <f>((Scenario_DT!K$11*(IF(Scenario_DT!K$18=1,1,1+$M242/Scenario_DT!$C$19)*(1+$N242)^MAX(0,Scenario_DT!K$18-3))*(Scenario_DT!K$12+$O242)-Scenario_DT!K$13)*(1-Scenario_DT!K$14)+Scenario_DT!K$13-Scenario_DT!K$15)*Scenario_DT!K$16</f>
        <v>2095.0455737740576</v>
      </c>
      <c r="U242" s="28">
        <f>((Scenario_DT!L$11*(IF(Scenario_DT!L$18=1,1,1+$M242/Scenario_DT!$C$19)*(1+$N242)^MAX(0,Scenario_DT!L$18-3))*(Scenario_DT!L$12+$O242)-Scenario_DT!L$13)*(1-Scenario_DT!L$14)+Scenario_DT!L$13-Scenario_DT!L$15)*Scenario_DT!L$16</f>
        <v>2480.6849088574086</v>
      </c>
      <c r="V242" s="28">
        <f>((Scenario_DT!M$11*(IF(Scenario_DT!M$18=1,1,1+$M242/Scenario_DT!$C$19)*(1+$N242)^MAX(0,Scenario_DT!M$18-3))*(Scenario_DT!M$12+$O242)-Scenario_DT!M$13)*(1-Scenario_DT!M$14)+Scenario_DT!M$13-Scenario_DT!M$15)*Scenario_DT!M$16</f>
        <v>2588.030111031695</v>
      </c>
      <c r="W242" s="28">
        <f>((Scenario_DT!N$11*(IF(Scenario_DT!N$18=1,1,1+$M242/Scenario_DT!$C$19)*(1+$N242)^MAX(0,Scenario_DT!N$18-3))*(Scenario_DT!N$12+$O242)-Scenario_DT!N$13)*(1-Scenario_DT!N$14)+Scenario_DT!N$13-Scenario_DT!N$15)*Scenario_DT!N$16</f>
        <v>2700.0032220789317</v>
      </c>
      <c r="X242" s="28">
        <f>((Scenario_DT!O$11*(IF(Scenario_DT!O$18=1,1,1+$M242/Scenario_DT!$C$19)*(1+$N242)^MAX(0,Scenario_DT!O$18-3))*(Scenario_DT!O$12+$O242)-Scenario_DT!O$13)*(1-Scenario_DT!O$14)+Scenario_DT!O$13-Scenario_DT!O$15)*Scenario_DT!O$16</f>
        <v>2816.805480857925</v>
      </c>
      <c r="Y242" s="28">
        <f>((Scenario_DT!P$11*(IF(Scenario_DT!P$18=1,1,1+$M242/Scenario_DT!$C$19)*(1+$N242)^MAX(0,Scenario_DT!P$18-3))*(Scenario_DT!P$12+$O242)-Scenario_DT!P$13)*(1-Scenario_DT!P$14)+Scenario_DT!P$13-Scenario_DT!P$15)*Scenario_DT!P$16</f>
        <v>2938.6468948694633</v>
      </c>
      <c r="Z242" s="28">
        <f>((Scenario_DT!Q$11*(IF(Scenario_DT!Q$18=1,1,1+$M242/Scenario_DT!$C$19)*(1+$N242)^MAX(0,Scenario_DT!Q$18-3))*(Scenario_DT!Q$12+$O242)-Scenario_DT!Q$13)*(1-Scenario_DT!Q$14)+Scenario_DT!Q$13-Scenario_DT!Q$15)*Scenario_DT!Q$16</f>
        <v>3065.7466225490516</v>
      </c>
      <c r="AA242" s="28">
        <f>((Scenario_DT!R$11*(IF(Scenario_DT!R$18=1,1,1+$M242/Scenario_DT!$C$19)*(1+$N242)^MAX(0,Scenario_DT!R$18-3))*(Scenario_DT!R$12+$O242)-Scenario_DT!R$13)*(1-Scenario_DT!R$14)+Scenario_DT!R$13-Scenario_DT!R$15)*Scenario_DT!R$16</f>
        <v>3198.3333722305815</v>
      </c>
      <c r="AB242" s="17">
        <f>(Scenario_DT!$R$11*(1+$M242/Scenario_DT!$C$19)*(1+$N242)^7*(Scenario_DT!$R$12+$O242)*(1+MIN(DCF_FCFF!$C$26+$Q242,(DCF_FCFF!$C$25+$P242)-0.02))*(1-DCF_FCFF!$C$27)*(1-DCF_FCFF!$C$28)/((DCF_FCFF!$C$25+$P242)-MIN(DCF_FCFF!$C$26+$Q242,(DCF_FCFF!$C$25+$P242)-0.02)))*(1+(DCF_FCFF!$C$25+$P242))^(-(Inputs!$C$9+9))</f>
        <v>31112.863905869024</v>
      </c>
      <c r="AC242" s="17">
        <f>SUMPRODUCT(R242:AA242*(1+(DCF_FCFF!$C$25+$P242))^(-Scenario_DT!$I$17:$R$17))+AB242</f>
        <v>47701.485545541887</v>
      </c>
      <c r="AD242" s="68">
        <f>((AC242-DCF_FCFF!$C$48)*(1-DCF_FCFF!$C$50)+DCF_FCFF!$C$57+DCF_FCFF!$C$58)/DCF_FCFF!$C$60</f>
        <v>361.43108775860406</v>
      </c>
      <c r="AE242" s="6"/>
      <c r="AF242" s="6"/>
      <c r="AG242" s="6"/>
    </row>
    <row r="243" spans="1:33" x14ac:dyDescent="0.3">
      <c r="A243" s="6"/>
      <c r="B243" s="72">
        <v>212</v>
      </c>
      <c r="C243" s="73">
        <v>0.67473654734927802</v>
      </c>
      <c r="D243" s="73">
        <v>0.91032691018525302</v>
      </c>
      <c r="E243" s="73">
        <v>0.20252240792418599</v>
      </c>
      <c r="F243" s="73">
        <v>0.54207903495071896</v>
      </c>
      <c r="G243" s="73">
        <v>0.70139110124343196</v>
      </c>
      <c r="H243" s="15">
        <f t="shared" si="31"/>
        <v>0.45303032500770624</v>
      </c>
      <c r="I243" s="15">
        <f t="shared" si="32"/>
        <v>1.3427708666636222</v>
      </c>
      <c r="J243" s="15">
        <f t="shared" si="33"/>
        <v>-0.8326452766303748</v>
      </c>
      <c r="K243" s="15">
        <f t="shared" si="34"/>
        <v>0.10567284013835163</v>
      </c>
      <c r="L243" s="15">
        <f t="shared" si="35"/>
        <v>0.52840567787829151</v>
      </c>
      <c r="M243" s="18">
        <f t="shared" si="36"/>
        <v>9.0606065001541253E-3</v>
      </c>
      <c r="N243" s="18">
        <f t="shared" si="37"/>
        <v>1.1115110755969576E-2</v>
      </c>
      <c r="O243" s="18">
        <f t="shared" si="38"/>
        <v>-9.9917433195644972E-3</v>
      </c>
      <c r="P243" s="18">
        <f t="shared" si="39"/>
        <v>6.3403704083010975E-4</v>
      </c>
      <c r="Q243" s="18">
        <f t="shared" si="40"/>
        <v>2.113622711513166E-3</v>
      </c>
      <c r="R243" s="28">
        <f>((Scenario_DT!I$11*(IF(Scenario_DT!I$18=1,1,1+$M243/Scenario_DT!$C$19)*(1+$N243)^MAX(0,Scenario_DT!I$18-3))*(Scenario_DT!I$12+$O243)-Scenario_DT!I$13)*(1-Scenario_DT!I$14)+Scenario_DT!I$13-Scenario_DT!I$15)*Scenario_DT!I$16</f>
        <v>896.89725472960129</v>
      </c>
      <c r="S243" s="28">
        <f>((Scenario_DT!J$11*(IF(Scenario_DT!J$18=1,1,1+$M243/Scenario_DT!$C$19)*(1+$N243)^MAX(0,Scenario_DT!J$18-3))*(Scenario_DT!J$12+$O243)-Scenario_DT!J$13)*(1-Scenario_DT!J$14)+Scenario_DT!J$13-Scenario_DT!J$15)*Scenario_DT!J$16</f>
        <v>1822.2696744588857</v>
      </c>
      <c r="T243" s="28">
        <f>((Scenario_DT!K$11*(IF(Scenario_DT!K$18=1,1,1+$M243/Scenario_DT!$C$19)*(1+$N243)^MAX(0,Scenario_DT!K$18-3))*(Scenario_DT!K$12+$O243)-Scenario_DT!K$13)*(1-Scenario_DT!K$14)+Scenario_DT!K$13-Scenario_DT!K$15)*Scenario_DT!K$16</f>
        <v>2086.8122706443005</v>
      </c>
      <c r="U243" s="28">
        <f>((Scenario_DT!L$11*(IF(Scenario_DT!L$18=1,1,1+$M243/Scenario_DT!$C$19)*(1+$N243)^MAX(0,Scenario_DT!L$18-3))*(Scenario_DT!L$12+$O243)-Scenario_DT!L$13)*(1-Scenario_DT!L$14)+Scenario_DT!L$13-Scenario_DT!L$15)*Scenario_DT!L$16</f>
        <v>2515.0769413948233</v>
      </c>
      <c r="V243" s="28">
        <f>((Scenario_DT!M$11*(IF(Scenario_DT!M$18=1,1,1+$M243/Scenario_DT!$C$19)*(1+$N243)^MAX(0,Scenario_DT!M$18-3))*(Scenario_DT!M$12+$O243)-Scenario_DT!M$13)*(1-Scenario_DT!M$14)+Scenario_DT!M$13-Scenario_DT!M$15)*Scenario_DT!M$16</f>
        <v>2669.6594298374625</v>
      </c>
      <c r="W243" s="28">
        <f>((Scenario_DT!N$11*(IF(Scenario_DT!N$18=1,1,1+$M243/Scenario_DT!$C$19)*(1+$N243)^MAX(0,Scenario_DT!N$18-3))*(Scenario_DT!N$12+$O243)-Scenario_DT!N$13)*(1-Scenario_DT!N$14)+Scenario_DT!N$13-Scenario_DT!N$15)*Scenario_DT!N$16</f>
        <v>2833.7503651118618</v>
      </c>
      <c r="X243" s="28">
        <f>((Scenario_DT!O$11*(IF(Scenario_DT!O$18=1,1,1+$M243/Scenario_DT!$C$19)*(1+$N243)^MAX(0,Scenario_DT!O$18-3))*(Scenario_DT!O$12+$O243)-Scenario_DT!O$13)*(1-Scenario_DT!O$14)+Scenario_DT!O$13-Scenario_DT!O$15)*Scenario_DT!O$16</f>
        <v>3007.9377637787725</v>
      </c>
      <c r="Y243" s="28">
        <f>((Scenario_DT!P$11*(IF(Scenario_DT!P$18=1,1,1+$M243/Scenario_DT!$C$19)*(1+$N243)^MAX(0,Scenario_DT!P$18-3))*(Scenario_DT!P$12+$O243)-Scenario_DT!P$13)*(1-Scenario_DT!P$14)+Scenario_DT!P$13-Scenario_DT!P$15)*Scenario_DT!P$16</f>
        <v>3192.846005007324</v>
      </c>
      <c r="Z243" s="28">
        <f>((Scenario_DT!Q$11*(IF(Scenario_DT!Q$18=1,1,1+$M243/Scenario_DT!$C$19)*(1+$N243)^MAX(0,Scenario_DT!Q$18-3))*(Scenario_DT!Q$12+$O243)-Scenario_DT!Q$13)*(1-Scenario_DT!Q$14)+Scenario_DT!Q$13-Scenario_DT!Q$15)*Scenario_DT!Q$16</f>
        <v>3389.1380777464842</v>
      </c>
      <c r="AA243" s="28">
        <f>((Scenario_DT!R$11*(IF(Scenario_DT!R$18=1,1,1+$M243/Scenario_DT!$C$19)*(1+$N243)^MAX(0,Scenario_DT!R$18-3))*(Scenario_DT!R$12+$O243)-Scenario_DT!R$13)*(1-Scenario_DT!R$14)+Scenario_DT!R$13-Scenario_DT!R$15)*Scenario_DT!R$16</f>
        <v>3597.5179666899312</v>
      </c>
      <c r="AB243" s="17">
        <f>(Scenario_DT!$R$11*(1+$M243/Scenario_DT!$C$19)*(1+$N243)^7*(Scenario_DT!$R$12+$O243)*(1+MIN(DCF_FCFF!$C$26+$Q243,(DCF_FCFF!$C$25+$P243)-0.02))*(1-DCF_FCFF!$C$27)*(1-DCF_FCFF!$C$28)/((DCF_FCFF!$C$25+$P243)-MIN(DCF_FCFF!$C$26+$Q243,(DCF_FCFF!$C$25+$P243)-0.02)))*(1+(DCF_FCFF!$C$25+$P243))^(-(Inputs!$C$9+9))</f>
        <v>31136.079880702782</v>
      </c>
      <c r="AC243" s="17">
        <f>SUMPRODUCT(R243:AA243*(1+(DCF_FCFF!$C$25+$P243))^(-Scenario_DT!$I$17:$R$17))+AB243</f>
        <v>47980.697452072745</v>
      </c>
      <c r="AD243" s="68">
        <f>((AC243-DCF_FCFF!$C$48)*(1-DCF_FCFF!$C$50)+DCF_FCFF!$C$57+DCF_FCFF!$C$58)/DCF_FCFF!$C$60</f>
        <v>364.11117820427512</v>
      </c>
      <c r="AE243" s="6"/>
      <c r="AF243" s="6"/>
      <c r="AG243" s="6"/>
    </row>
    <row r="244" spans="1:33" x14ac:dyDescent="0.3">
      <c r="A244" s="6"/>
      <c r="B244" s="72">
        <v>213</v>
      </c>
      <c r="C244" s="73">
        <v>0.95292246848556605</v>
      </c>
      <c r="D244" s="73">
        <v>0.61006048288717396</v>
      </c>
      <c r="E244" s="73">
        <v>0.25510693102738102</v>
      </c>
      <c r="F244" s="73">
        <v>0.62547815691393605</v>
      </c>
      <c r="G244" s="73">
        <v>0.320491161678016</v>
      </c>
      <c r="H244" s="15">
        <f t="shared" si="31"/>
        <v>1.6738755362391553</v>
      </c>
      <c r="I244" s="15">
        <f t="shared" si="32"/>
        <v>0.27947667706920737</v>
      </c>
      <c r="J244" s="15">
        <f t="shared" si="33"/>
        <v>-0.65850472471958732</v>
      </c>
      <c r="K244" s="15">
        <f t="shared" si="34"/>
        <v>0.31990059584229619</v>
      </c>
      <c r="L244" s="15">
        <f t="shared" si="35"/>
        <v>-0.4663257870505636</v>
      </c>
      <c r="M244" s="18">
        <f t="shared" si="36"/>
        <v>3.3477510724783104E-2</v>
      </c>
      <c r="N244" s="18">
        <f t="shared" si="37"/>
        <v>8.6317733618141695E-3</v>
      </c>
      <c r="O244" s="18">
        <f t="shared" si="38"/>
        <v>-7.9020566966350476E-3</v>
      </c>
      <c r="P244" s="18">
        <f t="shared" si="39"/>
        <v>1.9194035750537772E-3</v>
      </c>
      <c r="Q244" s="18">
        <f t="shared" si="40"/>
        <v>-1.8653031482022545E-3</v>
      </c>
      <c r="R244" s="28">
        <f>((Scenario_DT!I$11*(IF(Scenario_DT!I$18=1,1,1+$M244/Scenario_DT!$C$19)*(1+$N244)^MAX(0,Scenario_DT!I$18-3))*(Scenario_DT!I$12+$O244)-Scenario_DT!I$13)*(1-Scenario_DT!I$14)+Scenario_DT!I$13-Scenario_DT!I$15)*Scenario_DT!I$16</f>
        <v>899.84348798328949</v>
      </c>
      <c r="S244" s="28">
        <f>((Scenario_DT!J$11*(IF(Scenario_DT!J$18=1,1,1+$M244/Scenario_DT!$C$19)*(1+$N244)^MAX(0,Scenario_DT!J$18-3))*(Scenario_DT!J$12+$O244)-Scenario_DT!J$13)*(1-Scenario_DT!J$14)+Scenario_DT!J$13-Scenario_DT!J$15)*Scenario_DT!J$16</f>
        <v>1886.698215267153</v>
      </c>
      <c r="T244" s="28">
        <f>((Scenario_DT!K$11*(IF(Scenario_DT!K$18=1,1,1+$M244/Scenario_DT!$C$19)*(1+$N244)^MAX(0,Scenario_DT!K$18-3))*(Scenario_DT!K$12+$O244)-Scenario_DT!K$13)*(1-Scenario_DT!K$14)+Scenario_DT!K$13-Scenario_DT!K$15)*Scenario_DT!K$16</f>
        <v>2154.4115678849412</v>
      </c>
      <c r="U244" s="28">
        <f>((Scenario_DT!L$11*(IF(Scenario_DT!L$18=1,1,1+$M244/Scenario_DT!$C$19)*(1+$N244)^MAX(0,Scenario_DT!L$18-3))*(Scenario_DT!L$12+$O244)-Scenario_DT!L$13)*(1-Scenario_DT!L$14)+Scenario_DT!L$13-Scenario_DT!L$15)*Scenario_DT!L$16</f>
        <v>2581.2533005320784</v>
      </c>
      <c r="V244" s="28">
        <f>((Scenario_DT!M$11*(IF(Scenario_DT!M$18=1,1,1+$M244/Scenario_DT!$C$19)*(1+$N244)^MAX(0,Scenario_DT!M$18-3))*(Scenario_DT!M$12+$O244)-Scenario_DT!M$13)*(1-Scenario_DT!M$14)+Scenario_DT!M$13-Scenario_DT!M$15)*Scenario_DT!M$16</f>
        <v>2733.1423120636537</v>
      </c>
      <c r="W244" s="28">
        <f>((Scenario_DT!N$11*(IF(Scenario_DT!N$18=1,1,1+$M244/Scenario_DT!$C$19)*(1+$N244)^MAX(0,Scenario_DT!N$18-3))*(Scenario_DT!N$12+$O244)-Scenario_DT!N$13)*(1-Scenario_DT!N$14)+Scenario_DT!N$13-Scenario_DT!N$15)*Scenario_DT!N$16</f>
        <v>2893.9735289300875</v>
      </c>
      <c r="X244" s="28">
        <f>((Scenario_DT!O$11*(IF(Scenario_DT!O$18=1,1,1+$M244/Scenario_DT!$C$19)*(1+$N244)^MAX(0,Scenario_DT!O$18-3))*(Scenario_DT!O$12+$O244)-Scenario_DT!O$13)*(1-Scenario_DT!O$14)+Scenario_DT!O$13-Scenario_DT!O$15)*Scenario_DT!O$16</f>
        <v>3064.2764139211772</v>
      </c>
      <c r="Y244" s="28">
        <f>((Scenario_DT!P$11*(IF(Scenario_DT!P$18=1,1,1+$M244/Scenario_DT!$C$19)*(1+$N244)^MAX(0,Scenario_DT!P$18-3))*(Scenario_DT!P$12+$O244)-Scenario_DT!P$13)*(1-Scenario_DT!P$14)+Scenario_DT!P$13-Scenario_DT!P$15)*Scenario_DT!P$16</f>
        <v>3244.6117855190009</v>
      </c>
      <c r="Z244" s="28">
        <f>((Scenario_DT!Q$11*(IF(Scenario_DT!Q$18=1,1,1+$M244/Scenario_DT!$C$19)*(1+$N244)^MAX(0,Scenario_DT!Q$18-3))*(Scenario_DT!Q$12+$O244)-Scenario_DT!Q$13)*(1-Scenario_DT!Q$14)+Scenario_DT!Q$13-Scenario_DT!Q$15)*Scenario_DT!Q$16</f>
        <v>3435.573673844679</v>
      </c>
      <c r="AA244" s="28">
        <f>((Scenario_DT!R$11*(IF(Scenario_DT!R$18=1,1,1+$M244/Scenario_DT!$C$19)*(1+$N244)^MAX(0,Scenario_DT!R$18-3))*(Scenario_DT!R$12+$O244)-Scenario_DT!R$13)*(1-Scenario_DT!R$14)+Scenario_DT!R$13-Scenario_DT!R$15)*Scenario_DT!R$16</f>
        <v>3637.7912864019631</v>
      </c>
      <c r="AB244" s="17">
        <f>(Scenario_DT!$R$11*(1+$M244/Scenario_DT!$C$19)*(1+$N244)^7*(Scenario_DT!$R$12+$O244)*(1+MIN(DCF_FCFF!$C$26+$Q244,(DCF_FCFF!$C$25+$P244)-0.02))*(1-DCF_FCFF!$C$27)*(1-DCF_FCFF!$C$28)/((DCF_FCFF!$C$25+$P244)-MIN(DCF_FCFF!$C$26+$Q244,(DCF_FCFF!$C$25+$P244)-0.02)))*(1+(DCF_FCFF!$C$25+$P244))^(-(Inputs!$C$9+9))</f>
        <v>28000.648599099412</v>
      </c>
      <c r="AC244" s="17">
        <f>SUMPRODUCT(R244:AA244*(1+(DCF_FCFF!$C$25+$P244))^(-Scenario_DT!$I$17:$R$17))+AB244</f>
        <v>45108.551363633553</v>
      </c>
      <c r="AD244" s="68">
        <f>((AC244-DCF_FCFF!$C$48)*(1-DCF_FCFF!$C$50)+DCF_FCFF!$C$57+DCF_FCFF!$C$58)/DCF_FCFF!$C$60</f>
        <v>336.54211288095723</v>
      </c>
      <c r="AE244" s="6"/>
      <c r="AF244" s="6"/>
      <c r="AG244" s="6"/>
    </row>
    <row r="245" spans="1:33" x14ac:dyDescent="0.3">
      <c r="A245" s="6"/>
      <c r="B245" s="72">
        <v>214</v>
      </c>
      <c r="C245" s="73">
        <v>0.97612839069170798</v>
      </c>
      <c r="D245" s="73">
        <v>0.39967613516363698</v>
      </c>
      <c r="E245" s="73">
        <v>0.68542772076101399</v>
      </c>
      <c r="F245" s="73">
        <v>2.32275823467585E-2</v>
      </c>
      <c r="G245" s="73">
        <v>0.40006144613475503</v>
      </c>
      <c r="H245" s="15">
        <f t="shared" si="31"/>
        <v>1.9796469042095297</v>
      </c>
      <c r="I245" s="15">
        <f t="shared" si="32"/>
        <v>-0.25418547644910461</v>
      </c>
      <c r="J245" s="15">
        <f t="shared" si="33"/>
        <v>0.48293124114444302</v>
      </c>
      <c r="K245" s="15">
        <f t="shared" si="34"/>
        <v>-1.9912340261948915</v>
      </c>
      <c r="L245" s="15">
        <f t="shared" si="35"/>
        <v>-0.25318806059771137</v>
      </c>
      <c r="M245" s="18">
        <f t="shared" si="36"/>
        <v>3.9592938084190593E-2</v>
      </c>
      <c r="N245" s="18">
        <f t="shared" si="37"/>
        <v>6.1575389778143128E-3</v>
      </c>
      <c r="O245" s="18">
        <f t="shared" si="38"/>
        <v>5.7951748937333167E-3</v>
      </c>
      <c r="P245" s="18">
        <f t="shared" si="39"/>
        <v>-1.1947404157169349E-2</v>
      </c>
      <c r="Q245" s="18">
        <f t="shared" si="40"/>
        <v>-1.0127522423908455E-3</v>
      </c>
      <c r="R245" s="28">
        <f>((Scenario_DT!I$11*(IF(Scenario_DT!I$18=1,1,1+$M245/Scenario_DT!$C$19)*(1+$N245)^MAX(0,Scenario_DT!I$18-3))*(Scenario_DT!I$12+$O245)-Scenario_DT!I$13)*(1-Scenario_DT!I$14)+Scenario_DT!I$13-Scenario_DT!I$15)*Scenario_DT!I$16</f>
        <v>919.15511047835855</v>
      </c>
      <c r="S245" s="28">
        <f>((Scenario_DT!J$11*(IF(Scenario_DT!J$18=1,1,1+$M245/Scenario_DT!$C$19)*(1+$N245)^MAX(0,Scenario_DT!J$18-3))*(Scenario_DT!J$12+$O245)-Scenario_DT!J$13)*(1-Scenario_DT!J$14)+Scenario_DT!J$13-Scenario_DT!J$15)*Scenario_DT!J$16</f>
        <v>1945.5514927803806</v>
      </c>
      <c r="T245" s="28">
        <f>((Scenario_DT!K$11*(IF(Scenario_DT!K$18=1,1,1+$M245/Scenario_DT!$C$19)*(1+$N245)^MAX(0,Scenario_DT!K$18-3))*(Scenario_DT!K$12+$O245)-Scenario_DT!K$13)*(1-Scenario_DT!K$14)+Scenario_DT!K$13-Scenario_DT!K$15)*Scenario_DT!K$16</f>
        <v>2215.6107806287723</v>
      </c>
      <c r="U245" s="28">
        <f>((Scenario_DT!L$11*(IF(Scenario_DT!L$18=1,1,1+$M245/Scenario_DT!$C$19)*(1+$N245)^MAX(0,Scenario_DT!L$18-3))*(Scenario_DT!L$12+$O245)-Scenario_DT!L$13)*(1-Scenario_DT!L$14)+Scenario_DT!L$13-Scenario_DT!L$15)*Scenario_DT!L$16</f>
        <v>2640.2599704367722</v>
      </c>
      <c r="V245" s="28">
        <f>((Scenario_DT!M$11*(IF(Scenario_DT!M$18=1,1,1+$M245/Scenario_DT!$C$19)*(1+$N245)^MAX(0,Scenario_DT!M$18-3))*(Scenario_DT!M$12+$O245)-Scenario_DT!M$13)*(1-Scenario_DT!M$14)+Scenario_DT!M$13-Scenario_DT!M$15)*Scenario_DT!M$16</f>
        <v>2788.7310211463091</v>
      </c>
      <c r="W245" s="28">
        <f>((Scenario_DT!N$11*(IF(Scenario_DT!N$18=1,1,1+$M245/Scenario_DT!$C$19)*(1+$N245)^MAX(0,Scenario_DT!N$18-3))*(Scenario_DT!N$12+$O245)-Scenario_DT!N$13)*(1-Scenario_DT!N$14)+Scenario_DT!N$13-Scenario_DT!N$15)*Scenario_DT!N$16</f>
        <v>2945.5526149085676</v>
      </c>
      <c r="X245" s="28">
        <f>((Scenario_DT!O$11*(IF(Scenario_DT!O$18=1,1,1+$M245/Scenario_DT!$C$19)*(1+$N245)^MAX(0,Scenario_DT!O$18-3))*(Scenario_DT!O$12+$O245)-Scenario_DT!O$13)*(1-Scenario_DT!O$14)+Scenario_DT!O$13-Scenario_DT!O$15)*Scenario_DT!O$16</f>
        <v>3111.1972595197717</v>
      </c>
      <c r="Y245" s="28">
        <f>((Scenario_DT!P$11*(IF(Scenario_DT!P$18=1,1,1+$M245/Scenario_DT!$C$19)*(1+$N245)^MAX(0,Scenario_DT!P$18-3))*(Scenario_DT!P$12+$O245)-Scenario_DT!P$13)*(1-Scenario_DT!P$14)+Scenario_DT!P$13-Scenario_DT!P$15)*Scenario_DT!P$16</f>
        <v>3286.164211743398</v>
      </c>
      <c r="Z245" s="28">
        <f>((Scenario_DT!Q$11*(IF(Scenario_DT!Q$18=1,1,1+$M245/Scenario_DT!$C$19)*(1+$N245)^MAX(0,Scenario_DT!Q$18-3))*(Scenario_DT!Q$12+$O245)-Scenario_DT!Q$13)*(1-Scenario_DT!Q$14)+Scenario_DT!Q$13-Scenario_DT!Q$15)*Scenario_DT!Q$16</f>
        <v>3470.9809909946589</v>
      </c>
      <c r="AA245" s="28">
        <f>((Scenario_DT!R$11*(IF(Scenario_DT!R$18=1,1,1+$M245/Scenario_DT!$C$19)*(1+$N245)^MAX(0,Scenario_DT!R$18-3))*(Scenario_DT!R$12+$O245)-Scenario_DT!R$13)*(1-Scenario_DT!R$14)+Scenario_DT!R$13-Scenario_DT!R$15)*Scenario_DT!R$16</f>
        <v>3666.2049786442558</v>
      </c>
      <c r="AB245" s="17">
        <f>(Scenario_DT!$R$11*(1+$M245/Scenario_DT!$C$19)*(1+$N245)^7*(Scenario_DT!$R$12+$O245)*(1+MIN(DCF_FCFF!$C$26+$Q245,(DCF_FCFF!$C$25+$P245)-0.02))*(1-DCF_FCFF!$C$27)*(1-DCF_FCFF!$C$28)/((DCF_FCFF!$C$25+$P245)-MIN(DCF_FCFF!$C$26+$Q245,(DCF_FCFF!$C$25+$P245)-0.02)))*(1+(DCF_FCFF!$C$25+$P245))^(-(Inputs!$C$9+9))</f>
        <v>43762.088066225668</v>
      </c>
      <c r="AC245" s="17">
        <f>SUMPRODUCT(R245:AA245*(1+(DCF_FCFF!$C$25+$P245))^(-Scenario_DT!$I$17:$R$17))+AB245</f>
        <v>62267.148130152345</v>
      </c>
      <c r="AD245" s="68">
        <f>((AC245-DCF_FCFF!$C$48)*(1-DCF_FCFF!$C$50)+DCF_FCFF!$C$57+DCF_FCFF!$C$58)/DCF_FCFF!$C$60</f>
        <v>501.24351056288896</v>
      </c>
      <c r="AE245" s="6"/>
      <c r="AF245" s="6"/>
      <c r="AG245" s="6"/>
    </row>
    <row r="246" spans="1:33" x14ac:dyDescent="0.3">
      <c r="A246" s="6"/>
      <c r="B246" s="72">
        <v>215</v>
      </c>
      <c r="C246" s="73">
        <v>0.87510761332251197</v>
      </c>
      <c r="D246" s="73">
        <v>0.61022744443324595</v>
      </c>
      <c r="E246" s="73">
        <v>0.44394288639597601</v>
      </c>
      <c r="F246" s="73">
        <v>0.93593749943572602</v>
      </c>
      <c r="G246" s="73">
        <v>0.853984376147229</v>
      </c>
      <c r="H246" s="15">
        <f t="shared" si="31"/>
        <v>1.1508723041155258</v>
      </c>
      <c r="I246" s="15">
        <f t="shared" si="32"/>
        <v>0.27991188177494952</v>
      </c>
      <c r="J246" s="15">
        <f t="shared" si="33"/>
        <v>-0.14097996129439158</v>
      </c>
      <c r="K246" s="15">
        <f t="shared" si="34"/>
        <v>1.5215375282439612</v>
      </c>
      <c r="L246" s="15">
        <f t="shared" si="35"/>
        <v>1.0536760717532405</v>
      </c>
      <c r="M246" s="18">
        <f t="shared" si="36"/>
        <v>2.3017446082310516E-2</v>
      </c>
      <c r="N246" s="18">
        <f t="shared" si="37"/>
        <v>6.5427756199678052E-3</v>
      </c>
      <c r="O246" s="18">
        <f t="shared" si="38"/>
        <v>-1.6917595355326991E-3</v>
      </c>
      <c r="P246" s="18">
        <f t="shared" si="39"/>
        <v>9.1292251694637672E-3</v>
      </c>
      <c r="Q246" s="18">
        <f t="shared" si="40"/>
        <v>4.2147042870129625E-3</v>
      </c>
      <c r="R246" s="28">
        <f>((Scenario_DT!I$11*(IF(Scenario_DT!I$18=1,1,1+$M246/Scenario_DT!$C$19)*(1+$N246)^MAX(0,Scenario_DT!I$18-3))*(Scenario_DT!I$12+$O246)-Scenario_DT!I$13)*(1-Scenario_DT!I$14)+Scenario_DT!I$13-Scenario_DT!I$15)*Scenario_DT!I$16</f>
        <v>908.59933865034998</v>
      </c>
      <c r="S246" s="28">
        <f>((Scenario_DT!J$11*(IF(Scenario_DT!J$18=1,1,1+$M246/Scenario_DT!$C$19)*(1+$N246)^MAX(0,Scenario_DT!J$18-3))*(Scenario_DT!J$12+$O246)-Scenario_DT!J$13)*(1-Scenario_DT!J$14)+Scenario_DT!J$13-Scenario_DT!J$15)*Scenario_DT!J$16</f>
        <v>1881.6783684013144</v>
      </c>
      <c r="T246" s="28">
        <f>((Scenario_DT!K$11*(IF(Scenario_DT!K$18=1,1,1+$M246/Scenario_DT!$C$19)*(1+$N246)^MAX(0,Scenario_DT!K$18-3))*(Scenario_DT!K$12+$O246)-Scenario_DT!K$13)*(1-Scenario_DT!K$14)+Scenario_DT!K$13-Scenario_DT!K$15)*Scenario_DT!K$16</f>
        <v>2148.8536997763863</v>
      </c>
      <c r="U246" s="28">
        <f>((Scenario_DT!L$11*(IF(Scenario_DT!L$18=1,1,1+$M246/Scenario_DT!$C$19)*(1+$N246)^MAX(0,Scenario_DT!L$18-3))*(Scenario_DT!L$12+$O246)-Scenario_DT!L$13)*(1-Scenario_DT!L$14)+Scenario_DT!L$13-Scenario_DT!L$15)*Scenario_DT!L$16</f>
        <v>2569.9324375010247</v>
      </c>
      <c r="V246" s="28">
        <f>((Scenario_DT!M$11*(IF(Scenario_DT!M$18=1,1,1+$M246/Scenario_DT!$C$19)*(1+$N246)^MAX(0,Scenario_DT!M$18-3))*(Scenario_DT!M$12+$O246)-Scenario_DT!M$13)*(1-Scenario_DT!M$14)+Scenario_DT!M$13-Scenario_DT!M$15)*Scenario_DT!M$16</f>
        <v>2715.4787744251371</v>
      </c>
      <c r="W246" s="28">
        <f>((Scenario_DT!N$11*(IF(Scenario_DT!N$18=1,1,1+$M246/Scenario_DT!$C$19)*(1+$N246)^MAX(0,Scenario_DT!N$18-3))*(Scenario_DT!N$12+$O246)-Scenario_DT!N$13)*(1-Scenario_DT!N$14)+Scenario_DT!N$13-Scenario_DT!N$15)*Scenario_DT!N$16</f>
        <v>2869.2700156032301</v>
      </c>
      <c r="X246" s="28">
        <f>((Scenario_DT!O$11*(IF(Scenario_DT!O$18=1,1,1+$M246/Scenario_DT!$C$19)*(1+$N246)^MAX(0,Scenario_DT!O$18-3))*(Scenario_DT!O$12+$O246)-Scenario_DT!O$13)*(1-Scenario_DT!O$14)+Scenario_DT!O$13-Scenario_DT!O$15)*Scenario_DT!O$16</f>
        <v>3031.7760880156452</v>
      </c>
      <c r="Y246" s="28">
        <f>((Scenario_DT!P$11*(IF(Scenario_DT!P$18=1,1,1+$M246/Scenario_DT!$C$19)*(1+$N246)^MAX(0,Scenario_DT!P$18-3))*(Scenario_DT!P$12+$O246)-Scenario_DT!P$13)*(1-Scenario_DT!P$14)+Scenario_DT!P$13-Scenario_DT!P$15)*Scenario_DT!P$16</f>
        <v>3203.4937143379134</v>
      </c>
      <c r="Z246" s="28">
        <f>((Scenario_DT!Q$11*(IF(Scenario_DT!Q$18=1,1,1+$M246/Scenario_DT!$C$19)*(1+$N246)^MAX(0,Scenario_DT!Q$18-3))*(Scenario_DT!Q$12+$O246)-Scenario_DT!Q$13)*(1-Scenario_DT!Q$14)+Scenario_DT!Q$13-Scenario_DT!Q$15)*Scenario_DT!Q$16</f>
        <v>3384.9479402086322</v>
      </c>
      <c r="AA246" s="28">
        <f>((Scenario_DT!R$11*(IF(Scenario_DT!R$18=1,1,1+$M246/Scenario_DT!$C$19)*(1+$N246)^MAX(0,Scenario_DT!R$18-3))*(Scenario_DT!R$12+$O246)-Scenario_DT!R$13)*(1-Scenario_DT!R$14)+Scenario_DT!R$13-Scenario_DT!R$15)*Scenario_DT!R$16</f>
        <v>3576.693748506048</v>
      </c>
      <c r="AB246" s="17">
        <f>(Scenario_DT!$R$11*(1+$M246/Scenario_DT!$C$19)*(1+$N246)^7*(Scenario_DT!$R$12+$O246)*(1+MIN(DCF_FCFF!$C$26+$Q246,(DCF_FCFF!$C$25+$P246)-0.02))*(1-DCF_FCFF!$C$27)*(1-DCF_FCFF!$C$28)/((DCF_FCFF!$C$25+$P246)-MIN(DCF_FCFF!$C$26+$Q246,(DCF_FCFF!$C$25+$P246)-0.02)))*(1+(DCF_FCFF!$C$25+$P246))^(-(Inputs!$C$9+9))</f>
        <v>25490.702870566325</v>
      </c>
      <c r="AC246" s="17">
        <f>SUMPRODUCT(R246:AA246*(1+(DCF_FCFF!$C$25+$P246))^(-Scenario_DT!$I$17:$R$17))+AB246</f>
        <v>41959.075373851956</v>
      </c>
      <c r="AD246" s="68">
        <f>((AC246-DCF_FCFF!$C$48)*(1-DCF_FCFF!$C$50)+DCF_FCFF!$C$57+DCF_FCFF!$C$58)/DCF_FCFF!$C$60</f>
        <v>306.31102204403703</v>
      </c>
      <c r="AE246" s="6"/>
      <c r="AF246" s="6"/>
      <c r="AG246" s="6"/>
    </row>
    <row r="247" spans="1:33" x14ac:dyDescent="0.3">
      <c r="A247" s="6"/>
      <c r="B247" s="72">
        <v>216</v>
      </c>
      <c r="C247" s="73">
        <v>0.32221567382293798</v>
      </c>
      <c r="D247" s="73">
        <v>0.54454840204134003</v>
      </c>
      <c r="E247" s="73">
        <v>0.489824256092463</v>
      </c>
      <c r="F247" s="73">
        <v>0.63220250011486201</v>
      </c>
      <c r="G247" s="73">
        <v>0.33411126695875598</v>
      </c>
      <c r="H247" s="15">
        <f t="shared" si="31"/>
        <v>-0.46151195309925391</v>
      </c>
      <c r="I247" s="15">
        <f t="shared" si="32"/>
        <v>0.11189937027371087</v>
      </c>
      <c r="J247" s="15">
        <f t="shared" si="33"/>
        <v>-2.5509573800350578E-2</v>
      </c>
      <c r="K247" s="15">
        <f t="shared" si="34"/>
        <v>0.33769240374820686</v>
      </c>
      <c r="L247" s="15">
        <f t="shared" si="35"/>
        <v>-0.42858875016029746</v>
      </c>
      <c r="M247" s="18">
        <f t="shared" si="36"/>
        <v>-9.230239061985078E-3</v>
      </c>
      <c r="N247" s="18">
        <f t="shared" si="37"/>
        <v>-1.0707862338008968E-3</v>
      </c>
      <c r="O247" s="18">
        <f t="shared" si="38"/>
        <v>-3.0611488560420696E-4</v>
      </c>
      <c r="P247" s="18">
        <f t="shared" si="39"/>
        <v>2.0261544224892411E-3</v>
      </c>
      <c r="Q247" s="18">
        <f t="shared" si="40"/>
        <v>-1.7143550006411899E-3</v>
      </c>
      <c r="R247" s="28">
        <f>((Scenario_DT!I$11*(IF(Scenario_DT!I$18=1,1,1+$M247/Scenario_DT!$C$19)*(1+$N247)^MAX(0,Scenario_DT!I$18-3))*(Scenario_DT!I$12+$O247)-Scenario_DT!I$13)*(1-Scenario_DT!I$14)+Scenario_DT!I$13-Scenario_DT!I$15)*Scenario_DT!I$16</f>
        <v>910.55294848860012</v>
      </c>
      <c r="S247" s="28">
        <f>((Scenario_DT!J$11*(IF(Scenario_DT!J$18=1,1,1+$M247/Scenario_DT!$C$19)*(1+$N247)^MAX(0,Scenario_DT!J$18-3))*(Scenario_DT!J$12+$O247)-Scenario_DT!J$13)*(1-Scenario_DT!J$14)+Scenario_DT!J$13-Scenario_DT!J$15)*Scenario_DT!J$16</f>
        <v>1808.848749055629</v>
      </c>
      <c r="T247" s="28">
        <f>((Scenario_DT!K$11*(IF(Scenario_DT!K$18=1,1,1+$M247/Scenario_DT!$C$19)*(1+$N247)^MAX(0,Scenario_DT!K$18-3))*(Scenario_DT!K$12+$O247)-Scenario_DT!K$13)*(1-Scenario_DT!K$14)+Scenario_DT!K$13-Scenario_DT!K$15)*Scenario_DT!K$16</f>
        <v>2072.2818713578154</v>
      </c>
      <c r="U247" s="28">
        <f>((Scenario_DT!L$11*(IF(Scenario_DT!L$18=1,1,1+$M247/Scenario_DT!$C$19)*(1+$N247)^MAX(0,Scenario_DT!L$18-3))*(Scenario_DT!L$12+$O247)-Scenario_DT!L$13)*(1-Scenario_DT!L$14)+Scenario_DT!L$13-Scenario_DT!L$15)*Scenario_DT!L$16</f>
        <v>2469.1504901013509</v>
      </c>
      <c r="V247" s="28">
        <f>((Scenario_DT!M$11*(IF(Scenario_DT!M$18=1,1,1+$M247/Scenario_DT!$C$19)*(1+$N247)^MAX(0,Scenario_DT!M$18-3))*(Scenario_DT!M$12+$O247)-Scenario_DT!M$13)*(1-Scenario_DT!M$14)+Scenario_DT!M$13-Scenario_DT!M$15)*Scenario_DT!M$16</f>
        <v>2589.0914829869384</v>
      </c>
      <c r="W247" s="28">
        <f>((Scenario_DT!N$11*(IF(Scenario_DT!N$18=1,1,1+$M247/Scenario_DT!$C$19)*(1+$N247)^MAX(0,Scenario_DT!N$18-3))*(Scenario_DT!N$12+$O247)-Scenario_DT!N$13)*(1-Scenario_DT!N$14)+Scenario_DT!N$13-Scenario_DT!N$15)*Scenario_DT!N$16</f>
        <v>2714.8498569516914</v>
      </c>
      <c r="X247" s="28">
        <f>((Scenario_DT!O$11*(IF(Scenario_DT!O$18=1,1,1+$M247/Scenario_DT!$C$19)*(1+$N247)^MAX(0,Scenario_DT!O$18-3))*(Scenario_DT!O$12+$O247)-Scenario_DT!O$13)*(1-Scenario_DT!O$14)+Scenario_DT!O$13-Scenario_DT!O$15)*Scenario_DT!O$16</f>
        <v>2846.7100105812406</v>
      </c>
      <c r="Y247" s="28">
        <f>((Scenario_DT!P$11*(IF(Scenario_DT!P$18=1,1,1+$M247/Scenario_DT!$C$19)*(1+$N247)^MAX(0,Scenario_DT!P$18-3))*(Scenario_DT!P$12+$O247)-Scenario_DT!P$13)*(1-Scenario_DT!P$14)+Scenario_DT!P$13-Scenario_DT!P$15)*Scenario_DT!P$16</f>
        <v>2984.9702667822571</v>
      </c>
      <c r="Z247" s="28">
        <f>((Scenario_DT!Q$11*(IF(Scenario_DT!Q$18=1,1,1+$M247/Scenario_DT!$C$19)*(1+$N247)^MAX(0,Scenario_DT!Q$18-3))*(Scenario_DT!Q$12+$O247)-Scenario_DT!Q$13)*(1-Scenario_DT!Q$14)+Scenario_DT!Q$13-Scenario_DT!Q$15)*Scenario_DT!Q$16</f>
        <v>3129.9435546457539</v>
      </c>
      <c r="AA247" s="28">
        <f>((Scenario_DT!R$11*(IF(Scenario_DT!R$18=1,1,1+$M247/Scenario_DT!$C$19)*(1+$N247)^MAX(0,Scenario_DT!R$18-3))*(Scenario_DT!R$12+$O247)-Scenario_DT!R$13)*(1-Scenario_DT!R$14)+Scenario_DT!R$13-Scenario_DT!R$15)*Scenario_DT!R$16</f>
        <v>3281.9581246979742</v>
      </c>
      <c r="AB247" s="17">
        <f>(Scenario_DT!$R$11*(1+$M247/Scenario_DT!$C$19)*(1+$N247)^7*(Scenario_DT!$R$12+$O247)*(1+MIN(DCF_FCFF!$C$26+$Q247,(DCF_FCFF!$C$25+$P247)-0.02))*(1-DCF_FCFF!$C$27)*(1-DCF_FCFF!$C$28)/((DCF_FCFF!$C$25+$P247)-MIN(DCF_FCFF!$C$26+$Q247,(DCF_FCFF!$C$25+$P247)-0.02)))*(1+(DCF_FCFF!$C$25+$P247))^(-(Inputs!$C$9+9))</f>
        <v>25283.725716558369</v>
      </c>
      <c r="AC247" s="17">
        <f>SUMPRODUCT(R247:AA247*(1+(DCF_FCFF!$C$25+$P247))^(-Scenario_DT!$I$17:$R$17))+AB247</f>
        <v>41370.256695423552</v>
      </c>
      <c r="AD247" s="68">
        <f>((AC247-DCF_FCFF!$C$48)*(1-DCF_FCFF!$C$50)+DCF_FCFF!$C$57+DCF_FCFF!$C$58)/DCF_FCFF!$C$60</f>
        <v>300.65908787727466</v>
      </c>
      <c r="AE247" s="6"/>
      <c r="AF247" s="6"/>
      <c r="AG247" s="6"/>
    </row>
    <row r="248" spans="1:33" x14ac:dyDescent="0.3">
      <c r="A248" s="6"/>
      <c r="B248" s="72">
        <v>217</v>
      </c>
      <c r="C248" s="73">
        <v>0.244205000765888</v>
      </c>
      <c r="D248" s="73">
        <v>0.91267183525553597</v>
      </c>
      <c r="E248" s="73">
        <v>0.92387449949850597</v>
      </c>
      <c r="F248" s="73">
        <v>0.843322885761979</v>
      </c>
      <c r="G248" s="73">
        <v>0.97820443076456098</v>
      </c>
      <c r="H248" s="15">
        <f t="shared" si="31"/>
        <v>-0.69283994448148079</v>
      </c>
      <c r="I248" s="15">
        <f t="shared" si="32"/>
        <v>1.3573931314785417</v>
      </c>
      <c r="J248" s="15">
        <f t="shared" si="33"/>
        <v>1.4316255935315856</v>
      </c>
      <c r="K248" s="15">
        <f t="shared" si="34"/>
        <v>1.0082088118521433</v>
      </c>
      <c r="L248" s="15">
        <f t="shared" si="35"/>
        <v>2.018001179634056</v>
      </c>
      <c r="M248" s="18">
        <f t="shared" si="36"/>
        <v>-1.3856798889629617E-2</v>
      </c>
      <c r="N248" s="18">
        <f t="shared" si="37"/>
        <v>6.6329357003374985E-3</v>
      </c>
      <c r="O248" s="18">
        <f t="shared" si="38"/>
        <v>1.7179507122379027E-2</v>
      </c>
      <c r="P248" s="18">
        <f t="shared" si="39"/>
        <v>6.0492528711128596E-3</v>
      </c>
      <c r="Q248" s="18">
        <f t="shared" si="40"/>
        <v>8.0720047185362243E-3</v>
      </c>
      <c r="R248" s="28">
        <f>((Scenario_DT!I$11*(IF(Scenario_DT!I$18=1,1,1+$M248/Scenario_DT!$C$19)*(1+$N248)^MAX(0,Scenario_DT!I$18-3))*(Scenario_DT!I$12+$O248)-Scenario_DT!I$13)*(1-Scenario_DT!I$14)+Scenario_DT!I$13-Scenario_DT!I$15)*Scenario_DT!I$16</f>
        <v>935.20579377940271</v>
      </c>
      <c r="S248" s="28">
        <f>((Scenario_DT!J$11*(IF(Scenario_DT!J$18=1,1,1+$M248/Scenario_DT!$C$19)*(1+$N248)^MAX(0,Scenario_DT!J$18-3))*(Scenario_DT!J$12+$O248)-Scenario_DT!J$13)*(1-Scenario_DT!J$14)+Scenario_DT!J$13-Scenario_DT!J$15)*Scenario_DT!J$16</f>
        <v>1851.3070601300501</v>
      </c>
      <c r="T248" s="28">
        <f>((Scenario_DT!K$11*(IF(Scenario_DT!K$18=1,1,1+$M248/Scenario_DT!$C$19)*(1+$N248)^MAX(0,Scenario_DT!K$18-3))*(Scenario_DT!K$12+$O248)-Scenario_DT!K$13)*(1-Scenario_DT!K$14)+Scenario_DT!K$13-Scenario_DT!K$15)*Scenario_DT!K$16</f>
        <v>2116.1252795884793</v>
      </c>
      <c r="U248" s="28">
        <f>((Scenario_DT!L$11*(IF(Scenario_DT!L$18=1,1,1+$M248/Scenario_DT!$C$19)*(1+$N248)^MAX(0,Scenario_DT!L$18-3))*(Scenario_DT!L$12+$O248)-Scenario_DT!L$13)*(1-Scenario_DT!L$14)+Scenario_DT!L$13-Scenario_DT!L$15)*Scenario_DT!L$16</f>
        <v>2535.1833671350378</v>
      </c>
      <c r="V248" s="28">
        <f>((Scenario_DT!M$11*(IF(Scenario_DT!M$18=1,1,1+$M248/Scenario_DT!$C$19)*(1+$N248)^MAX(0,Scenario_DT!M$18-3))*(Scenario_DT!M$12+$O248)-Scenario_DT!M$13)*(1-Scenario_DT!M$14)+Scenario_DT!M$13-Scenario_DT!M$15)*Scenario_DT!M$16</f>
        <v>2678.9951258673691</v>
      </c>
      <c r="W248" s="28">
        <f>((Scenario_DT!N$11*(IF(Scenario_DT!N$18=1,1,1+$M248/Scenario_DT!$C$19)*(1+$N248)^MAX(0,Scenario_DT!N$18-3))*(Scenario_DT!N$12+$O248)-Scenario_DT!N$13)*(1-Scenario_DT!N$14)+Scenario_DT!N$13-Scenario_DT!N$15)*Scenario_DT!N$16</f>
        <v>2830.9669060961055</v>
      </c>
      <c r="X248" s="28">
        <f>((Scenario_DT!O$11*(IF(Scenario_DT!O$18=1,1,1+$M248/Scenario_DT!$C$19)*(1+$N248)^MAX(0,Scenario_DT!O$18-3))*(Scenario_DT!O$12+$O248)-Scenario_DT!O$13)*(1-Scenario_DT!O$14)+Scenario_DT!O$13-Scenario_DT!O$15)*Scenario_DT!O$16</f>
        <v>2991.5645915046725</v>
      </c>
      <c r="Y248" s="28">
        <f>((Scenario_DT!P$11*(IF(Scenario_DT!P$18=1,1,1+$M248/Scenario_DT!$C$19)*(1+$N248)^MAX(0,Scenario_DT!P$18-3))*(Scenario_DT!P$12+$O248)-Scenario_DT!P$13)*(1-Scenario_DT!P$14)+Scenario_DT!P$13-Scenario_DT!P$15)*Scenario_DT!P$16</f>
        <v>3161.2806761887264</v>
      </c>
      <c r="Z248" s="28">
        <f>((Scenario_DT!Q$11*(IF(Scenario_DT!Q$18=1,1,1+$M248/Scenario_DT!$C$19)*(1+$N248)^MAX(0,Scenario_DT!Q$18-3))*(Scenario_DT!Q$12+$O248)-Scenario_DT!Q$13)*(1-Scenario_DT!Q$14)+Scenario_DT!Q$13-Scenario_DT!Q$15)*Scenario_DT!Q$16</f>
        <v>3340.6357839309885</v>
      </c>
      <c r="AA248" s="28">
        <f>((Scenario_DT!R$11*(IF(Scenario_DT!R$18=1,1,1+$M248/Scenario_DT!$C$19)*(1+$N248)^MAX(0,Scenario_DT!R$18-3))*(Scenario_DT!R$12+$O248)-Scenario_DT!R$13)*(1-Scenario_DT!R$14)+Scenario_DT!R$13-Scenario_DT!R$15)*Scenario_DT!R$16</f>
        <v>3530.1802741751389</v>
      </c>
      <c r="AB248" s="17">
        <f>(Scenario_DT!$R$11*(1+$M248/Scenario_DT!$C$19)*(1+$N248)^7*(Scenario_DT!$R$12+$O248)*(1+MIN(DCF_FCFF!$C$26+$Q248,(DCF_FCFF!$C$25+$P248)-0.02))*(1-DCF_FCFF!$C$27)*(1-DCF_FCFF!$C$28)/((DCF_FCFF!$C$25+$P248)-MIN(DCF_FCFF!$C$26+$Q248,(DCF_FCFF!$C$25+$P248)-0.02)))*(1+(DCF_FCFF!$C$25+$P248))^(-(Inputs!$C$9+9))</f>
        <v>29653.920152476381</v>
      </c>
      <c r="AC248" s="17">
        <f>SUMPRODUCT(R248:AA248*(1+(DCF_FCFF!$C$25+$P248))^(-Scenario_DT!$I$17:$R$17))+AB248</f>
        <v>46144.163823185852</v>
      </c>
      <c r="AD248" s="68">
        <f>((AC248-DCF_FCFF!$C$48)*(1-DCF_FCFF!$C$50)+DCF_FCFF!$C$57+DCF_FCFF!$C$58)/DCF_FCFF!$C$60</f>
        <v>346.48271710786639</v>
      </c>
      <c r="AE248" s="6"/>
      <c r="AF248" s="6"/>
      <c r="AG248" s="6"/>
    </row>
    <row r="249" spans="1:33" x14ac:dyDescent="0.3">
      <c r="A249" s="6"/>
      <c r="B249" s="72">
        <v>218</v>
      </c>
      <c r="C249" s="73">
        <v>0.74499152577968897</v>
      </c>
      <c r="D249" s="73">
        <v>0.76466722856199998</v>
      </c>
      <c r="E249" s="73">
        <v>0.76259009196264105</v>
      </c>
      <c r="F249" s="73">
        <v>0.48060763094230702</v>
      </c>
      <c r="G249" s="73">
        <v>0.45645219451427199</v>
      </c>
      <c r="H249" s="15">
        <f t="shared" si="31"/>
        <v>0.65881130255429698</v>
      </c>
      <c r="I249" s="15">
        <f t="shared" si="32"/>
        <v>0.72139659188456506</v>
      </c>
      <c r="J249" s="15">
        <f t="shared" si="33"/>
        <v>0.714658938541055</v>
      </c>
      <c r="K249" s="15">
        <f t="shared" si="34"/>
        <v>-4.8628619490669087E-2</v>
      </c>
      <c r="L249" s="15">
        <f t="shared" si="35"/>
        <v>-0.10937584835313352</v>
      </c>
      <c r="M249" s="18">
        <f t="shared" si="36"/>
        <v>1.317622605108594E-2</v>
      </c>
      <c r="N249" s="18">
        <f t="shared" si="37"/>
        <v>7.6332274084215746E-3</v>
      </c>
      <c r="O249" s="18">
        <f t="shared" si="38"/>
        <v>8.5759072624926602E-3</v>
      </c>
      <c r="P249" s="18">
        <f t="shared" si="39"/>
        <v>-2.9177171694401454E-4</v>
      </c>
      <c r="Q249" s="18">
        <f t="shared" si="40"/>
        <v>-4.3750339341253411E-4</v>
      </c>
      <c r="R249" s="28">
        <f>((Scenario_DT!I$11*(IF(Scenario_DT!I$18=1,1,1+$M249/Scenario_DT!$C$19)*(1+$N249)^MAX(0,Scenario_DT!I$18-3))*(Scenario_DT!I$12+$O249)-Scenario_DT!I$13)*(1-Scenario_DT!I$14)+Scenario_DT!I$13-Scenario_DT!I$15)*Scenario_DT!I$16</f>
        <v>923.07564386578156</v>
      </c>
      <c r="S249" s="28">
        <f>((Scenario_DT!J$11*(IF(Scenario_DT!J$18=1,1,1+$M249/Scenario_DT!$C$19)*(1+$N249)^MAX(0,Scenario_DT!J$18-3))*(Scenario_DT!J$12+$O249)-Scenario_DT!J$13)*(1-Scenario_DT!J$14)+Scenario_DT!J$13-Scenario_DT!J$15)*Scenario_DT!J$16</f>
        <v>1890.5072715648848</v>
      </c>
      <c r="T249" s="28">
        <f>((Scenario_DT!K$11*(IF(Scenario_DT!K$18=1,1,1+$M249/Scenario_DT!$C$19)*(1+$N249)^MAX(0,Scenario_DT!K$18-3))*(Scenario_DT!K$12+$O249)-Scenario_DT!K$13)*(1-Scenario_DT!K$14)+Scenario_DT!K$13-Scenario_DT!K$15)*Scenario_DT!K$16</f>
        <v>2157.6687156098269</v>
      </c>
      <c r="U249" s="28">
        <f>((Scenario_DT!L$11*(IF(Scenario_DT!L$18=1,1,1+$M249/Scenario_DT!$C$19)*(1+$N249)^MAX(0,Scenario_DT!L$18-3))*(Scenario_DT!L$12+$O249)-Scenario_DT!L$13)*(1-Scenario_DT!L$14)+Scenario_DT!L$13-Scenario_DT!L$15)*Scenario_DT!L$16</f>
        <v>2582.1659154633444</v>
      </c>
      <c r="V249" s="28">
        <f>((Scenario_DT!M$11*(IF(Scenario_DT!M$18=1,1,1+$M249/Scenario_DT!$C$19)*(1+$N249)^MAX(0,Scenario_DT!M$18-3))*(Scenario_DT!M$12+$O249)-Scenario_DT!M$13)*(1-Scenario_DT!M$14)+Scenario_DT!M$13-Scenario_DT!M$15)*Scenario_DT!M$16</f>
        <v>2731.3838043491696</v>
      </c>
      <c r="W249" s="28">
        <f>((Scenario_DT!N$11*(IF(Scenario_DT!N$18=1,1,1+$M249/Scenario_DT!$C$19)*(1+$N249)^MAX(0,Scenario_DT!N$18-3))*(Scenario_DT!N$12+$O249)-Scenario_DT!N$13)*(1-Scenario_DT!N$14)+Scenario_DT!N$13-Scenario_DT!N$15)*Scenario_DT!N$16</f>
        <v>2889.2280410781036</v>
      </c>
      <c r="X249" s="28">
        <f>((Scenario_DT!O$11*(IF(Scenario_DT!O$18=1,1,1+$M249/Scenario_DT!$C$19)*(1+$N249)^MAX(0,Scenario_DT!O$18-3))*(Scenario_DT!O$12+$O249)-Scenario_DT!O$13)*(1-Scenario_DT!O$14)+Scenario_DT!O$13-Scenario_DT!O$15)*Scenario_DT!O$16</f>
        <v>3056.2002611443054</v>
      </c>
      <c r="Y249" s="28">
        <f>((Scenario_DT!P$11*(IF(Scenario_DT!P$18=1,1,1+$M249/Scenario_DT!$C$19)*(1+$N249)^MAX(0,Scenario_DT!P$18-3))*(Scenario_DT!P$12+$O249)-Scenario_DT!P$13)*(1-Scenario_DT!P$14)+Scenario_DT!P$13-Scenario_DT!P$15)*Scenario_DT!P$16</f>
        <v>3232.8312800659846</v>
      </c>
      <c r="Z249" s="28">
        <f>((Scenario_DT!Q$11*(IF(Scenario_DT!Q$18=1,1,1+$M249/Scenario_DT!$C$19)*(1+$N249)^MAX(0,Scenario_DT!Q$18-3))*(Scenario_DT!Q$12+$O249)-Scenario_DT!Q$13)*(1-Scenario_DT!Q$14)+Scenario_DT!Q$13-Scenario_DT!Q$15)*Scenario_DT!Q$16</f>
        <v>3419.6827899604809</v>
      </c>
      <c r="AA249" s="28">
        <f>((Scenario_DT!R$11*(IF(Scenario_DT!R$18=1,1,1+$M249/Scenario_DT!$C$19)*(1+$N249)^MAX(0,Scenario_DT!R$18-3))*(Scenario_DT!R$12+$O249)-Scenario_DT!R$13)*(1-Scenario_DT!R$14)+Scenario_DT!R$13-Scenario_DT!R$15)*Scenario_DT!R$16</f>
        <v>3617.3491547122449</v>
      </c>
      <c r="AB249" s="17">
        <f>(Scenario_DT!$R$11*(1+$M249/Scenario_DT!$C$19)*(1+$N249)^7*(Scenario_DT!$R$12+$O249)*(1+MIN(DCF_FCFF!$C$26+$Q249,(DCF_FCFF!$C$25+$P249)-0.02))*(1-DCF_FCFF!$C$27)*(1-DCF_FCFF!$C$28)/((DCF_FCFF!$C$25+$P249)-MIN(DCF_FCFF!$C$26+$Q249,(DCF_FCFF!$C$25+$P249)-0.02)))*(1+(DCF_FCFF!$C$25+$P249))^(-(Inputs!$C$9+9))</f>
        <v>30469.491139709462</v>
      </c>
      <c r="AC249" s="17">
        <f>SUMPRODUCT(R249:AA249*(1+(DCF_FCFF!$C$25+$P249))^(-Scenario_DT!$I$17:$R$17))+AB249</f>
        <v>47736.442288049715</v>
      </c>
      <c r="AD249" s="68">
        <f>((AC249-DCF_FCFF!$C$48)*(1-DCF_FCFF!$C$50)+DCF_FCFF!$C$57+DCF_FCFF!$C$58)/DCF_FCFF!$C$60</f>
        <v>361.76662943650405</v>
      </c>
      <c r="AE249" s="6"/>
      <c r="AF249" s="6"/>
      <c r="AG249" s="6"/>
    </row>
    <row r="250" spans="1:33" x14ac:dyDescent="0.3">
      <c r="A250" s="6"/>
      <c r="B250" s="72">
        <v>219</v>
      </c>
      <c r="C250" s="73">
        <v>0.24022627614900299</v>
      </c>
      <c r="D250" s="73">
        <v>0.64481919435929103</v>
      </c>
      <c r="E250" s="73">
        <v>0.28932013610233498</v>
      </c>
      <c r="F250" s="73">
        <v>0.25780840970235402</v>
      </c>
      <c r="G250" s="73">
        <v>0.58596137409605498</v>
      </c>
      <c r="H250" s="15">
        <f t="shared" si="31"/>
        <v>-0.70557487698741161</v>
      </c>
      <c r="I250" s="15">
        <f t="shared" si="32"/>
        <v>0.3713704776507708</v>
      </c>
      <c r="J250" s="15">
        <f t="shared" si="33"/>
        <v>-0.55537195344383339</v>
      </c>
      <c r="K250" s="15">
        <f t="shared" si="34"/>
        <v>-0.6501167361008976</v>
      </c>
      <c r="L250" s="15">
        <f t="shared" si="35"/>
        <v>0.21716821822695118</v>
      </c>
      <c r="M250" s="18">
        <f t="shared" si="36"/>
        <v>-1.4111497539748233E-2</v>
      </c>
      <c r="N250" s="18">
        <f t="shared" si="37"/>
        <v>-2.4936936506061747E-4</v>
      </c>
      <c r="O250" s="18">
        <f t="shared" si="38"/>
        <v>-6.6644634413260007E-3</v>
      </c>
      <c r="P250" s="18">
        <f t="shared" si="39"/>
        <v>-3.9007004166053856E-3</v>
      </c>
      <c r="Q250" s="18">
        <f t="shared" si="40"/>
        <v>8.6867287290780476E-4</v>
      </c>
      <c r="R250" s="28">
        <f>((Scenario_DT!I$11*(IF(Scenario_DT!I$18=1,1,1+$M250/Scenario_DT!$C$19)*(1+$N250)^MAX(0,Scenario_DT!I$18-3))*(Scenario_DT!I$12+$O250)-Scenario_DT!I$13)*(1-Scenario_DT!I$14)+Scenario_DT!I$13-Scenario_DT!I$15)*Scenario_DT!I$16</f>
        <v>901.58836128789062</v>
      </c>
      <c r="S250" s="28">
        <f>((Scenario_DT!J$11*(IF(Scenario_DT!J$18=1,1,1+$M250/Scenario_DT!$C$19)*(1+$N250)^MAX(0,Scenario_DT!J$18-3))*(Scenario_DT!J$12+$O250)-Scenario_DT!J$13)*(1-Scenario_DT!J$14)+Scenario_DT!J$13-Scenario_DT!J$15)*Scenario_DT!J$16</f>
        <v>1777.6933442631048</v>
      </c>
      <c r="T250" s="28">
        <f>((Scenario_DT!K$11*(IF(Scenario_DT!K$18=1,1,1+$M250/Scenario_DT!$C$19)*(1+$N250)^MAX(0,Scenario_DT!K$18-3))*(Scenario_DT!K$12+$O250)-Scenario_DT!K$13)*(1-Scenario_DT!K$14)+Scenario_DT!K$13-Scenario_DT!K$15)*Scenario_DT!K$16</f>
        <v>2039.8286929994574</v>
      </c>
      <c r="U250" s="28">
        <f>((Scenario_DT!L$11*(IF(Scenario_DT!L$18=1,1,1+$M250/Scenario_DT!$C$19)*(1+$N250)^MAX(0,Scenario_DT!L$18-3))*(Scenario_DT!L$12+$O250)-Scenario_DT!L$13)*(1-Scenario_DT!L$14)+Scenario_DT!L$13-Scenario_DT!L$15)*Scenario_DT!L$16</f>
        <v>2436.7452957774631</v>
      </c>
      <c r="V250" s="28">
        <f>((Scenario_DT!M$11*(IF(Scenario_DT!M$18=1,1,1+$M250/Scenario_DT!$C$19)*(1+$N250)^MAX(0,Scenario_DT!M$18-3))*(Scenario_DT!M$12+$O250)-Scenario_DT!M$13)*(1-Scenario_DT!M$14)+Scenario_DT!M$13-Scenario_DT!M$15)*Scenario_DT!M$16</f>
        <v>2557.2186801860794</v>
      </c>
      <c r="W250" s="28">
        <f>((Scenario_DT!N$11*(IF(Scenario_DT!N$18=1,1,1+$M250/Scenario_DT!$C$19)*(1+$N250)^MAX(0,Scenario_DT!N$18-3))*(Scenario_DT!N$12+$O250)-Scenario_DT!N$13)*(1-Scenario_DT!N$14)+Scenario_DT!N$13-Scenario_DT!N$15)*Scenario_DT!N$16</f>
        <v>2683.6407234254539</v>
      </c>
      <c r="X250" s="28">
        <f>((Scenario_DT!O$11*(IF(Scenario_DT!O$18=1,1,1+$M250/Scenario_DT!$C$19)*(1+$N250)^MAX(0,Scenario_DT!O$18-3))*(Scenario_DT!O$12+$O250)-Scenario_DT!O$13)*(1-Scenario_DT!O$14)+Scenario_DT!O$13-Scenario_DT!O$15)*Scenario_DT!O$16</f>
        <v>2816.3074756475098</v>
      </c>
      <c r="Y250" s="28">
        <f>((Scenario_DT!P$11*(IF(Scenario_DT!P$18=1,1,1+$M250/Scenario_DT!$C$19)*(1+$N250)^MAX(0,Scenario_DT!P$18-3))*(Scenario_DT!P$12+$O250)-Scenario_DT!P$13)*(1-Scenario_DT!P$14)+Scenario_DT!P$13-Scenario_DT!P$15)*Scenario_DT!P$16</f>
        <v>2955.5297411964561</v>
      </c>
      <c r="Z250" s="28">
        <f>((Scenario_DT!Q$11*(IF(Scenario_DT!Q$18=1,1,1+$M250/Scenario_DT!$C$19)*(1+$N250)^MAX(0,Scenario_DT!Q$18-3))*(Scenario_DT!Q$12+$O250)-Scenario_DT!Q$13)*(1-Scenario_DT!Q$14)+Scenario_DT!Q$13-Scenario_DT!Q$15)*Scenario_DT!Q$16</f>
        <v>3101.6338139840855</v>
      </c>
      <c r="AA250" s="28">
        <f>((Scenario_DT!R$11*(IF(Scenario_DT!R$18=1,1,1+$M250/Scenario_DT!$C$19)*(1+$N250)^MAX(0,Scenario_DT!R$18-3))*(Scenario_DT!R$12+$O250)-Scenario_DT!R$13)*(1-Scenario_DT!R$14)+Scenario_DT!R$13-Scenario_DT!R$15)*Scenario_DT!R$16</f>
        <v>3254.9622495122694</v>
      </c>
      <c r="AB250" s="17">
        <f>(Scenario_DT!$R$11*(1+$M250/Scenario_DT!$C$19)*(1+$N250)^7*(Scenario_DT!$R$12+$O250)*(1+MIN(DCF_FCFF!$C$26+$Q250,(DCF_FCFF!$C$25+$P250)-0.02))*(1-DCF_FCFF!$C$27)*(1-DCF_FCFF!$C$28)/((DCF_FCFF!$C$25+$P250)-MIN(DCF_FCFF!$C$26+$Q250,(DCF_FCFF!$C$25+$P250)-0.02)))*(1+(DCF_FCFF!$C$25+$P250))^(-(Inputs!$C$9+9))</f>
        <v>31405.851517845938</v>
      </c>
      <c r="AC250" s="17">
        <f>SUMPRODUCT(R250:AA250*(1+(DCF_FCFF!$C$25+$P250))^(-Scenario_DT!$I$17:$R$17))+AB250</f>
        <v>47703.891905326847</v>
      </c>
      <c r="AD250" s="68">
        <f>((AC250-DCF_FCFF!$C$48)*(1-DCF_FCFF!$C$50)+DCF_FCFF!$C$57+DCF_FCFF!$C$58)/DCF_FCFF!$C$60</f>
        <v>361.45418584904246</v>
      </c>
      <c r="AE250" s="6"/>
      <c r="AF250" s="6"/>
      <c r="AG250" s="6"/>
    </row>
    <row r="251" spans="1:33" x14ac:dyDescent="0.3">
      <c r="A251" s="6"/>
      <c r="B251" s="72">
        <v>220</v>
      </c>
      <c r="C251" s="73">
        <v>0.40998238822504302</v>
      </c>
      <c r="D251" s="73">
        <v>0.21885660879463201</v>
      </c>
      <c r="E251" s="73">
        <v>0.81605601675283101</v>
      </c>
      <c r="F251" s="73">
        <v>0.86056991929437598</v>
      </c>
      <c r="G251" s="73">
        <v>0.16769951967778099</v>
      </c>
      <c r="H251" s="15">
        <f t="shared" si="31"/>
        <v>-0.22759028084172378</v>
      </c>
      <c r="I251" s="15">
        <f t="shared" si="32"/>
        <v>-0.77606057996566025</v>
      </c>
      <c r="J251" s="15">
        <f t="shared" si="33"/>
        <v>0.90043657031611257</v>
      </c>
      <c r="K251" s="15">
        <f t="shared" si="34"/>
        <v>1.0828834439324282</v>
      </c>
      <c r="L251" s="15">
        <f t="shared" si="35"/>
        <v>-0.96329592172336431</v>
      </c>
      <c r="M251" s="18">
        <f t="shared" si="36"/>
        <v>-4.5518056168344758E-3</v>
      </c>
      <c r="N251" s="18">
        <f t="shared" si="37"/>
        <v>-6.2870665403744674E-3</v>
      </c>
      <c r="O251" s="18">
        <f t="shared" si="38"/>
        <v>1.0805238843793351E-2</v>
      </c>
      <c r="P251" s="18">
        <f t="shared" si="39"/>
        <v>6.4973006635945692E-3</v>
      </c>
      <c r="Q251" s="18">
        <f t="shared" si="40"/>
        <v>-3.8531836868934575E-3</v>
      </c>
      <c r="R251" s="28">
        <f>((Scenario_DT!I$11*(IF(Scenario_DT!I$18=1,1,1+$M251/Scenario_DT!$C$19)*(1+$N251)^MAX(0,Scenario_DT!I$18-3))*(Scenario_DT!I$12+$O251)-Scenario_DT!I$13)*(1-Scenario_DT!I$14)+Scenario_DT!I$13-Scenario_DT!I$15)*Scenario_DT!I$16</f>
        <v>926.21876148267927</v>
      </c>
      <c r="S251" s="28">
        <f>((Scenario_DT!J$11*(IF(Scenario_DT!J$18=1,1,1+$M251/Scenario_DT!$C$19)*(1+$N251)^MAX(0,Scenario_DT!J$18-3))*(Scenario_DT!J$12+$O251)-Scenario_DT!J$13)*(1-Scenario_DT!J$14)+Scenario_DT!J$13-Scenario_DT!J$15)*Scenario_DT!J$16</f>
        <v>1854.4186985590459</v>
      </c>
      <c r="T251" s="28">
        <f>((Scenario_DT!K$11*(IF(Scenario_DT!K$18=1,1,1+$M251/Scenario_DT!$C$19)*(1+$N251)^MAX(0,Scenario_DT!K$18-3))*(Scenario_DT!K$12+$O251)-Scenario_DT!K$13)*(1-Scenario_DT!K$14)+Scenario_DT!K$13-Scenario_DT!K$15)*Scenario_DT!K$16</f>
        <v>2119.6663439703539</v>
      </c>
      <c r="U251" s="28">
        <f>((Scenario_DT!L$11*(IF(Scenario_DT!L$18=1,1,1+$M251/Scenario_DT!$C$19)*(1+$N251)^MAX(0,Scenario_DT!L$18-3))*(Scenario_DT!L$12+$O251)-Scenario_DT!L$13)*(1-Scenario_DT!L$14)+Scenario_DT!L$13-Scenario_DT!L$15)*Scenario_DT!L$16</f>
        <v>2506.1642154655433</v>
      </c>
      <c r="V251" s="28">
        <f>((Scenario_DT!M$11*(IF(Scenario_DT!M$18=1,1,1+$M251/Scenario_DT!$C$19)*(1+$N251)^MAX(0,Scenario_DT!M$18-3))*(Scenario_DT!M$12+$O251)-Scenario_DT!M$13)*(1-Scenario_DT!M$14)+Scenario_DT!M$13-Scenario_DT!M$15)*Scenario_DT!M$16</f>
        <v>2614.0953560419757</v>
      </c>
      <c r="W251" s="28">
        <f>((Scenario_DT!N$11*(IF(Scenario_DT!N$18=1,1,1+$M251/Scenario_DT!$C$19)*(1+$N251)^MAX(0,Scenario_DT!N$18-3))*(Scenario_DT!N$12+$O251)-Scenario_DT!N$13)*(1-Scenario_DT!N$14)+Scenario_DT!N$13-Scenario_DT!N$15)*Scenario_DT!N$16</f>
        <v>2726.6571664243461</v>
      </c>
      <c r="X251" s="28">
        <f>((Scenario_DT!O$11*(IF(Scenario_DT!O$18=1,1,1+$M251/Scenario_DT!$C$19)*(1+$N251)^MAX(0,Scenario_DT!O$18-3))*(Scenario_DT!O$12+$O251)-Scenario_DT!O$13)*(1-Scenario_DT!O$14)+Scenario_DT!O$13-Scenario_DT!O$15)*Scenario_DT!O$16</f>
        <v>2844.0500168167046</v>
      </c>
      <c r="Y251" s="28">
        <f>((Scenario_DT!P$11*(IF(Scenario_DT!P$18=1,1,1+$M251/Scenario_DT!$C$19)*(1+$N251)^MAX(0,Scenario_DT!P$18-3))*(Scenario_DT!P$12+$O251)-Scenario_DT!P$13)*(1-Scenario_DT!P$14)+Scenario_DT!P$13-Scenario_DT!P$15)*Scenario_DT!P$16</f>
        <v>2966.4829652625381</v>
      </c>
      <c r="Z251" s="28">
        <f>((Scenario_DT!Q$11*(IF(Scenario_DT!Q$18=1,1,1+$M251/Scenario_DT!$C$19)*(1+$N251)^MAX(0,Scenario_DT!Q$18-3))*(Scenario_DT!Q$12+$O251)-Scenario_DT!Q$13)*(1-Scenario_DT!Q$14)+Scenario_DT!Q$13-Scenario_DT!Q$15)*Scenario_DT!Q$16</f>
        <v>3094.1741345511609</v>
      </c>
      <c r="AA251" s="28">
        <f>((Scenario_DT!R$11*(IF(Scenario_DT!R$18=1,1,1+$M251/Scenario_DT!$C$19)*(1+$N251)^MAX(0,Scenario_DT!R$18-3))*(Scenario_DT!R$12+$O251)-Scenario_DT!R$13)*(1-Scenario_DT!R$14)+Scenario_DT!R$13-Scenario_DT!R$15)*Scenario_DT!R$16</f>
        <v>3227.3511054793112</v>
      </c>
      <c r="AB251" s="17">
        <f>(Scenario_DT!$R$11*(1+$M251/Scenario_DT!$C$19)*(1+$N251)^7*(Scenario_DT!$R$12+$O251)*(1+MIN(DCF_FCFF!$C$26+$Q251,(DCF_FCFF!$C$25+$P251)-0.02))*(1-DCF_FCFF!$C$27)*(1-DCF_FCFF!$C$28)/((DCF_FCFF!$C$25+$P251)-MIN(DCF_FCFF!$C$26+$Q251,(DCF_FCFF!$C$25+$P251)-0.02)))*(1+(DCF_FCFF!$C$25+$P251))^(-(Inputs!$C$9+9))</f>
        <v>21276.043175051662</v>
      </c>
      <c r="AC251" s="17">
        <f>SUMPRODUCT(R251:AA251*(1+(DCF_FCFF!$C$25+$P251))^(-Scenario_DT!$I$17:$R$17))+AB251</f>
        <v>37162.29423756653</v>
      </c>
      <c r="AD251" s="68">
        <f>((AC251-DCF_FCFF!$C$48)*(1-DCF_FCFF!$C$50)+DCF_FCFF!$C$57+DCF_FCFF!$C$58)/DCF_FCFF!$C$60</f>
        <v>260.26783050158434</v>
      </c>
      <c r="AE251" s="6"/>
      <c r="AF251" s="6"/>
      <c r="AG251" s="6"/>
    </row>
    <row r="252" spans="1:33" x14ac:dyDescent="0.3">
      <c r="A252" s="6"/>
      <c r="B252" s="72">
        <v>221</v>
      </c>
      <c r="C252" s="73">
        <v>7.5070327999998696E-3</v>
      </c>
      <c r="D252" s="73">
        <v>0.33612996852937399</v>
      </c>
      <c r="E252" s="73">
        <v>0.79751083568075298</v>
      </c>
      <c r="F252" s="73">
        <v>0.839173866234324</v>
      </c>
      <c r="G252" s="73">
        <v>0.138329070116049</v>
      </c>
      <c r="H252" s="15">
        <f t="shared" si="31"/>
        <v>-2.4320396025142794</v>
      </c>
      <c r="I252" s="15">
        <f t="shared" si="32"/>
        <v>-0.42304841592059272</v>
      </c>
      <c r="J252" s="15">
        <f t="shared" si="33"/>
        <v>0.83276313682105618</v>
      </c>
      <c r="K252" s="15">
        <f t="shared" si="34"/>
        <v>0.99106822461752919</v>
      </c>
      <c r="L252" s="15">
        <f t="shared" si="35"/>
        <v>-1.0878572293785913</v>
      </c>
      <c r="M252" s="18">
        <f t="shared" si="36"/>
        <v>-4.864079205028559E-2</v>
      </c>
      <c r="N252" s="18">
        <f t="shared" si="37"/>
        <v>-1.2659123811801105E-2</v>
      </c>
      <c r="O252" s="18">
        <f t="shared" si="38"/>
        <v>9.9931576418526742E-3</v>
      </c>
      <c r="P252" s="18">
        <f t="shared" si="39"/>
        <v>5.9464093477051751E-3</v>
      </c>
      <c r="Q252" s="18">
        <f t="shared" si="40"/>
        <v>-4.3514289175143649E-3</v>
      </c>
      <c r="R252" s="28">
        <f>((Scenario_DT!I$11*(IF(Scenario_DT!I$18=1,1,1+$M252/Scenario_DT!$C$19)*(1+$N252)^MAX(0,Scenario_DT!I$18-3))*(Scenario_DT!I$12+$O252)-Scenario_DT!I$13)*(1-Scenario_DT!I$14)+Scenario_DT!I$13-Scenario_DT!I$15)*Scenario_DT!I$16</f>
        <v>925.07381438123377</v>
      </c>
      <c r="S252" s="28">
        <f>((Scenario_DT!J$11*(IF(Scenario_DT!J$18=1,1,1+$M252/Scenario_DT!$C$19)*(1+$N252)^MAX(0,Scenario_DT!J$18-3))*(Scenario_DT!J$12+$O252)-Scenario_DT!J$13)*(1-Scenario_DT!J$14)+Scenario_DT!J$13-Scenario_DT!J$15)*Scenario_DT!J$16</f>
        <v>1744.8030716218254</v>
      </c>
      <c r="T252" s="28">
        <f>((Scenario_DT!K$11*(IF(Scenario_DT!K$18=1,1,1+$M252/Scenario_DT!$C$19)*(1+$N252)^MAX(0,Scenario_DT!K$18-3))*(Scenario_DT!K$12+$O252)-Scenario_DT!K$13)*(1-Scenario_DT!K$14)+Scenario_DT!K$13-Scenario_DT!K$15)*Scenario_DT!K$16</f>
        <v>2004.5695332809219</v>
      </c>
      <c r="U252" s="28">
        <f>((Scenario_DT!L$11*(IF(Scenario_DT!L$18=1,1,1+$M252/Scenario_DT!$C$19)*(1+$N252)^MAX(0,Scenario_DT!L$18-3))*(Scenario_DT!L$12+$O252)-Scenario_DT!L$13)*(1-Scenario_DT!L$14)+Scenario_DT!L$13-Scenario_DT!L$15)*Scenario_DT!L$16</f>
        <v>2369.3254354673745</v>
      </c>
      <c r="V252" s="28">
        <f>((Scenario_DT!M$11*(IF(Scenario_DT!M$18=1,1,1+$M252/Scenario_DT!$C$19)*(1+$N252)^MAX(0,Scenario_DT!M$18-3))*(Scenario_DT!M$12+$O252)-Scenario_DT!M$13)*(1-Scenario_DT!M$14)+Scenario_DT!M$13-Scenario_DT!M$15)*Scenario_DT!M$16</f>
        <v>2455.3527119640312</v>
      </c>
      <c r="W252" s="28">
        <f>((Scenario_DT!N$11*(IF(Scenario_DT!N$18=1,1,1+$M252/Scenario_DT!$C$19)*(1+$N252)^MAX(0,Scenario_DT!N$18-3))*(Scenario_DT!N$12+$O252)-Scenario_DT!N$13)*(1-Scenario_DT!N$14)+Scenario_DT!N$13-Scenario_DT!N$15)*Scenario_DT!N$16</f>
        <v>2544.474010351089</v>
      </c>
      <c r="X252" s="28">
        <f>((Scenario_DT!O$11*(IF(Scenario_DT!O$18=1,1,1+$M252/Scenario_DT!$C$19)*(1+$N252)^MAX(0,Scenario_DT!O$18-3))*(Scenario_DT!O$12+$O252)-Scenario_DT!O$13)*(1-Scenario_DT!O$14)+Scenario_DT!O$13-Scenario_DT!O$15)*Scenario_DT!O$16</f>
        <v>2636.8014997701139</v>
      </c>
      <c r="Y252" s="28">
        <f>((Scenario_DT!P$11*(IF(Scenario_DT!P$18=1,1,1+$M252/Scenario_DT!$C$19)*(1+$N252)^MAX(0,Scenario_DT!P$18-3))*(Scenario_DT!P$12+$O252)-Scenario_DT!P$13)*(1-Scenario_DT!P$14)+Scenario_DT!P$13-Scenario_DT!P$15)*Scenario_DT!P$16</f>
        <v>2732.4514197138474</v>
      </c>
      <c r="Z252" s="28">
        <f>((Scenario_DT!Q$11*(IF(Scenario_DT!Q$18=1,1,1+$M252/Scenario_DT!$C$19)*(1+$N252)^MAX(0,Scenario_DT!Q$18-3))*(Scenario_DT!Q$12+$O252)-Scenario_DT!Q$13)*(1-Scenario_DT!Q$14)+Scenario_DT!Q$13-Scenario_DT!Q$15)*Scenario_DT!Q$16</f>
        <v>2831.544227552386</v>
      </c>
      <c r="AA252" s="28">
        <f>((Scenario_DT!R$11*(IF(Scenario_DT!R$18=1,1,1+$M252/Scenario_DT!$C$19)*(1+$N252)^MAX(0,Scenario_DT!R$18-3))*(Scenario_DT!R$12+$O252)-Scenario_DT!R$13)*(1-Scenario_DT!R$14)+Scenario_DT!R$13-Scenario_DT!R$15)*Scenario_DT!R$16</f>
        <v>2934.2047513957041</v>
      </c>
      <c r="AB252" s="17">
        <f>(Scenario_DT!$R$11*(1+$M252/Scenario_DT!$C$19)*(1+$N252)^7*(Scenario_DT!$R$12+$O252)*(1+MIN(DCF_FCFF!$C$26+$Q252,(DCF_FCFF!$C$25+$P252)-0.02))*(1-DCF_FCFF!$C$27)*(1-DCF_FCFF!$C$28)/((DCF_FCFF!$C$25+$P252)-MIN(DCF_FCFF!$C$26+$Q252,(DCF_FCFF!$C$25+$P252)-0.02)))*(1+(DCF_FCFF!$C$25+$P252))^(-(Inputs!$C$9+9))</f>
        <v>19460.088754741988</v>
      </c>
      <c r="AC252" s="17">
        <f>SUMPRODUCT(R252:AA252*(1+(DCF_FCFF!$C$25+$P252))^(-Scenario_DT!$I$17:$R$17))+AB252</f>
        <v>34357.961718793704</v>
      </c>
      <c r="AD252" s="68">
        <f>((AC252-DCF_FCFF!$C$48)*(1-DCF_FCFF!$C$50)+DCF_FCFF!$C$57+DCF_FCFF!$C$58)/DCF_FCFF!$C$60</f>
        <v>233.34969193281583</v>
      </c>
      <c r="AE252" s="6"/>
      <c r="AF252" s="6"/>
      <c r="AG252" s="6"/>
    </row>
    <row r="253" spans="1:33" x14ac:dyDescent="0.3">
      <c r="A253" s="6"/>
      <c r="B253" s="72">
        <v>222</v>
      </c>
      <c r="C253" s="73">
        <v>0.77433590118305096</v>
      </c>
      <c r="D253" s="73">
        <v>0.11570416730943001</v>
      </c>
      <c r="E253" s="73">
        <v>0.390062590156529</v>
      </c>
      <c r="F253" s="73">
        <v>0.99860951501191597</v>
      </c>
      <c r="G253" s="73">
        <v>0.19259082323091001</v>
      </c>
      <c r="H253" s="15">
        <f t="shared" si="31"/>
        <v>0.75320256600072488</v>
      </c>
      <c r="I253" s="15">
        <f t="shared" si="32"/>
        <v>-1.1967389134556523</v>
      </c>
      <c r="J253" s="15">
        <f t="shared" si="33"/>
        <v>-0.27915590674601026</v>
      </c>
      <c r="K253" s="15">
        <f t="shared" si="34"/>
        <v>2.9909654041341645</v>
      </c>
      <c r="L253" s="15">
        <f t="shared" si="35"/>
        <v>-0.86838857638660516</v>
      </c>
      <c r="M253" s="18">
        <f t="shared" si="36"/>
        <v>1.5064051320014498E-2</v>
      </c>
      <c r="N253" s="18">
        <f t="shared" si="37"/>
        <v>-5.278440141996953E-3</v>
      </c>
      <c r="O253" s="18">
        <f t="shared" si="38"/>
        <v>-3.3498708809521233E-3</v>
      </c>
      <c r="P253" s="18">
        <f t="shared" si="39"/>
        <v>1.7945792424804988E-2</v>
      </c>
      <c r="Q253" s="18">
        <f t="shared" si="40"/>
        <v>-3.4735543055464209E-3</v>
      </c>
      <c r="R253" s="28">
        <f>((Scenario_DT!I$11*(IF(Scenario_DT!I$18=1,1,1+$M253/Scenario_DT!$C$19)*(1+$N253)^MAX(0,Scenario_DT!I$18-3))*(Scenario_DT!I$12+$O253)-Scenario_DT!I$13)*(1-Scenario_DT!I$14)+Scenario_DT!I$13-Scenario_DT!I$15)*Scenario_DT!I$16</f>
        <v>906.26158009335438</v>
      </c>
      <c r="S253" s="28">
        <f>((Scenario_DT!J$11*(IF(Scenario_DT!J$18=1,1,1+$M253/Scenario_DT!$C$19)*(1+$N253)^MAX(0,Scenario_DT!J$18-3))*(Scenario_DT!J$12+$O253)-Scenario_DT!J$13)*(1-Scenario_DT!J$14)+Scenario_DT!J$13-Scenario_DT!J$15)*Scenario_DT!J$16</f>
        <v>1857.4289586691821</v>
      </c>
      <c r="T253" s="28">
        <f>((Scenario_DT!K$11*(IF(Scenario_DT!K$18=1,1,1+$M253/Scenario_DT!$C$19)*(1+$N253)^MAX(0,Scenario_DT!K$18-3))*(Scenario_DT!K$12+$O253)-Scenario_DT!K$13)*(1-Scenario_DT!K$14)+Scenario_DT!K$13-Scenario_DT!K$15)*Scenario_DT!K$16</f>
        <v>2123.4529362779717</v>
      </c>
      <c r="U253" s="28">
        <f>((Scenario_DT!L$11*(IF(Scenario_DT!L$18=1,1,1+$M253/Scenario_DT!$C$19)*(1+$N253)^MAX(0,Scenario_DT!L$18-3))*(Scenario_DT!L$12+$O253)-Scenario_DT!L$13)*(1-Scenario_DT!L$14)+Scenario_DT!L$13-Scenario_DT!L$15)*Scenario_DT!L$16</f>
        <v>2512.7244145432837</v>
      </c>
      <c r="V253" s="28">
        <f>((Scenario_DT!M$11*(IF(Scenario_DT!M$18=1,1,1+$M253/Scenario_DT!$C$19)*(1+$N253)^MAX(0,Scenario_DT!M$18-3))*(Scenario_DT!M$12+$O253)-Scenario_DT!M$13)*(1-Scenario_DT!M$14)+Scenario_DT!M$13-Scenario_DT!M$15)*Scenario_DT!M$16</f>
        <v>2623.6192501015207</v>
      </c>
      <c r="W253" s="28">
        <f>((Scenario_DT!N$11*(IF(Scenario_DT!N$18=1,1,1+$M253/Scenario_DT!$C$19)*(1+$N253)^MAX(0,Scenario_DT!N$18-3))*(Scenario_DT!N$12+$O253)-Scenario_DT!N$13)*(1-Scenario_DT!N$14)+Scenario_DT!N$13-Scenario_DT!N$15)*Scenario_DT!N$16</f>
        <v>2739.3924772607193</v>
      </c>
      <c r="X253" s="28">
        <f>((Scenario_DT!O$11*(IF(Scenario_DT!O$18=1,1,1+$M253/Scenario_DT!$C$19)*(1+$N253)^MAX(0,Scenario_DT!O$18-3))*(Scenario_DT!O$12+$O253)-Scenario_DT!O$13)*(1-Scenario_DT!O$14)+Scenario_DT!O$13-Scenario_DT!O$15)*Scenario_DT!O$16</f>
        <v>2860.26051197672</v>
      </c>
      <c r="Y253" s="28">
        <f>((Scenario_DT!P$11*(IF(Scenario_DT!P$18=1,1,1+$M253/Scenario_DT!$C$19)*(1+$N253)^MAX(0,Scenario_DT!P$18-3))*(Scenario_DT!P$12+$O253)-Scenario_DT!P$13)*(1-Scenario_DT!P$14)+Scenario_DT!P$13-Scenario_DT!P$15)*Scenario_DT!P$16</f>
        <v>2986.4493898098403</v>
      </c>
      <c r="Z253" s="28">
        <f>((Scenario_DT!Q$11*(IF(Scenario_DT!Q$18=1,1,1+$M253/Scenario_DT!$C$19)*(1+$N253)^MAX(0,Scenario_DT!Q$18-3))*(Scenario_DT!Q$12+$O253)-Scenario_DT!Q$13)*(1-Scenario_DT!Q$14)+Scenario_DT!Q$13-Scenario_DT!Q$15)*Scenario_DT!Q$16</f>
        <v>3118.1951937339745</v>
      </c>
      <c r="AA253" s="28">
        <f>((Scenario_DT!R$11*(IF(Scenario_DT!R$18=1,1,1+$M253/Scenario_DT!$C$19)*(1+$N253)^MAX(0,Scenario_DT!R$18-3))*(Scenario_DT!R$12+$O253)-Scenario_DT!R$13)*(1-Scenario_DT!R$14)+Scenario_DT!R$13-Scenario_DT!R$15)*Scenario_DT!R$16</f>
        <v>3255.7445009752632</v>
      </c>
      <c r="AB253" s="17">
        <f>(Scenario_DT!$R$11*(1+$M253/Scenario_DT!$C$19)*(1+$N253)^7*(Scenario_DT!$R$12+$O253)*(1+MIN(DCF_FCFF!$C$26+$Q253,(DCF_FCFF!$C$25+$P253)-0.02))*(1-DCF_FCFF!$C$27)*(1-DCF_FCFF!$C$28)/((DCF_FCFF!$C$25+$P253)-MIN(DCF_FCFF!$C$26+$Q253,(DCF_FCFF!$C$25+$P253)-0.02)))*(1+(DCF_FCFF!$C$25+$P253))^(-(Inputs!$C$9+9))</f>
        <v>16459.550018028203</v>
      </c>
      <c r="AC253" s="17">
        <f>SUMPRODUCT(R253:AA253*(1+(DCF_FCFF!$C$25+$P253))^(-Scenario_DT!$I$17:$R$17))+AB253</f>
        <v>31668.782057892495</v>
      </c>
      <c r="AD253" s="68">
        <f>((AC253-DCF_FCFF!$C$48)*(1-DCF_FCFF!$C$50)+DCF_FCFF!$C$57+DCF_FCFF!$C$58)/DCF_FCFF!$C$60</f>
        <v>207.53687898575149</v>
      </c>
      <c r="AE253" s="6"/>
      <c r="AF253" s="6"/>
      <c r="AG253" s="6"/>
    </row>
    <row r="254" spans="1:33" x14ac:dyDescent="0.3">
      <c r="A254" s="6"/>
      <c r="B254" s="72">
        <v>223</v>
      </c>
      <c r="C254" s="73">
        <v>0.15396358257762599</v>
      </c>
      <c r="D254" s="73">
        <v>0.422800332546794</v>
      </c>
      <c r="E254" s="73">
        <v>0.61966852596986099</v>
      </c>
      <c r="F254" s="73">
        <v>0.93290078241325303</v>
      </c>
      <c r="G254" s="73">
        <v>0.98082114553303401</v>
      </c>
      <c r="H254" s="15">
        <f t="shared" si="31"/>
        <v>-1.019581115139806</v>
      </c>
      <c r="I254" s="15">
        <f t="shared" si="32"/>
        <v>-0.19473467464037611</v>
      </c>
      <c r="J254" s="15">
        <f t="shared" si="33"/>
        <v>0.30461033452543335</v>
      </c>
      <c r="K254" s="15">
        <f t="shared" si="34"/>
        <v>1.4977491561836971</v>
      </c>
      <c r="L254" s="15">
        <f t="shared" si="35"/>
        <v>2.0710116331393782</v>
      </c>
      <c r="M254" s="18">
        <f t="shared" si="36"/>
        <v>-2.039162230279612E-2</v>
      </c>
      <c r="N254" s="18">
        <f t="shared" si="37"/>
        <v>-5.4274858624493282E-3</v>
      </c>
      <c r="O254" s="18">
        <f t="shared" si="38"/>
        <v>3.6553240143052004E-3</v>
      </c>
      <c r="P254" s="18">
        <f t="shared" si="39"/>
        <v>8.9864949371021834E-3</v>
      </c>
      <c r="Q254" s="18">
        <f t="shared" si="40"/>
        <v>8.2840465325575135E-3</v>
      </c>
      <c r="R254" s="28">
        <f>((Scenario_DT!I$11*(IF(Scenario_DT!I$18=1,1,1+$M254/Scenario_DT!$C$19)*(1+$N254)^MAX(0,Scenario_DT!I$18-3))*(Scenario_DT!I$12+$O254)-Scenario_DT!I$13)*(1-Scenario_DT!I$14)+Scenario_DT!I$13-Scenario_DT!I$15)*Scenario_DT!I$16</f>
        <v>916.1381510215067</v>
      </c>
      <c r="S254" s="28">
        <f>((Scenario_DT!J$11*(IF(Scenario_DT!J$18=1,1,1+$M254/Scenario_DT!$C$19)*(1+$N254)^MAX(0,Scenario_DT!J$18-3))*(Scenario_DT!J$12+$O254)-Scenario_DT!J$13)*(1-Scenario_DT!J$14)+Scenario_DT!J$13-Scenario_DT!J$15)*Scenario_DT!J$16</f>
        <v>1794.1586754472019</v>
      </c>
      <c r="T254" s="28">
        <f>((Scenario_DT!K$11*(IF(Scenario_DT!K$18=1,1,1+$M254/Scenario_DT!$C$19)*(1+$N254)^MAX(0,Scenario_DT!K$18-3))*(Scenario_DT!K$12+$O254)-Scenario_DT!K$13)*(1-Scenario_DT!K$14)+Scenario_DT!K$13-Scenario_DT!K$15)*Scenario_DT!K$16</f>
        <v>2056.6786340920239</v>
      </c>
      <c r="U254" s="28">
        <f>((Scenario_DT!L$11*(IF(Scenario_DT!L$18=1,1,1+$M254/Scenario_DT!$C$19)*(1+$N254)^MAX(0,Scenario_DT!L$18-3))*(Scenario_DT!L$12+$O254)-Scenario_DT!L$13)*(1-Scenario_DT!L$14)+Scenario_DT!L$13-Scenario_DT!L$15)*Scenario_DT!L$16</f>
        <v>2441.8307734679588</v>
      </c>
      <c r="V254" s="28">
        <f>((Scenario_DT!M$11*(IF(Scenario_DT!M$18=1,1,1+$M254/Scenario_DT!$C$19)*(1+$N254)^MAX(0,Scenario_DT!M$18-3))*(Scenario_DT!M$12+$O254)-Scenario_DT!M$13)*(1-Scenario_DT!M$14)+Scenario_DT!M$13-Scenario_DT!M$15)*Scenario_DT!M$16</f>
        <v>2549.1890626721547</v>
      </c>
      <c r="W254" s="28">
        <f>((Scenario_DT!N$11*(IF(Scenario_DT!N$18=1,1,1+$M254/Scenario_DT!$C$19)*(1+$N254)^MAX(0,Scenario_DT!N$18-3))*(Scenario_DT!N$12+$O254)-Scenario_DT!N$13)*(1-Scenario_DT!N$14)+Scenario_DT!N$13-Scenario_DT!N$15)*Scenario_DT!N$16</f>
        <v>2661.25147067545</v>
      </c>
      <c r="X254" s="28">
        <f>((Scenario_DT!O$11*(IF(Scenario_DT!O$18=1,1,1+$M254/Scenario_DT!$C$19)*(1+$N254)^MAX(0,Scenario_DT!O$18-3))*(Scenario_DT!O$12+$O254)-Scenario_DT!O$13)*(1-Scenario_DT!O$14)+Scenario_DT!O$13-Scenario_DT!O$15)*Scenario_DT!O$16</f>
        <v>2778.225910505837</v>
      </c>
      <c r="Y254" s="28">
        <f>((Scenario_DT!P$11*(IF(Scenario_DT!P$18=1,1,1+$M254/Scenario_DT!$C$19)*(1+$N254)^MAX(0,Scenario_DT!P$18-3))*(Scenario_DT!P$12+$O254)-Scenario_DT!P$13)*(1-Scenario_DT!P$14)+Scenario_DT!P$13-Scenario_DT!P$15)*Scenario_DT!P$16</f>
        <v>2900.3295033207792</v>
      </c>
      <c r="Z254" s="28">
        <f>((Scenario_DT!Q$11*(IF(Scenario_DT!Q$18=1,1,1+$M254/Scenario_DT!$C$19)*(1+$N254)^MAX(0,Scenario_DT!Q$18-3))*(Scenario_DT!Q$12+$O254)-Scenario_DT!Q$13)*(1-Scenario_DT!Q$14)+Scenario_DT!Q$13-Scenario_DT!Q$15)*Scenario_DT!Q$16</f>
        <v>3027.7889864410022</v>
      </c>
      <c r="AA254" s="28">
        <f>((Scenario_DT!R$11*(IF(Scenario_DT!R$18=1,1,1+$M254/Scenario_DT!$C$19)*(1+$N254)^MAX(0,Scenario_DT!R$18-3))*(Scenario_DT!R$12+$O254)-Scenario_DT!R$13)*(1-Scenario_DT!R$14)+Scenario_DT!R$13-Scenario_DT!R$15)*Scenario_DT!R$16</f>
        <v>3160.8411394690529</v>
      </c>
      <c r="AB254" s="17">
        <f>(Scenario_DT!$R$11*(1+$M254/Scenario_DT!$C$19)*(1+$N254)^7*(Scenario_DT!$R$12+$O254)*(1+MIN(DCF_FCFF!$C$26+$Q254,(DCF_FCFF!$C$25+$P254)-0.02))*(1-DCF_FCFF!$C$27)*(1-DCF_FCFF!$C$28)/((DCF_FCFF!$C$25+$P254)-MIN(DCF_FCFF!$C$26+$Q254,(DCF_FCFF!$C$25+$P254)-0.02)))*(1+(DCF_FCFF!$C$25+$P254))^(-(Inputs!$C$9+9))</f>
        <v>24534.194008077695</v>
      </c>
      <c r="AC254" s="17">
        <f>SUMPRODUCT(R254:AA254*(1+(DCF_FCFF!$C$25+$P254))^(-Scenario_DT!$I$17:$R$17))+AB254</f>
        <v>39876.605156717669</v>
      </c>
      <c r="AD254" s="68">
        <f>((AC254-DCF_FCFF!$C$48)*(1-DCF_FCFF!$C$50)+DCF_FCFF!$C$57+DCF_FCFF!$C$58)/DCF_FCFF!$C$60</f>
        <v>286.32187257802281</v>
      </c>
      <c r="AE254" s="6"/>
      <c r="AF254" s="6"/>
      <c r="AG254" s="6"/>
    </row>
    <row r="255" spans="1:33" x14ac:dyDescent="0.3">
      <c r="A255" s="6"/>
      <c r="B255" s="72">
        <v>224</v>
      </c>
      <c r="C255" s="73">
        <v>6.9640636591394606E-2</v>
      </c>
      <c r="D255" s="73">
        <v>0.137997517347905</v>
      </c>
      <c r="E255" s="73">
        <v>0.79073797389599398</v>
      </c>
      <c r="F255" s="73">
        <v>0.27063215227086101</v>
      </c>
      <c r="G255" s="73">
        <v>0.88484905950636095</v>
      </c>
      <c r="H255" s="15">
        <f t="shared" si="31"/>
        <v>-1.478472796504964</v>
      </c>
      <c r="I255" s="15">
        <f t="shared" si="32"/>
        <v>-1.0893602919344516</v>
      </c>
      <c r="J255" s="15">
        <f t="shared" si="33"/>
        <v>0.80898451698683072</v>
      </c>
      <c r="K255" s="15">
        <f t="shared" si="34"/>
        <v>-0.61090223588843751</v>
      </c>
      <c r="L255" s="15">
        <f t="shared" si="35"/>
        <v>1.199581587497015</v>
      </c>
      <c r="M255" s="18">
        <f t="shared" si="36"/>
        <v>-2.956945593009928E-2</v>
      </c>
      <c r="N255" s="18">
        <f t="shared" si="37"/>
        <v>-1.3461200679533995E-2</v>
      </c>
      <c r="O255" s="18">
        <f t="shared" si="38"/>
        <v>9.707814203841968E-3</v>
      </c>
      <c r="P255" s="18">
        <f t="shared" si="39"/>
        <v>-3.6654134153306251E-3</v>
      </c>
      <c r="Q255" s="18">
        <f t="shared" si="40"/>
        <v>4.7983263499880606E-3</v>
      </c>
      <c r="R255" s="28">
        <f>((Scenario_DT!I$11*(IF(Scenario_DT!I$18=1,1,1+$M255/Scenario_DT!$C$19)*(1+$N255)^MAX(0,Scenario_DT!I$18-3))*(Scenario_DT!I$12+$O255)-Scenario_DT!I$13)*(1-Scenario_DT!I$14)+Scenario_DT!I$13-Scenario_DT!I$15)*Scenario_DT!I$16</f>
        <v>924.67151084128443</v>
      </c>
      <c r="S255" s="28">
        <f>((Scenario_DT!J$11*(IF(Scenario_DT!J$18=1,1,1+$M255/Scenario_DT!$C$19)*(1+$N255)^MAX(0,Scenario_DT!J$18-3))*(Scenario_DT!J$12+$O255)-Scenario_DT!J$13)*(1-Scenario_DT!J$14)+Scenario_DT!J$13-Scenario_DT!J$15)*Scenario_DT!J$16</f>
        <v>1790.273627557287</v>
      </c>
      <c r="T255" s="28">
        <f>((Scenario_DT!K$11*(IF(Scenario_DT!K$18=1,1,1+$M255/Scenario_DT!$C$19)*(1+$N255)^MAX(0,Scenario_DT!K$18-3))*(Scenario_DT!K$12+$O255)-Scenario_DT!K$13)*(1-Scenario_DT!K$14)+Scenario_DT!K$13-Scenario_DT!K$15)*Scenario_DT!K$16</f>
        <v>2052.3403878017484</v>
      </c>
      <c r="U255" s="28">
        <f>((Scenario_DT!L$11*(IF(Scenario_DT!L$18=1,1,1+$M255/Scenario_DT!$C$19)*(1+$N255)^MAX(0,Scenario_DT!L$18-3))*(Scenario_DT!L$12+$O255)-Scenario_DT!L$13)*(1-Scenario_DT!L$14)+Scenario_DT!L$13-Scenario_DT!L$15)*Scenario_DT!L$16</f>
        <v>2417.4261971745254</v>
      </c>
      <c r="V255" s="28">
        <f>((Scenario_DT!M$11*(IF(Scenario_DT!M$18=1,1,1+$M255/Scenario_DT!$C$19)*(1+$N255)^MAX(0,Scenario_DT!M$18-3))*(Scenario_DT!M$12+$O255)-Scenario_DT!M$13)*(1-Scenario_DT!M$14)+Scenario_DT!M$13-Scenario_DT!M$15)*Scenario_DT!M$16</f>
        <v>2503.1690311720063</v>
      </c>
      <c r="W255" s="28">
        <f>((Scenario_DT!N$11*(IF(Scenario_DT!N$18=1,1,1+$M255/Scenario_DT!$C$19)*(1+$N255)^MAX(0,Scenario_DT!N$18-3))*(Scenario_DT!N$12+$O255)-Scenario_DT!N$13)*(1-Scenario_DT!N$14)+Scenario_DT!N$13-Scenario_DT!N$15)*Scenario_DT!N$16</f>
        <v>2591.9219166473254</v>
      </c>
      <c r="X255" s="28">
        <f>((Scenario_DT!O$11*(IF(Scenario_DT!O$18=1,1,1+$M255/Scenario_DT!$C$19)*(1+$N255)^MAX(0,Scenario_DT!O$18-3))*(Scenario_DT!O$12+$O255)-Scenario_DT!O$13)*(1-Scenario_DT!O$14)+Scenario_DT!O$13-Scenario_DT!O$15)*Scenario_DT!O$16</f>
        <v>2683.7913031866128</v>
      </c>
      <c r="Y255" s="28">
        <f>((Scenario_DT!P$11*(IF(Scenario_DT!P$18=1,1,1+$M255/Scenario_DT!$C$19)*(1+$N255)^MAX(0,Scenario_DT!P$18-3))*(Scenario_DT!P$12+$O255)-Scenario_DT!P$13)*(1-Scenario_DT!P$14)+Scenario_DT!P$13-Scenario_DT!P$15)*Scenario_DT!P$16</f>
        <v>2778.8874061899137</v>
      </c>
      <c r="Z255" s="28">
        <f>((Scenario_DT!Q$11*(IF(Scenario_DT!Q$18=1,1,1+$M255/Scenario_DT!$C$19)*(1+$N255)^MAX(0,Scenario_DT!Q$18-3))*(Scenario_DT!Q$12+$O255)-Scenario_DT!Q$13)*(1-Scenario_DT!Q$14)+Scenario_DT!Q$13-Scenario_DT!Q$15)*Scenario_DT!Q$16</f>
        <v>2877.3243398261052</v>
      </c>
      <c r="AA255" s="28">
        <f>((Scenario_DT!R$11*(IF(Scenario_DT!R$18=1,1,1+$M255/Scenario_DT!$C$19)*(1+$N255)^MAX(0,Scenario_DT!R$18-3))*(Scenario_DT!R$12+$O255)-Scenario_DT!R$13)*(1-Scenario_DT!R$14)+Scenario_DT!R$13-Scenario_DT!R$15)*Scenario_DT!R$16</f>
        <v>2979.2202546676044</v>
      </c>
      <c r="AB255" s="17">
        <f>(Scenario_DT!$R$11*(1+$M255/Scenario_DT!$C$19)*(1+$N255)^7*(Scenario_DT!$R$12+$O255)*(1+MIN(DCF_FCFF!$C$26+$Q255,(DCF_FCFF!$C$25+$P255)-0.02))*(1-DCF_FCFF!$C$27)*(1-DCF_FCFF!$C$28)/((DCF_FCFF!$C$25+$P255)-MIN(DCF_FCFF!$C$26+$Q255,(DCF_FCFF!$C$25+$P255)-0.02)))*(1+(DCF_FCFF!$C$25+$P255))^(-(Inputs!$C$9+9))</f>
        <v>31356.467654307478</v>
      </c>
      <c r="AC255" s="17">
        <f>SUMPRODUCT(R255:AA255*(1+(DCF_FCFF!$C$25+$P255))^(-Scenario_DT!$I$17:$R$17))+AB255</f>
        <v>47142.550114987534</v>
      </c>
      <c r="AD255" s="68">
        <f>((AC255-DCF_FCFF!$C$48)*(1-DCF_FCFF!$C$50)+DCF_FCFF!$C$57+DCF_FCFF!$C$58)/DCF_FCFF!$C$60</f>
        <v>356.06599596940345</v>
      </c>
      <c r="AE255" s="6"/>
      <c r="AF255" s="6"/>
      <c r="AG255" s="6"/>
    </row>
    <row r="256" spans="1:33" x14ac:dyDescent="0.3">
      <c r="A256" s="6"/>
      <c r="B256" s="72">
        <v>225</v>
      </c>
      <c r="C256" s="73">
        <v>0.66345325722908699</v>
      </c>
      <c r="D256" s="73">
        <v>0.111844802380677</v>
      </c>
      <c r="E256" s="73">
        <v>0.83252928492400702</v>
      </c>
      <c r="F256" s="73">
        <v>0.17635638000807599</v>
      </c>
      <c r="G256" s="73">
        <v>0.42349539467965402</v>
      </c>
      <c r="H256" s="15">
        <f t="shared" si="31"/>
        <v>0.42190619844802668</v>
      </c>
      <c r="I256" s="15">
        <f t="shared" si="32"/>
        <v>-1.2167756033023516</v>
      </c>
      <c r="J256" s="15">
        <f t="shared" si="33"/>
        <v>0.96420844723610422</v>
      </c>
      <c r="K256" s="15">
        <f t="shared" si="34"/>
        <v>-0.92934029274941654</v>
      </c>
      <c r="L256" s="15">
        <f t="shared" si="35"/>
        <v>-0.19295936836801861</v>
      </c>
      <c r="M256" s="18">
        <f t="shared" si="36"/>
        <v>8.4381239689605338E-3</v>
      </c>
      <c r="N256" s="18">
        <f t="shared" si="37"/>
        <v>-6.7424438715276763E-3</v>
      </c>
      <c r="O256" s="18">
        <f t="shared" si="38"/>
        <v>1.1570501366833252E-2</v>
      </c>
      <c r="P256" s="18">
        <f t="shared" si="39"/>
        <v>-5.5760417564964995E-3</v>
      </c>
      <c r="Q256" s="18">
        <f t="shared" si="40"/>
        <v>-7.7183747347207442E-4</v>
      </c>
      <c r="R256" s="28">
        <f>((Scenario_DT!I$11*(IF(Scenario_DT!I$18=1,1,1+$M256/Scenario_DT!$C$19)*(1+$N256)^MAX(0,Scenario_DT!I$18-3))*(Scenario_DT!I$12+$O256)-Scenario_DT!I$13)*(1-Scenario_DT!I$14)+Scenario_DT!I$13-Scenario_DT!I$15)*Scenario_DT!I$16</f>
        <v>927.29769928533437</v>
      </c>
      <c r="S256" s="28">
        <f>((Scenario_DT!J$11*(IF(Scenario_DT!J$18=1,1,1+$M256/Scenario_DT!$C$19)*(1+$N256)^MAX(0,Scenario_DT!J$18-3))*(Scenario_DT!J$12+$O256)-Scenario_DT!J$13)*(1-Scenario_DT!J$14)+Scenario_DT!J$13-Scenario_DT!J$15)*Scenario_DT!J$16</f>
        <v>1888.409168750457</v>
      </c>
      <c r="T256" s="28">
        <f>((Scenario_DT!K$11*(IF(Scenario_DT!K$18=1,1,1+$M256/Scenario_DT!$C$19)*(1+$N256)^MAX(0,Scenario_DT!K$18-3))*(Scenario_DT!K$12+$O256)-Scenario_DT!K$13)*(1-Scenario_DT!K$14)+Scenario_DT!K$13-Scenario_DT!K$15)*Scenario_DT!K$16</f>
        <v>2155.3332892021303</v>
      </c>
      <c r="U256" s="28">
        <f>((Scenario_DT!L$11*(IF(Scenario_DT!L$18=1,1,1+$M256/Scenario_DT!$C$19)*(1+$N256)^MAX(0,Scenario_DT!L$18-3))*(Scenario_DT!L$12+$O256)-Scenario_DT!L$13)*(1-Scenario_DT!L$14)+Scenario_DT!L$13-Scenario_DT!L$15)*Scenario_DT!L$16</f>
        <v>2542.6230159338002</v>
      </c>
      <c r="V256" s="28">
        <f>((Scenario_DT!M$11*(IF(Scenario_DT!M$18=1,1,1+$M256/Scenario_DT!$C$19)*(1+$N256)^MAX(0,Scenario_DT!M$18-3))*(Scenario_DT!M$12+$O256)-Scenario_DT!M$13)*(1-Scenario_DT!M$14)+Scenario_DT!M$13-Scenario_DT!M$15)*Scenario_DT!M$16</f>
        <v>2650.9126024971915</v>
      </c>
      <c r="W256" s="28">
        <f>((Scenario_DT!N$11*(IF(Scenario_DT!N$18=1,1,1+$M256/Scenario_DT!$C$19)*(1+$N256)^MAX(0,Scenario_DT!N$18-3))*(Scenario_DT!N$12+$O256)-Scenario_DT!N$13)*(1-Scenario_DT!N$14)+Scenario_DT!N$13-Scenario_DT!N$15)*Scenario_DT!N$16</f>
        <v>2763.7958882774597</v>
      </c>
      <c r="X256" s="28">
        <f>((Scenario_DT!O$11*(IF(Scenario_DT!O$18=1,1,1+$M256/Scenario_DT!$C$19)*(1+$N256)^MAX(0,Scenario_DT!O$18-3))*(Scenario_DT!O$12+$O256)-Scenario_DT!O$13)*(1-Scenario_DT!O$14)+Scenario_DT!O$13-Scenario_DT!O$15)*Scenario_DT!O$16</f>
        <v>2881.4693845415763</v>
      </c>
      <c r="Y256" s="28">
        <f>((Scenario_DT!P$11*(IF(Scenario_DT!P$18=1,1,1+$M256/Scenario_DT!$C$19)*(1+$N256)^MAX(0,Scenario_DT!P$18-3))*(Scenario_DT!P$12+$O256)-Scenario_DT!P$13)*(1-Scenario_DT!P$14)+Scenario_DT!P$13-Scenario_DT!P$15)*Scenario_DT!P$16</f>
        <v>3004.1380261608988</v>
      </c>
      <c r="Z256" s="28">
        <f>((Scenario_DT!Q$11*(IF(Scenario_DT!Q$18=1,1,1+$M256/Scenario_DT!$C$19)*(1+$N256)^MAX(0,Scenario_DT!Q$18-3))*(Scenario_DT!Q$12+$O256)-Scenario_DT!Q$13)*(1-Scenario_DT!Q$14)+Scenario_DT!Q$13-Scenario_DT!Q$15)*Scenario_DT!Q$16</f>
        <v>3132.0155328970395</v>
      </c>
      <c r="AA256" s="28">
        <f>((Scenario_DT!R$11*(IF(Scenario_DT!R$18=1,1,1+$M256/Scenario_DT!$C$19)*(1+$N256)^MAX(0,Scenario_DT!R$18-3))*(Scenario_DT!R$12+$O256)-Scenario_DT!R$13)*(1-Scenario_DT!R$14)+Scenario_DT!R$13-Scenario_DT!R$15)*Scenario_DT!R$16</f>
        <v>3265.3247861867844</v>
      </c>
      <c r="AB256" s="17">
        <f>(Scenario_DT!$R$11*(1+$M256/Scenario_DT!$C$19)*(1+$N256)^7*(Scenario_DT!$R$12+$O256)*(1+MIN(DCF_FCFF!$C$26+$Q256,(DCF_FCFF!$C$25+$P256)-0.02))*(1-DCF_FCFF!$C$27)*(1-DCF_FCFF!$C$28)/((DCF_FCFF!$C$25+$P256)-MIN(DCF_FCFF!$C$26+$Q256,(DCF_FCFF!$C$25+$P256)-0.02)))*(1+(DCF_FCFF!$C$25+$P256))^(-(Inputs!$C$9+9))</f>
        <v>31942.819999501342</v>
      </c>
      <c r="AC256" s="17">
        <f>SUMPRODUCT(R256:AA256*(1+(DCF_FCFF!$C$25+$P256))^(-Scenario_DT!$I$17:$R$17))+AB256</f>
        <v>48876.657999619187</v>
      </c>
      <c r="AD256" s="68">
        <f>((AC256-DCF_FCFF!$C$48)*(1-DCF_FCFF!$C$50)+DCF_FCFF!$C$57+DCF_FCFF!$C$58)/DCF_FCFF!$C$60</f>
        <v>372.71129606104012</v>
      </c>
      <c r="AE256" s="6"/>
      <c r="AF256" s="6"/>
      <c r="AG256" s="6"/>
    </row>
    <row r="257" spans="1:33" x14ac:dyDescent="0.3">
      <c r="A257" s="6"/>
      <c r="B257" s="72">
        <v>226</v>
      </c>
      <c r="C257" s="73">
        <v>0.55218492855932999</v>
      </c>
      <c r="D257" s="73">
        <v>0.50076614908027794</v>
      </c>
      <c r="E257" s="73">
        <v>0.68616291561514997</v>
      </c>
      <c r="F257" s="73">
        <v>0.65268673486925499</v>
      </c>
      <c r="G257" s="73">
        <v>0.99204200552805499</v>
      </c>
      <c r="H257" s="15">
        <f t="shared" si="31"/>
        <v>0.13118350678137905</v>
      </c>
      <c r="I257" s="15">
        <f t="shared" si="32"/>
        <v>1.9204521276881376E-3</v>
      </c>
      <c r="J257" s="15">
        <f t="shared" si="33"/>
        <v>0.4850030686411313</v>
      </c>
      <c r="K257" s="15">
        <f t="shared" si="34"/>
        <v>0.39258430944097111</v>
      </c>
      <c r="L257" s="15">
        <f t="shared" si="35"/>
        <v>2.4108363323701942</v>
      </c>
      <c r="M257" s="18">
        <f t="shared" si="36"/>
        <v>2.623670135627581E-3</v>
      </c>
      <c r="N257" s="18">
        <f t="shared" si="37"/>
        <v>5.3803930976015473E-4</v>
      </c>
      <c r="O257" s="18">
        <f t="shared" si="38"/>
        <v>5.8200368236935758E-3</v>
      </c>
      <c r="P257" s="18">
        <f t="shared" si="39"/>
        <v>2.3555058566458267E-3</v>
      </c>
      <c r="Q257" s="18">
        <f t="shared" si="40"/>
        <v>9.6433453294807771E-3</v>
      </c>
      <c r="R257" s="28">
        <f>((Scenario_DT!I$11*(IF(Scenario_DT!I$18=1,1,1+$M257/Scenario_DT!$C$19)*(1+$N257)^MAX(0,Scenario_DT!I$18-3))*(Scenario_DT!I$12+$O257)-Scenario_DT!I$13)*(1-Scenario_DT!I$14)+Scenario_DT!I$13-Scenario_DT!I$15)*Scenario_DT!I$16</f>
        <v>919.1901631240504</v>
      </c>
      <c r="S257" s="28">
        <f>((Scenario_DT!J$11*(IF(Scenario_DT!J$18=1,1,1+$M257/Scenario_DT!$C$19)*(1+$N257)^MAX(0,Scenario_DT!J$18-3))*(Scenario_DT!J$12+$O257)-Scenario_DT!J$13)*(1-Scenario_DT!J$14)+Scenario_DT!J$13-Scenario_DT!J$15)*Scenario_DT!J$16</f>
        <v>1856.3332835227825</v>
      </c>
      <c r="T257" s="28">
        <f>((Scenario_DT!K$11*(IF(Scenario_DT!K$18=1,1,1+$M257/Scenario_DT!$C$19)*(1+$N257)^MAX(0,Scenario_DT!K$18-3))*(Scenario_DT!K$12+$O257)-Scenario_DT!K$13)*(1-Scenario_DT!K$14)+Scenario_DT!K$13-Scenario_DT!K$15)*Scenario_DT!K$16</f>
        <v>2121.8944611266925</v>
      </c>
      <c r="U257" s="28">
        <f>((Scenario_DT!L$11*(IF(Scenario_DT!L$18=1,1,1+$M257/Scenario_DT!$C$19)*(1+$N257)^MAX(0,Scenario_DT!L$18-3))*(Scenario_DT!L$12+$O257)-Scenario_DT!L$13)*(1-Scenario_DT!L$14)+Scenario_DT!L$13-Scenario_DT!L$15)*Scenario_DT!L$16</f>
        <v>2525.8602091428984</v>
      </c>
      <c r="V257" s="28">
        <f>((Scenario_DT!M$11*(IF(Scenario_DT!M$18=1,1,1+$M257/Scenario_DT!$C$19)*(1+$N257)^MAX(0,Scenario_DT!M$18-3))*(Scenario_DT!M$12+$O257)-Scenario_DT!M$13)*(1-Scenario_DT!M$14)+Scenario_DT!M$13-Scenario_DT!M$15)*Scenario_DT!M$16</f>
        <v>2652.8682858137659</v>
      </c>
      <c r="W257" s="28">
        <f>((Scenario_DT!N$11*(IF(Scenario_DT!N$18=1,1,1+$M257/Scenario_DT!$C$19)*(1+$N257)^MAX(0,Scenario_DT!N$18-3))*(Scenario_DT!N$12+$O257)-Scenario_DT!N$13)*(1-Scenario_DT!N$14)+Scenario_DT!N$13-Scenario_DT!N$15)*Scenario_DT!N$16</f>
        <v>2786.2563465762173</v>
      </c>
      <c r="X257" s="28">
        <f>((Scenario_DT!O$11*(IF(Scenario_DT!O$18=1,1,1+$M257/Scenario_DT!$C$19)*(1+$N257)^MAX(0,Scenario_DT!O$18-3))*(Scenario_DT!O$12+$O257)-Scenario_DT!O$13)*(1-Scenario_DT!O$14)+Scenario_DT!O$13-Scenario_DT!O$15)*Scenario_DT!O$16</f>
        <v>2926.3472700460188</v>
      </c>
      <c r="Y257" s="28">
        <f>((Scenario_DT!P$11*(IF(Scenario_DT!P$18=1,1,1+$M257/Scenario_DT!$C$19)*(1+$N257)^MAX(0,Scenario_DT!P$18-3))*(Scenario_DT!P$12+$O257)-Scenario_DT!P$13)*(1-Scenario_DT!P$14)+Scenario_DT!P$13-Scenario_DT!P$15)*Scenario_DT!P$16</f>
        <v>3073.4802952232499</v>
      </c>
      <c r="Z257" s="28">
        <f>((Scenario_DT!Q$11*(IF(Scenario_DT!Q$18=1,1,1+$M257/Scenario_DT!$C$19)*(1+$N257)^MAX(0,Scenario_DT!Q$18-3))*(Scenario_DT!Q$12+$O257)-Scenario_DT!Q$13)*(1-Scenario_DT!Q$14)+Scenario_DT!Q$13-Scenario_DT!Q$15)*Scenario_DT!Q$16</f>
        <v>3228.0118504998609</v>
      </c>
      <c r="AA257" s="28">
        <f>((Scenario_DT!R$11*(IF(Scenario_DT!R$18=1,1,1+$M257/Scenario_DT!$C$19)*(1+$N257)^MAX(0,Scenario_DT!R$18-3))*(Scenario_DT!R$12+$O257)-Scenario_DT!R$13)*(1-Scenario_DT!R$14)+Scenario_DT!R$13-Scenario_DT!R$15)*Scenario_DT!R$16</f>
        <v>3390.3164246664624</v>
      </c>
      <c r="AB257" s="17">
        <f>(Scenario_DT!$R$11*(1+$M257/Scenario_DT!$C$19)*(1+$N257)^7*(Scenario_DT!$R$12+$O257)*(1+MIN(DCF_FCFF!$C$26+$Q257,(DCF_FCFF!$C$25+$P257)-0.02))*(1-DCF_FCFF!$C$27)*(1-DCF_FCFF!$C$28)/((DCF_FCFF!$C$25+$P257)-MIN(DCF_FCFF!$C$26+$Q257,(DCF_FCFF!$C$25+$P257)-0.02)))*(1+(DCF_FCFF!$C$25+$P257))^(-(Inputs!$C$9+9))</f>
        <v>33055.417544788739</v>
      </c>
      <c r="AC257" s="17">
        <f>SUMPRODUCT(R257:AA257*(1+(DCF_FCFF!$C$25+$P257))^(-Scenario_DT!$I$17:$R$17))+AB257</f>
        <v>49539.610272677164</v>
      </c>
      <c r="AD257" s="68">
        <f>((AC257-DCF_FCFF!$C$48)*(1-DCF_FCFF!$C$50)+DCF_FCFF!$C$57+DCF_FCFF!$C$58)/DCF_FCFF!$C$60</f>
        <v>379.07482143871675</v>
      </c>
      <c r="AE257" s="6"/>
      <c r="AF257" s="6"/>
      <c r="AG257" s="6"/>
    </row>
    <row r="258" spans="1:33" x14ac:dyDescent="0.3">
      <c r="A258" s="6"/>
      <c r="B258" s="72">
        <v>227</v>
      </c>
      <c r="C258" s="73">
        <v>0.999</v>
      </c>
      <c r="D258" s="73">
        <v>0.51645940263564105</v>
      </c>
      <c r="E258" s="73">
        <v>9.5199086960864002E-2</v>
      </c>
      <c r="F258" s="73">
        <v>0.72784329896871802</v>
      </c>
      <c r="G258" s="73">
        <v>0.97666407821658896</v>
      </c>
      <c r="H258" s="15">
        <f t="shared" si="31"/>
        <v>3.0902323061678132</v>
      </c>
      <c r="I258" s="15">
        <f t="shared" si="32"/>
        <v>4.1269315721187104E-2</v>
      </c>
      <c r="J258" s="15">
        <f t="shared" si="33"/>
        <v>-1.3094021194538465</v>
      </c>
      <c r="K258" s="15">
        <f t="shared" si="34"/>
        <v>0.60630324821472281</v>
      </c>
      <c r="L258" s="15">
        <f t="shared" si="35"/>
        <v>1.9892660619587552</v>
      </c>
      <c r="M258" s="18">
        <f t="shared" si="36"/>
        <v>6.1804646123356267E-2</v>
      </c>
      <c r="N258" s="18">
        <f t="shared" si="37"/>
        <v>1.2646851431162041E-2</v>
      </c>
      <c r="O258" s="18">
        <f t="shared" si="38"/>
        <v>-1.5712825433446161E-2</v>
      </c>
      <c r="P258" s="18">
        <f t="shared" si="39"/>
        <v>3.6378194892883369E-3</v>
      </c>
      <c r="Q258" s="18">
        <f t="shared" si="40"/>
        <v>7.9570642478350214E-3</v>
      </c>
      <c r="R258" s="28">
        <f>((Scenario_DT!I$11*(IF(Scenario_DT!I$18=1,1,1+$M258/Scenario_DT!$C$19)*(1+$N258)^MAX(0,Scenario_DT!I$18-3))*(Scenario_DT!I$12+$O258)-Scenario_DT!I$13)*(1-Scenario_DT!I$14)+Scenario_DT!I$13-Scenario_DT!I$15)*Scenario_DT!I$16</f>
        <v>888.83114463153845</v>
      </c>
      <c r="S258" s="28">
        <f>((Scenario_DT!J$11*(IF(Scenario_DT!J$18=1,1,1+$M258/Scenario_DT!$C$19)*(1+$N258)^MAX(0,Scenario_DT!J$18-3))*(Scenario_DT!J$12+$O258)-Scenario_DT!J$13)*(1-Scenario_DT!J$14)+Scenario_DT!J$13-Scenario_DT!J$15)*Scenario_DT!J$16</f>
        <v>1927.9694161984185</v>
      </c>
      <c r="T258" s="28">
        <f>((Scenario_DT!K$11*(IF(Scenario_DT!K$18=1,1,1+$M258/Scenario_DT!$C$19)*(1+$N258)^MAX(0,Scenario_DT!K$18-3))*(Scenario_DT!K$12+$O258)-Scenario_DT!K$13)*(1-Scenario_DT!K$14)+Scenario_DT!K$13-Scenario_DT!K$15)*Scenario_DT!K$16</f>
        <v>2198.1452297344831</v>
      </c>
      <c r="U258" s="28">
        <f>((Scenario_DT!L$11*(IF(Scenario_DT!L$18=1,1,1+$M258/Scenario_DT!$C$19)*(1+$N258)^MAX(0,Scenario_DT!L$18-3))*(Scenario_DT!L$12+$O258)-Scenario_DT!L$13)*(1-Scenario_DT!L$14)+Scenario_DT!L$13-Scenario_DT!L$15)*Scenario_DT!L$16</f>
        <v>2638.6183736665498</v>
      </c>
      <c r="V258" s="28">
        <f>((Scenario_DT!M$11*(IF(Scenario_DT!M$18=1,1,1+$M258/Scenario_DT!$C$19)*(1+$N258)^MAX(0,Scenario_DT!M$18-3))*(Scenario_DT!M$12+$O258)-Scenario_DT!M$13)*(1-Scenario_DT!M$14)+Scenario_DT!M$13-Scenario_DT!M$15)*Scenario_DT!M$16</f>
        <v>2805.0906726403955</v>
      </c>
      <c r="W258" s="28">
        <f>((Scenario_DT!N$11*(IF(Scenario_DT!N$18=1,1,1+$M258/Scenario_DT!$C$19)*(1+$N258)^MAX(0,Scenario_DT!N$18-3))*(Scenario_DT!N$12+$O258)-Scenario_DT!N$13)*(1-Scenario_DT!N$14)+Scenario_DT!N$13-Scenario_DT!N$15)*Scenario_DT!N$16</f>
        <v>2982.0749326850678</v>
      </c>
      <c r="X258" s="28">
        <f>((Scenario_DT!O$11*(IF(Scenario_DT!O$18=1,1,1+$M258/Scenario_DT!$C$19)*(1+$N258)^MAX(0,Scenario_DT!O$18-3))*(Scenario_DT!O$12+$O258)-Scenario_DT!O$13)*(1-Scenario_DT!O$14)+Scenario_DT!O$13-Scenario_DT!O$15)*Scenario_DT!O$16</f>
        <v>3170.2381597459471</v>
      </c>
      <c r="Y258" s="28">
        <f>((Scenario_DT!P$11*(IF(Scenario_DT!P$18=1,1,1+$M258/Scenario_DT!$C$19)*(1+$N258)^MAX(0,Scenario_DT!P$18-3))*(Scenario_DT!P$12+$O258)-Scenario_DT!P$13)*(1-Scenario_DT!P$14)+Scenario_DT!P$13-Scenario_DT!P$15)*Scenario_DT!P$16</f>
        <v>3370.2896759081909</v>
      </c>
      <c r="Z258" s="28">
        <f>((Scenario_DT!Q$11*(IF(Scenario_DT!Q$18=1,1,1+$M258/Scenario_DT!$C$19)*(1+$N258)^MAX(0,Scenario_DT!Q$18-3))*(Scenario_DT!Q$12+$O258)-Scenario_DT!Q$13)*(1-Scenario_DT!Q$14)+Scenario_DT!Q$13-Scenario_DT!Q$15)*Scenario_DT!Q$16</f>
        <v>3582.9838022075978</v>
      </c>
      <c r="AA258" s="28">
        <f>((Scenario_DT!R$11*(IF(Scenario_DT!R$18=1,1,1+$M258/Scenario_DT!$C$19)*(1+$N258)^MAX(0,Scenario_DT!R$18-3))*(Scenario_DT!R$12+$O258)-Scenario_DT!R$13)*(1-Scenario_DT!R$14)+Scenario_DT!R$13-Scenario_DT!R$15)*Scenario_DT!R$16</f>
        <v>3809.1227114344933</v>
      </c>
      <c r="AB258" s="17">
        <f>(Scenario_DT!$R$11*(1+$M258/Scenario_DT!$C$19)*(1+$N258)^7*(Scenario_DT!$R$12+$O258)*(1+MIN(DCF_FCFF!$C$26+$Q258,(DCF_FCFF!$C$25+$P258)-0.02))*(1-DCF_FCFF!$C$27)*(1-DCF_FCFF!$C$28)/((DCF_FCFF!$C$25+$P258)-MIN(DCF_FCFF!$C$26+$Q258,(DCF_FCFF!$C$25+$P258)-0.02)))*(1+(DCF_FCFF!$C$25+$P258))^(-(Inputs!$C$9+9))</f>
        <v>34275.950030239721</v>
      </c>
      <c r="AC258" s="17">
        <f>SUMPRODUCT(R258:AA258*(1+(DCF_FCFF!$C$25+$P258))^(-Scenario_DT!$I$17:$R$17))+AB258</f>
        <v>51751.237330770615</v>
      </c>
      <c r="AD258" s="68">
        <f>((AC258-DCF_FCFF!$C$48)*(1-DCF_FCFF!$C$50)+DCF_FCFF!$C$57+DCF_FCFF!$C$58)/DCF_FCFF!$C$60</f>
        <v>400.30371751779114</v>
      </c>
      <c r="AE258" s="6"/>
      <c r="AF258" s="6"/>
      <c r="AG258" s="6"/>
    </row>
    <row r="259" spans="1:33" x14ac:dyDescent="0.3">
      <c r="A259" s="6"/>
      <c r="B259" s="72">
        <v>228</v>
      </c>
      <c r="C259" s="73">
        <v>0.31832638762901999</v>
      </c>
      <c r="D259" s="73">
        <v>0.46120888583757402</v>
      </c>
      <c r="E259" s="73">
        <v>0.42477692481545598</v>
      </c>
      <c r="F259" s="73">
        <v>5.14191545569294E-2</v>
      </c>
      <c r="G259" s="73">
        <v>0.67226443122344504</v>
      </c>
      <c r="H259" s="15">
        <f t="shared" si="31"/>
        <v>-0.4723839263518555</v>
      </c>
      <c r="I259" s="15">
        <f t="shared" si="32"/>
        <v>-9.7388632616072418E-2</v>
      </c>
      <c r="J259" s="15">
        <f t="shared" si="33"/>
        <v>-0.18968771297223105</v>
      </c>
      <c r="K259" s="15">
        <f t="shared" si="34"/>
        <v>-1.6312465380971575</v>
      </c>
      <c r="L259" s="15">
        <f t="shared" si="35"/>
        <v>0.44617458817799066</v>
      </c>
      <c r="M259" s="18">
        <f t="shared" si="36"/>
        <v>-9.4476785270371094E-3</v>
      </c>
      <c r="N259" s="18">
        <f t="shared" si="37"/>
        <v>-2.5642639444902098E-3</v>
      </c>
      <c r="O259" s="18">
        <f t="shared" si="38"/>
        <v>-2.2762525556667729E-3</v>
      </c>
      <c r="P259" s="18">
        <f t="shared" si="39"/>
        <v>-9.7874792285829442E-3</v>
      </c>
      <c r="Q259" s="18">
        <f t="shared" si="40"/>
        <v>1.7846983527119626E-3</v>
      </c>
      <c r="R259" s="28">
        <f>((Scenario_DT!I$11*(IF(Scenario_DT!I$18=1,1,1+$M259/Scenario_DT!$C$19)*(1+$N259)^MAX(0,Scenario_DT!I$18-3))*(Scenario_DT!I$12+$O259)-Scenario_DT!I$13)*(1-Scenario_DT!I$14)+Scenario_DT!I$13-Scenario_DT!I$15)*Scenario_DT!I$16</f>
        <v>907.77526639302096</v>
      </c>
      <c r="S259" s="28">
        <f>((Scenario_DT!J$11*(IF(Scenario_DT!J$18=1,1,1+$M259/Scenario_DT!$C$19)*(1+$N259)^MAX(0,Scenario_DT!J$18-3))*(Scenario_DT!J$12+$O259)-Scenario_DT!J$13)*(1-Scenario_DT!J$14)+Scenario_DT!J$13-Scenario_DT!J$15)*Scenario_DT!J$16</f>
        <v>1802.2667721237981</v>
      </c>
      <c r="T259" s="28">
        <f>((Scenario_DT!K$11*(IF(Scenario_DT!K$18=1,1,1+$M259/Scenario_DT!$C$19)*(1+$N259)^MAX(0,Scenario_DT!K$18-3))*(Scenario_DT!K$12+$O259)-Scenario_DT!K$13)*(1-Scenario_DT!K$14)+Scenario_DT!K$13-Scenario_DT!K$15)*Scenario_DT!K$16</f>
        <v>2065.4533935667018</v>
      </c>
      <c r="U259" s="28">
        <f>((Scenario_DT!L$11*(IF(Scenario_DT!L$18=1,1,1+$M259/Scenario_DT!$C$19)*(1+$N259)^MAX(0,Scenario_DT!L$18-3))*(Scenario_DT!L$12+$O259)-Scenario_DT!L$13)*(1-Scenario_DT!L$14)+Scenario_DT!L$13-Scenario_DT!L$15)*Scenario_DT!L$16</f>
        <v>2458.2019576100747</v>
      </c>
      <c r="V259" s="28">
        <f>((Scenario_DT!M$11*(IF(Scenario_DT!M$18=1,1,1+$M259/Scenario_DT!$C$19)*(1+$N259)^MAX(0,Scenario_DT!M$18-3))*(Scenario_DT!M$12+$O259)-Scenario_DT!M$13)*(1-Scenario_DT!M$14)+Scenario_DT!M$13-Scenario_DT!M$15)*Scenario_DT!M$16</f>
        <v>2573.7265378931361</v>
      </c>
      <c r="W259" s="28">
        <f>((Scenario_DT!N$11*(IF(Scenario_DT!N$18=1,1,1+$M259/Scenario_DT!$C$19)*(1+$N259)^MAX(0,Scenario_DT!N$18-3))*(Scenario_DT!N$12+$O259)-Scenario_DT!N$13)*(1-Scenario_DT!N$14)+Scenario_DT!N$13-Scenario_DT!N$15)*Scenario_DT!N$16</f>
        <v>2694.6690296260426</v>
      </c>
      <c r="X259" s="28">
        <f>((Scenario_DT!O$11*(IF(Scenario_DT!O$18=1,1,1+$M259/Scenario_DT!$C$19)*(1+$N259)^MAX(0,Scenario_DT!O$18-3))*(Scenario_DT!O$12+$O259)-Scenario_DT!O$13)*(1-Scenario_DT!O$14)+Scenario_DT!O$13-Scenario_DT!O$15)*Scenario_DT!O$16</f>
        <v>2821.2856207004334</v>
      </c>
      <c r="Y259" s="28">
        <f>((Scenario_DT!P$11*(IF(Scenario_DT!P$18=1,1,1+$M259/Scenario_DT!$C$19)*(1+$N259)^MAX(0,Scenario_DT!P$18-3))*(Scenario_DT!P$12+$O259)-Scenario_DT!P$13)*(1-Scenario_DT!P$14)+Scenario_DT!P$13-Scenario_DT!P$15)*Scenario_DT!P$16</f>
        <v>2953.8446335827634</v>
      </c>
      <c r="Z259" s="28">
        <f>((Scenario_DT!Q$11*(IF(Scenario_DT!Q$18=1,1,1+$M259/Scenario_DT!$C$19)*(1+$N259)^MAX(0,Scenario_DT!Q$18-3))*(Scenario_DT!Q$12+$O259)-Scenario_DT!Q$13)*(1-Scenario_DT!Q$14)+Scenario_DT!Q$13-Scenario_DT!Q$15)*Scenario_DT!Q$16</f>
        <v>3092.6271002624881</v>
      </c>
      <c r="AA259" s="28">
        <f>((Scenario_DT!R$11*(IF(Scenario_DT!R$18=1,1,1+$M259/Scenario_DT!$C$19)*(1+$N259)^MAX(0,Scenario_DT!R$18-3))*(Scenario_DT!R$12+$O259)-Scenario_DT!R$13)*(1-Scenario_DT!R$14)+Scenario_DT!R$13-Scenario_DT!R$15)*Scenario_DT!R$16</f>
        <v>3237.9273644426321</v>
      </c>
      <c r="AB259" s="17">
        <f>(Scenario_DT!$R$11*(1+$M259/Scenario_DT!$C$19)*(1+$N259)^7*(Scenario_DT!$R$12+$O259)*(1+MIN(DCF_FCFF!$C$26+$Q259,(DCF_FCFF!$C$25+$P259)-0.02))*(1-DCF_FCFF!$C$27)*(1-DCF_FCFF!$C$28)/((DCF_FCFF!$C$25+$P259)-MIN(DCF_FCFF!$C$26+$Q259,(DCF_FCFF!$C$25+$P259)-0.02)))*(1+(DCF_FCFF!$C$25+$P259))^(-(Inputs!$C$9+9))</f>
        <v>38689.931666672244</v>
      </c>
      <c r="AC259" s="17">
        <f>SUMPRODUCT(R259:AA259*(1+(DCF_FCFF!$C$25+$P259))^(-Scenario_DT!$I$17:$R$17))+AB259</f>
        <v>55481.179226084932</v>
      </c>
      <c r="AD259" s="68">
        <f>((AC259-DCF_FCFF!$C$48)*(1-DCF_FCFF!$C$50)+DCF_FCFF!$C$57+DCF_FCFF!$C$58)/DCF_FCFF!$C$60</f>
        <v>436.10656618834116</v>
      </c>
      <c r="AE259" s="6"/>
      <c r="AF259" s="6"/>
      <c r="AG259" s="6"/>
    </row>
    <row r="260" spans="1:33" x14ac:dyDescent="0.3">
      <c r="A260" s="6"/>
      <c r="B260" s="72">
        <v>229</v>
      </c>
      <c r="C260" s="73">
        <v>0.35333769506846802</v>
      </c>
      <c r="D260" s="73">
        <v>0.78746387463150203</v>
      </c>
      <c r="E260" s="73">
        <v>0.83212007528198595</v>
      </c>
      <c r="F260" s="73">
        <v>0.82123078659784499</v>
      </c>
      <c r="G260" s="73">
        <v>0.41666599803988003</v>
      </c>
      <c r="H260" s="15">
        <f t="shared" si="31"/>
        <v>-0.37632487297986134</v>
      </c>
      <c r="I260" s="15">
        <f t="shared" si="32"/>
        <v>0.79765237071619188</v>
      </c>
      <c r="J260" s="15">
        <f t="shared" si="33"/>
        <v>0.96257699000174679</v>
      </c>
      <c r="K260" s="15">
        <f t="shared" si="34"/>
        <v>0.92006570084599104</v>
      </c>
      <c r="L260" s="15">
        <f t="shared" si="35"/>
        <v>-0.2104301077675679</v>
      </c>
      <c r="M260" s="18">
        <f t="shared" si="36"/>
        <v>-7.5264974595972266E-3</v>
      </c>
      <c r="N260" s="18">
        <f t="shared" si="37"/>
        <v>4.0209982395133931E-3</v>
      </c>
      <c r="O260" s="18">
        <f t="shared" si="38"/>
        <v>1.1550923880020962E-2</v>
      </c>
      <c r="P260" s="18">
        <f t="shared" si="39"/>
        <v>5.5203942050759463E-3</v>
      </c>
      <c r="Q260" s="18">
        <f t="shared" si="40"/>
        <v>-8.4172043107027161E-4</v>
      </c>
      <c r="R260" s="28">
        <f>((Scenario_DT!I$11*(IF(Scenario_DT!I$18=1,1,1+$M260/Scenario_DT!$C$19)*(1+$N260)^MAX(0,Scenario_DT!I$18-3))*(Scenario_DT!I$12+$O260)-Scenario_DT!I$13)*(1-Scenario_DT!I$14)+Scenario_DT!I$13-Scenario_DT!I$15)*Scenario_DT!I$16</f>
        <v>927.27009713578855</v>
      </c>
      <c r="S260" s="28">
        <f>((Scenario_DT!J$11*(IF(Scenario_DT!J$18=1,1,1+$M260/Scenario_DT!$C$19)*(1+$N260)^MAX(0,Scenario_DT!J$18-3))*(Scenario_DT!J$12+$O260)-Scenario_DT!J$13)*(1-Scenario_DT!J$14)+Scenario_DT!J$13-Scenario_DT!J$15)*Scenario_DT!J$16</f>
        <v>1849.4832273273341</v>
      </c>
      <c r="T260" s="28">
        <f>((Scenario_DT!K$11*(IF(Scenario_DT!K$18=1,1,1+$M260/Scenario_DT!$C$19)*(1+$N260)^MAX(0,Scenario_DT!K$18-3))*(Scenario_DT!K$12+$O260)-Scenario_DT!K$13)*(1-Scenario_DT!K$14)+Scenario_DT!K$13-Scenario_DT!K$15)*Scenario_DT!K$16</f>
        <v>2114.4504336468549</v>
      </c>
      <c r="U260" s="28">
        <f>((Scenario_DT!L$11*(IF(Scenario_DT!L$18=1,1,1+$M260/Scenario_DT!$C$19)*(1+$N260)^MAX(0,Scenario_DT!L$18-3))*(Scenario_DT!L$12+$O260)-Scenario_DT!L$13)*(1-Scenario_DT!L$14)+Scenario_DT!L$13-Scenario_DT!L$15)*Scenario_DT!L$16</f>
        <v>2526.7760096575885</v>
      </c>
      <c r="V260" s="28">
        <f>((Scenario_DT!M$11*(IF(Scenario_DT!M$18=1,1,1+$M260/Scenario_DT!$C$19)*(1+$N260)^MAX(0,Scenario_DT!M$18-3))*(Scenario_DT!M$12+$O260)-Scenario_DT!M$13)*(1-Scenario_DT!M$14)+Scenario_DT!M$13-Scenario_DT!M$15)*Scenario_DT!M$16</f>
        <v>2663.1327968848154</v>
      </c>
      <c r="W260" s="28">
        <f>((Scenario_DT!N$11*(IF(Scenario_DT!N$18=1,1,1+$M260/Scenario_DT!$C$19)*(1+$N260)^MAX(0,Scenario_DT!N$18-3))*(Scenario_DT!N$12+$O260)-Scenario_DT!N$13)*(1-Scenario_DT!N$14)+Scenario_DT!N$13-Scenario_DT!N$15)*Scenario_DT!N$16</f>
        <v>2806.8466805558187</v>
      </c>
      <c r="X260" s="28">
        <f>((Scenario_DT!O$11*(IF(Scenario_DT!O$18=1,1,1+$M260/Scenario_DT!$C$19)*(1+$N260)^MAX(0,Scenario_DT!O$18-3))*(Scenario_DT!O$12+$O260)-Scenario_DT!O$13)*(1-Scenario_DT!O$14)+Scenario_DT!O$13-Scenario_DT!O$15)*Scenario_DT!O$16</f>
        <v>2958.3172962641274</v>
      </c>
      <c r="Y260" s="28">
        <f>((Scenario_DT!P$11*(IF(Scenario_DT!P$18=1,1,1+$M260/Scenario_DT!$C$19)*(1+$N260)^MAX(0,Scenario_DT!P$18-3))*(Scenario_DT!P$12+$O260)-Scenario_DT!P$13)*(1-Scenario_DT!P$14)+Scenario_DT!P$13-Scenario_DT!P$15)*Scenario_DT!P$16</f>
        <v>3117.966004137385</v>
      </c>
      <c r="Z260" s="28">
        <f>((Scenario_DT!Q$11*(IF(Scenario_DT!Q$18=1,1,1+$M260/Scenario_DT!$C$19)*(1+$N260)^MAX(0,Scenario_DT!Q$18-3))*(Scenario_DT!Q$12+$O260)-Scenario_DT!Q$13)*(1-Scenario_DT!Q$14)+Scenario_DT!Q$13-Scenario_DT!Q$15)*Scenario_DT!Q$16</f>
        <v>3286.2370694907404</v>
      </c>
      <c r="AA260" s="28">
        <f>((Scenario_DT!R$11*(IF(Scenario_DT!R$18=1,1,1+$M260/Scenario_DT!$C$19)*(1+$N260)^MAX(0,Scenario_DT!R$18-3))*(Scenario_DT!R$12+$O260)-Scenario_DT!R$13)*(1-Scenario_DT!R$14)+Scenario_DT!R$13-Scenario_DT!R$15)*Scenario_DT!R$16</f>
        <v>3463.5989076203032</v>
      </c>
      <c r="AB260" s="17">
        <f>(Scenario_DT!$R$11*(1+$M260/Scenario_DT!$C$19)*(1+$N260)^7*(Scenario_DT!$R$12+$O260)*(1+MIN(DCF_FCFF!$C$26+$Q260,(DCF_FCFF!$C$25+$P260)-0.02))*(1-DCF_FCFF!$C$27)*(1-DCF_FCFF!$C$28)/((DCF_FCFF!$C$25+$P260)-MIN(DCF_FCFF!$C$26+$Q260,(DCF_FCFF!$C$25+$P260)-0.02)))*(1+(DCF_FCFF!$C$25+$P260))^(-(Inputs!$C$9+9))</f>
        <v>24702.069317154557</v>
      </c>
      <c r="AC260" s="17">
        <f>SUMPRODUCT(R260:AA260*(1+(DCF_FCFF!$C$25+$P260))^(-Scenario_DT!$I$17:$R$17))+AB260</f>
        <v>41087.826561803806</v>
      </c>
      <c r="AD260" s="68">
        <f>((AC260-DCF_FCFF!$C$48)*(1-DCF_FCFF!$C$50)+DCF_FCFF!$C$57+DCF_FCFF!$C$58)/DCF_FCFF!$C$60</f>
        <v>297.94810641488414</v>
      </c>
      <c r="AE260" s="6"/>
      <c r="AF260" s="6"/>
      <c r="AG260" s="6"/>
    </row>
    <row r="261" spans="1:33" x14ac:dyDescent="0.3">
      <c r="A261" s="6"/>
      <c r="B261" s="72">
        <v>230</v>
      </c>
      <c r="C261" s="73">
        <v>0.32154568224090002</v>
      </c>
      <c r="D261" s="73">
        <v>0.74882077966705496</v>
      </c>
      <c r="E261" s="73">
        <v>0.80138943384272299</v>
      </c>
      <c r="F261" s="73">
        <v>0.49125744639136598</v>
      </c>
      <c r="G261" s="73">
        <v>0.89303101953630304</v>
      </c>
      <c r="H261" s="15">
        <f t="shared" si="31"/>
        <v>-0.463380903268301</v>
      </c>
      <c r="I261" s="15">
        <f t="shared" si="32"/>
        <v>0.67078353068666396</v>
      </c>
      <c r="J261" s="15">
        <f t="shared" si="33"/>
        <v>0.84659458661108644</v>
      </c>
      <c r="K261" s="15">
        <f t="shared" si="34"/>
        <v>-2.1916086378412448E-2</v>
      </c>
      <c r="L261" s="15">
        <f t="shared" si="35"/>
        <v>1.2428097170731434</v>
      </c>
      <c r="M261" s="18">
        <f t="shared" si="36"/>
        <v>-9.2676180653660199E-3</v>
      </c>
      <c r="N261" s="18">
        <f t="shared" si="37"/>
        <v>2.7938010110457523E-3</v>
      </c>
      <c r="O261" s="18">
        <f t="shared" si="38"/>
        <v>1.0159135039333038E-2</v>
      </c>
      <c r="P261" s="18">
        <f t="shared" si="39"/>
        <v>-1.314965182704747E-4</v>
      </c>
      <c r="Q261" s="18">
        <f t="shared" si="40"/>
        <v>4.9712388682925735E-3</v>
      </c>
      <c r="R261" s="28">
        <f>((Scenario_DT!I$11*(IF(Scenario_DT!I$18=1,1,1+$M261/Scenario_DT!$C$19)*(1+$N261)^MAX(0,Scenario_DT!I$18-3))*(Scenario_DT!I$12+$O261)-Scenario_DT!I$13)*(1-Scenario_DT!I$14)+Scenario_DT!I$13-Scenario_DT!I$15)*Scenario_DT!I$16</f>
        <v>925.30782464978381</v>
      </c>
      <c r="S261" s="28">
        <f>((Scenario_DT!J$11*(IF(Scenario_DT!J$18=1,1,1+$M261/Scenario_DT!$C$19)*(1+$N261)^MAX(0,Scenario_DT!J$18-3))*(Scenario_DT!J$12+$O261)-Scenario_DT!J$13)*(1-Scenario_DT!J$14)+Scenario_DT!J$13-Scenario_DT!J$15)*Scenario_DT!J$16</f>
        <v>1840.961927422039</v>
      </c>
      <c r="T261" s="28">
        <f>((Scenario_DT!K$11*(IF(Scenario_DT!K$18=1,1,1+$M261/Scenario_DT!$C$19)*(1+$N261)^MAX(0,Scenario_DT!K$18-3))*(Scenario_DT!K$12+$O261)-Scenario_DT!K$13)*(1-Scenario_DT!K$14)+Scenario_DT!K$13-Scenario_DT!K$15)*Scenario_DT!K$16</f>
        <v>2105.5603738387167</v>
      </c>
      <c r="U261" s="28">
        <f>((Scenario_DT!L$11*(IF(Scenario_DT!L$18=1,1,1+$M261/Scenario_DT!$C$19)*(1+$N261)^MAX(0,Scenario_DT!L$18-3))*(Scenario_DT!L$12+$O261)-Scenario_DT!L$13)*(1-Scenario_DT!L$14)+Scenario_DT!L$13-Scenario_DT!L$15)*Scenario_DT!L$16</f>
        <v>2514.201317169458</v>
      </c>
      <c r="V261" s="28">
        <f>((Scenario_DT!M$11*(IF(Scenario_DT!M$18=1,1,1+$M261/Scenario_DT!$C$19)*(1+$N261)^MAX(0,Scenario_DT!M$18-3))*(Scenario_DT!M$12+$O261)-Scenario_DT!M$13)*(1-Scenario_DT!M$14)+Scenario_DT!M$13-Scenario_DT!M$15)*Scenario_DT!M$16</f>
        <v>2646.6148426369646</v>
      </c>
      <c r="W261" s="28">
        <f>((Scenario_DT!N$11*(IF(Scenario_DT!N$18=1,1,1+$M261/Scenario_DT!$C$19)*(1+$N261)^MAX(0,Scenario_DT!N$18-3))*(Scenario_DT!N$12+$O261)-Scenario_DT!N$13)*(1-Scenario_DT!N$14)+Scenario_DT!N$13-Scenario_DT!N$15)*Scenario_DT!N$16</f>
        <v>2785.9990136164538</v>
      </c>
      <c r="X261" s="28">
        <f>((Scenario_DT!O$11*(IF(Scenario_DT!O$18=1,1,1+$M261/Scenario_DT!$C$19)*(1+$N261)^MAX(0,Scenario_DT!O$18-3))*(Scenario_DT!O$12+$O261)-Scenario_DT!O$13)*(1-Scenario_DT!O$14)+Scenario_DT!O$13-Scenario_DT!O$15)*Scenario_DT!O$16</f>
        <v>2932.7233731447268</v>
      </c>
      <c r="Y261" s="28">
        <f>((Scenario_DT!P$11*(IF(Scenario_DT!P$18=1,1,1+$M261/Scenario_DT!$C$19)*(1+$N261)^MAX(0,Scenario_DT!P$18-3))*(Scenario_DT!P$12+$O261)-Scenario_DT!P$13)*(1-Scenario_DT!P$14)+Scenario_DT!P$13-Scenario_DT!P$15)*Scenario_DT!P$16</f>
        <v>3087.1770733854496</v>
      </c>
      <c r="Z261" s="28">
        <f>((Scenario_DT!Q$11*(IF(Scenario_DT!Q$18=1,1,1+$M261/Scenario_DT!$C$19)*(1+$N261)^MAX(0,Scenario_DT!Q$18-3))*(Scenario_DT!Q$12+$O261)-Scenario_DT!Q$13)*(1-Scenario_DT!Q$14)+Scenario_DT!Q$13-Scenario_DT!Q$15)*Scenario_DT!Q$16</f>
        <v>3249.7699159754652</v>
      </c>
      <c r="AA261" s="28">
        <f>((Scenario_DT!R$11*(IF(Scenario_DT!R$18=1,1,1+$M261/Scenario_DT!$C$19)*(1+$N261)^MAX(0,Scenario_DT!R$18-3))*(Scenario_DT!R$12+$O261)-Scenario_DT!R$13)*(1-Scenario_DT!R$14)+Scenario_DT!R$13-Scenario_DT!R$15)*Scenario_DT!R$16</f>
        <v>3420.9334475480496</v>
      </c>
      <c r="AB261" s="17">
        <f>(Scenario_DT!$R$11*(1+$M261/Scenario_DT!$C$19)*(1+$N261)^7*(Scenario_DT!$R$12+$O261)*(1+MIN(DCF_FCFF!$C$26+$Q261,(DCF_FCFF!$C$25+$P261)-0.02))*(1-DCF_FCFF!$C$27)*(1-DCF_FCFF!$C$28)/((DCF_FCFF!$C$25+$P261)-MIN(DCF_FCFF!$C$26+$Q261,(DCF_FCFF!$C$25+$P261)-0.02)))*(1+(DCF_FCFF!$C$25+$P261))^(-(Inputs!$C$9+9))</f>
        <v>32290.613849593497</v>
      </c>
      <c r="AC261" s="17">
        <f>SUMPRODUCT(R261:AA261*(1+(DCF_FCFF!$C$25+$P261))^(-Scenario_DT!$I$17:$R$17))+AB261</f>
        <v>48949.319944370101</v>
      </c>
      <c r="AD261" s="68">
        <f>((AC261-DCF_FCFF!$C$48)*(1-DCF_FCFF!$C$50)+DCF_FCFF!$C$57+DCF_FCFF!$C$58)/DCF_FCFF!$C$60</f>
        <v>373.4087612454959</v>
      </c>
      <c r="AE261" s="6"/>
      <c r="AF261" s="6"/>
      <c r="AG261" s="6"/>
    </row>
    <row r="262" spans="1:33" x14ac:dyDescent="0.3">
      <c r="A262" s="6"/>
      <c r="B262" s="72">
        <v>231</v>
      </c>
      <c r="C262" s="73">
        <v>0.143908696078558</v>
      </c>
      <c r="D262" s="73">
        <v>0.87906877965896002</v>
      </c>
      <c r="E262" s="73">
        <v>9.60952329718813E-2</v>
      </c>
      <c r="F262" s="73">
        <v>0.15352552205461401</v>
      </c>
      <c r="G262" s="73">
        <v>0.53384001327396002</v>
      </c>
      <c r="H262" s="15">
        <f t="shared" si="31"/>
        <v>-1.0629218524601516</v>
      </c>
      <c r="I262" s="15">
        <f t="shared" si="32"/>
        <v>1.170344301045761</v>
      </c>
      <c r="J262" s="15">
        <f t="shared" si="33"/>
        <v>-1.3041264675709947</v>
      </c>
      <c r="K262" s="15">
        <f t="shared" si="34"/>
        <v>-1.0214293957698095</v>
      </c>
      <c r="L262" s="15">
        <f t="shared" si="35"/>
        <v>8.4926311934055643E-2</v>
      </c>
      <c r="M262" s="18">
        <f t="shared" si="36"/>
        <v>-2.1258437049203032E-2</v>
      </c>
      <c r="N262" s="18">
        <f t="shared" si="37"/>
        <v>3.8566957571991678E-3</v>
      </c>
      <c r="O262" s="18">
        <f t="shared" si="38"/>
        <v>-1.5649517610851937E-2</v>
      </c>
      <c r="P262" s="18">
        <f t="shared" si="39"/>
        <v>-6.1285763746188569E-3</v>
      </c>
      <c r="Q262" s="18">
        <f t="shared" si="40"/>
        <v>3.3970524773622258E-4</v>
      </c>
      <c r="R262" s="28">
        <f>((Scenario_DT!I$11*(IF(Scenario_DT!I$18=1,1,1+$M262/Scenario_DT!$C$19)*(1+$N262)^MAX(0,Scenario_DT!I$18-3))*(Scenario_DT!I$12+$O262)-Scenario_DT!I$13)*(1-Scenario_DT!I$14)+Scenario_DT!I$13-Scenario_DT!I$15)*Scenario_DT!I$16</f>
        <v>888.9204018484337</v>
      </c>
      <c r="S262" s="28">
        <f>((Scenario_DT!J$11*(IF(Scenario_DT!J$18=1,1,1+$M262/Scenario_DT!$C$19)*(1+$N262)^MAX(0,Scenario_DT!J$18-3))*(Scenario_DT!J$12+$O262)-Scenario_DT!J$13)*(1-Scenario_DT!J$14)+Scenario_DT!J$13-Scenario_DT!J$15)*Scenario_DT!J$16</f>
        <v>1733.4327069522742</v>
      </c>
      <c r="T262" s="28">
        <f>((Scenario_DT!K$11*(IF(Scenario_DT!K$18=1,1,1+$M262/Scenario_DT!$C$19)*(1+$N262)^MAX(0,Scenario_DT!K$18-3))*(Scenario_DT!K$12+$O262)-Scenario_DT!K$13)*(1-Scenario_DT!K$14)+Scenario_DT!K$13-Scenario_DT!K$15)*Scenario_DT!K$16</f>
        <v>1993.7171628388915</v>
      </c>
      <c r="U262" s="28">
        <f>((Scenario_DT!L$11*(IF(Scenario_DT!L$18=1,1,1+$M262/Scenario_DT!$C$19)*(1+$N262)^MAX(0,Scenario_DT!L$18-3))*(Scenario_DT!L$12+$O262)-Scenario_DT!L$13)*(1-Scenario_DT!L$14)+Scenario_DT!L$13-Scenario_DT!L$15)*Scenario_DT!L$16</f>
        <v>2397.6735450962233</v>
      </c>
      <c r="V262" s="28">
        <f>((Scenario_DT!M$11*(IF(Scenario_DT!M$18=1,1,1+$M262/Scenario_DT!$C$19)*(1+$N262)^MAX(0,Scenario_DT!M$18-3))*(Scenario_DT!M$12+$O262)-Scenario_DT!M$13)*(1-Scenario_DT!M$14)+Scenario_DT!M$13-Scenario_DT!M$15)*Scenario_DT!M$16</f>
        <v>2526.6135801587252</v>
      </c>
      <c r="W262" s="28">
        <f>((Scenario_DT!N$11*(IF(Scenario_DT!N$18=1,1,1+$M262/Scenario_DT!$C$19)*(1+$N262)^MAX(0,Scenario_DT!N$18-3))*(Scenario_DT!N$12+$O262)-Scenario_DT!N$13)*(1-Scenario_DT!N$14)+Scenario_DT!N$13-Scenario_DT!N$15)*Scenario_DT!N$16</f>
        <v>2662.4860457257473</v>
      </c>
      <c r="X262" s="28">
        <f>((Scenario_DT!O$11*(IF(Scenario_DT!O$18=1,1,1+$M262/Scenario_DT!$C$19)*(1+$N262)^MAX(0,Scenario_DT!O$18-3))*(Scenario_DT!O$12+$O262)-Scenario_DT!O$13)*(1-Scenario_DT!O$14)+Scenario_DT!O$13-Scenario_DT!O$15)*Scenario_DT!O$16</f>
        <v>2805.6663342385623</v>
      </c>
      <c r="Y262" s="28">
        <f>((Scenario_DT!P$11*(IF(Scenario_DT!P$18=1,1,1+$M262/Scenario_DT!$C$19)*(1+$N262)^MAX(0,Scenario_DT!P$18-3))*(Scenario_DT!P$12+$O262)-Scenario_DT!P$13)*(1-Scenario_DT!P$14)+Scenario_DT!P$13-Scenario_DT!P$15)*Scenario_DT!P$16</f>
        <v>2956.5501823865693</v>
      </c>
      <c r="Z262" s="28">
        <f>((Scenario_DT!Q$11*(IF(Scenario_DT!Q$18=1,1,1+$M262/Scenario_DT!$C$19)*(1+$N262)^MAX(0,Scenario_DT!Q$18-3))*(Scenario_DT!Q$12+$O262)-Scenario_DT!Q$13)*(1-Scenario_DT!Q$14)+Scenario_DT!Q$13-Scenario_DT!Q$15)*Scenario_DT!Q$16</f>
        <v>3115.5547733637763</v>
      </c>
      <c r="AA262" s="28">
        <f>((Scenario_DT!R$11*(IF(Scenario_DT!R$18=1,1,1+$M262/Scenario_DT!$C$19)*(1+$N262)^MAX(0,Scenario_DT!R$18-3))*(Scenario_DT!R$12+$O262)-Scenario_DT!R$13)*(1-Scenario_DT!R$14)+Scenario_DT!R$13-Scenario_DT!R$15)*Scenario_DT!R$16</f>
        <v>3283.1198988223564</v>
      </c>
      <c r="AB262" s="17">
        <f>(Scenario_DT!$R$11*(1+$M262/Scenario_DT!$C$19)*(1+$N262)^7*(Scenario_DT!$R$12+$O262)*(1+MIN(DCF_FCFF!$C$26+$Q262,(DCF_FCFF!$C$25+$P262)-0.02))*(1-DCF_FCFF!$C$27)*(1-DCF_FCFF!$C$28)/((DCF_FCFF!$C$25+$P262)-MIN(DCF_FCFF!$C$26+$Q262,(DCF_FCFF!$C$25+$P262)-0.02)))*(1+(DCF_FCFF!$C$25+$P262))^(-(Inputs!$C$9+9))</f>
        <v>33529.01559796591</v>
      </c>
      <c r="AC262" s="17">
        <f>SUMPRODUCT(R262:AA262*(1+(DCF_FCFF!$C$25+$P262))^(-Scenario_DT!$I$17:$R$17))+AB262</f>
        <v>49838.132705300253</v>
      </c>
      <c r="AD262" s="68">
        <f>((AC262-DCF_FCFF!$C$48)*(1-DCF_FCFF!$C$50)+DCF_FCFF!$C$57+DCF_FCFF!$C$58)/DCF_FCFF!$C$60</f>
        <v>381.94026915343727</v>
      </c>
      <c r="AE262" s="6"/>
      <c r="AF262" s="6"/>
      <c r="AG262" s="6"/>
    </row>
    <row r="263" spans="1:33" x14ac:dyDescent="0.3">
      <c r="A263" s="6"/>
      <c r="B263" s="72">
        <v>232</v>
      </c>
      <c r="C263" s="73">
        <v>6.7518480187415006E-2</v>
      </c>
      <c r="D263" s="73">
        <v>5.2807101400110398E-2</v>
      </c>
      <c r="E263" s="73">
        <v>1E-3</v>
      </c>
      <c r="F263" s="73">
        <v>0.43631665969426298</v>
      </c>
      <c r="G263" s="73">
        <v>0.77462388129223003</v>
      </c>
      <c r="H263" s="15">
        <f t="shared" si="31"/>
        <v>-1.4945307137453603</v>
      </c>
      <c r="I263" s="15">
        <f t="shared" si="32"/>
        <v>-1.6182246017372206</v>
      </c>
      <c r="J263" s="15">
        <f t="shared" si="33"/>
        <v>-3.0902323061678132</v>
      </c>
      <c r="K263" s="15">
        <f t="shared" si="34"/>
        <v>-0.16031452268179136</v>
      </c>
      <c r="L263" s="15">
        <f t="shared" si="35"/>
        <v>0.75416152495651045</v>
      </c>
      <c r="M263" s="18">
        <f t="shared" si="36"/>
        <v>-2.9890614274907207E-2</v>
      </c>
      <c r="N263" s="18">
        <f t="shared" si="37"/>
        <v>-1.7189511768048553E-2</v>
      </c>
      <c r="O263" s="18">
        <f t="shared" si="38"/>
        <v>-3.708278767401376E-2</v>
      </c>
      <c r="P263" s="18">
        <f t="shared" si="39"/>
        <v>-9.6188713609074818E-4</v>
      </c>
      <c r="Q263" s="18">
        <f t="shared" si="40"/>
        <v>3.016646099826042E-3</v>
      </c>
      <c r="R263" s="28">
        <f>((Scenario_DT!I$11*(IF(Scenario_DT!I$18=1,1,1+$M263/Scenario_DT!$C$19)*(1+$N263)^MAX(0,Scenario_DT!I$18-3))*(Scenario_DT!I$12+$O263)-Scenario_DT!I$13)*(1-Scenario_DT!I$14)+Scenario_DT!I$13-Scenario_DT!I$15)*Scenario_DT!I$16</f>
        <v>858.70179763167312</v>
      </c>
      <c r="S263" s="28">
        <f>((Scenario_DT!J$11*(IF(Scenario_DT!J$18=1,1,1+$M263/Scenario_DT!$C$19)*(1+$N263)^MAX(0,Scenario_DT!J$18-3))*(Scenario_DT!J$12+$O263)-Scenario_DT!J$13)*(1-Scenario_DT!J$14)+Scenario_DT!J$13-Scenario_DT!J$15)*Scenario_DT!J$16</f>
        <v>1648.7017729457766</v>
      </c>
      <c r="T263" s="28">
        <f>((Scenario_DT!K$11*(IF(Scenario_DT!K$18=1,1,1+$M263/Scenario_DT!$C$19)*(1+$N263)^MAX(0,Scenario_DT!K$18-3))*(Scenario_DT!K$12+$O263)-Scenario_DT!K$13)*(1-Scenario_DT!K$14)+Scenario_DT!K$13-Scenario_DT!K$15)*Scenario_DT!K$16</f>
        <v>1905.6146458397184</v>
      </c>
      <c r="U263" s="28">
        <f>((Scenario_DT!L$11*(IF(Scenario_DT!L$18=1,1,1+$M263/Scenario_DT!$C$19)*(1+$N263)^MAX(0,Scenario_DT!L$18-3))*(Scenario_DT!L$12+$O263)-Scenario_DT!L$13)*(1-Scenario_DT!L$14)+Scenario_DT!L$13-Scenario_DT!L$15)*Scenario_DT!L$16</f>
        <v>2255.1144591990674</v>
      </c>
      <c r="V263" s="28">
        <f>((Scenario_DT!M$11*(IF(Scenario_DT!M$18=1,1,1+$M263/Scenario_DT!$C$19)*(1+$N263)^MAX(0,Scenario_DT!M$18-3))*(Scenario_DT!M$12+$O263)-Scenario_DT!M$13)*(1-Scenario_DT!M$14)+Scenario_DT!M$13-Scenario_DT!M$15)*Scenario_DT!M$16</f>
        <v>2326.1416455229096</v>
      </c>
      <c r="W263" s="28">
        <f>((Scenario_DT!N$11*(IF(Scenario_DT!N$18=1,1,1+$M263/Scenario_DT!$C$19)*(1+$N263)^MAX(0,Scenario_DT!N$18-3))*(Scenario_DT!N$12+$O263)-Scenario_DT!N$13)*(1-Scenario_DT!N$14)+Scenario_DT!N$13-Scenario_DT!N$15)*Scenario_DT!N$16</f>
        <v>2399.3669164956023</v>
      </c>
      <c r="X263" s="28">
        <f>((Scenario_DT!O$11*(IF(Scenario_DT!O$18=1,1,1+$M263/Scenario_DT!$C$19)*(1+$N263)^MAX(0,Scenario_DT!O$18-3))*(Scenario_DT!O$12+$O263)-Scenario_DT!O$13)*(1-Scenario_DT!O$14)+Scenario_DT!O$13-Scenario_DT!O$15)*Scenario_DT!O$16</f>
        <v>2474.8585200979924</v>
      </c>
      <c r="Y263" s="28">
        <f>((Scenario_DT!P$11*(IF(Scenario_DT!P$18=1,1,1+$M263/Scenario_DT!$C$19)*(1+$N263)^MAX(0,Scenario_DT!P$18-3))*(Scenario_DT!P$12+$O263)-Scenario_DT!P$13)*(1-Scenario_DT!P$14)+Scenario_DT!P$13-Scenario_DT!P$15)*Scenario_DT!P$16</f>
        <v>2552.6868098867549</v>
      </c>
      <c r="Z263" s="28">
        <f>((Scenario_DT!Q$11*(IF(Scenario_DT!Q$18=1,1,1+$M263/Scenario_DT!$C$19)*(1+$N263)^MAX(0,Scenario_DT!Q$18-3))*(Scenario_DT!Q$12+$O263)-Scenario_DT!Q$13)*(1-Scenario_DT!Q$14)+Scenario_DT!Q$13-Scenario_DT!Q$15)*Scenario_DT!Q$16</f>
        <v>2632.9243091343533</v>
      </c>
      <c r="AA263" s="28">
        <f>((Scenario_DT!R$11*(IF(Scenario_DT!R$18=1,1,1+$M263/Scenario_DT!$C$19)*(1+$N263)^MAX(0,Scenario_DT!R$18-3))*(Scenario_DT!R$12+$O263)-Scenario_DT!R$13)*(1-Scenario_DT!R$14)+Scenario_DT!R$13-Scenario_DT!R$15)*Scenario_DT!R$16</f>
        <v>2715.6457768845389</v>
      </c>
      <c r="AB263" s="17">
        <f>(Scenario_DT!$R$11*(1+$M263/Scenario_DT!$C$19)*(1+$N263)^7*(Scenario_DT!$R$12+$O263)*(1+MIN(DCF_FCFF!$C$26+$Q263,(DCF_FCFF!$C$25+$P263)-0.02))*(1-DCF_FCFF!$C$27)*(1-DCF_FCFF!$C$28)/((DCF_FCFF!$C$25+$P263)-MIN(DCF_FCFF!$C$26+$Q263,(DCF_FCFF!$C$25+$P263)-0.02)))*(1+(DCF_FCFF!$C$25+$P263))^(-(Inputs!$C$9+9))</f>
        <v>25199.951985005173</v>
      </c>
      <c r="AC263" s="17">
        <f>SUMPRODUCT(R263:AA263*(1+(DCF_FCFF!$C$25+$P263))^(-Scenario_DT!$I$17:$R$17))+AB263</f>
        <v>39617.507304482642</v>
      </c>
      <c r="AD263" s="68">
        <f>((AC263-DCF_FCFF!$C$48)*(1-DCF_FCFF!$C$50)+DCF_FCFF!$C$57+DCF_FCFF!$C$58)/DCF_FCFF!$C$60</f>
        <v>283.83485228258911</v>
      </c>
      <c r="AE263" s="6"/>
      <c r="AF263" s="6"/>
      <c r="AG263" s="6"/>
    </row>
    <row r="264" spans="1:33" x14ac:dyDescent="0.3">
      <c r="A264" s="6"/>
      <c r="B264" s="72">
        <v>233</v>
      </c>
      <c r="C264" s="73">
        <v>3.4838350279915699E-2</v>
      </c>
      <c r="D264" s="73">
        <v>0.65225760646585496</v>
      </c>
      <c r="E264" s="73">
        <v>0.82312731741618705</v>
      </c>
      <c r="F264" s="73">
        <v>0.16800084857787101</v>
      </c>
      <c r="G264" s="73">
        <v>0.146863734821404</v>
      </c>
      <c r="H264" s="15">
        <f t="shared" si="31"/>
        <v>-1.8140066591276467</v>
      </c>
      <c r="I264" s="15">
        <f t="shared" si="32"/>
        <v>0.3914227390602375</v>
      </c>
      <c r="J264" s="15">
        <f t="shared" si="33"/>
        <v>0.92734899184651842</v>
      </c>
      <c r="K264" s="15">
        <f t="shared" si="34"/>
        <v>-0.9620953749784148</v>
      </c>
      <c r="L264" s="15">
        <f t="shared" si="35"/>
        <v>-1.0499796487212609</v>
      </c>
      <c r="M264" s="18">
        <f t="shared" si="36"/>
        <v>-3.6280133182552937E-2</v>
      </c>
      <c r="N264" s="18">
        <f t="shared" si="37"/>
        <v>-4.5441703513501618E-3</v>
      </c>
      <c r="O264" s="18">
        <f t="shared" si="38"/>
        <v>1.1128187902158221E-2</v>
      </c>
      <c r="P264" s="18">
        <f t="shared" si="39"/>
        <v>-5.772572249870489E-3</v>
      </c>
      <c r="Q264" s="18">
        <f t="shared" si="40"/>
        <v>-4.1999185948850435E-3</v>
      </c>
      <c r="R264" s="28">
        <f>((Scenario_DT!I$11*(IF(Scenario_DT!I$18=1,1,1+$M264/Scenario_DT!$C$19)*(1+$N264)^MAX(0,Scenario_DT!I$18-3))*(Scenario_DT!I$12+$O264)-Scenario_DT!I$13)*(1-Scenario_DT!I$14)+Scenario_DT!I$13-Scenario_DT!I$15)*Scenario_DT!I$16</f>
        <v>926.67408490034461</v>
      </c>
      <c r="S264" s="28">
        <f>((Scenario_DT!J$11*(IF(Scenario_DT!J$18=1,1,1+$M264/Scenario_DT!$C$19)*(1+$N264)^MAX(0,Scenario_DT!J$18-3))*(Scenario_DT!J$12+$O264)-Scenario_DT!J$13)*(1-Scenario_DT!J$14)+Scenario_DT!J$13-Scenario_DT!J$15)*Scenario_DT!J$16</f>
        <v>1778.2217915766569</v>
      </c>
      <c r="T264" s="28">
        <f>((Scenario_DT!K$11*(IF(Scenario_DT!K$18=1,1,1+$M264/Scenario_DT!$C$19)*(1+$N264)^MAX(0,Scenario_DT!K$18-3))*(Scenario_DT!K$12+$O264)-Scenario_DT!K$13)*(1-Scenario_DT!K$14)+Scenario_DT!K$13-Scenario_DT!K$15)*Scenario_DT!K$16</f>
        <v>2039.6225615481235</v>
      </c>
      <c r="U264" s="28">
        <f>((Scenario_DT!L$11*(IF(Scenario_DT!L$18=1,1,1+$M264/Scenario_DT!$C$19)*(1+$N264)^MAX(0,Scenario_DT!L$18-3))*(Scenario_DT!L$12+$O264)-Scenario_DT!L$13)*(1-Scenario_DT!L$14)+Scenario_DT!L$13-Scenario_DT!L$15)*Scenario_DT!L$16</f>
        <v>2425.98698588979</v>
      </c>
      <c r="V264" s="28">
        <f>((Scenario_DT!M$11*(IF(Scenario_DT!M$18=1,1,1+$M264/Scenario_DT!$C$19)*(1+$N264)^MAX(0,Scenario_DT!M$18-3))*(Scenario_DT!M$12+$O264)-Scenario_DT!M$13)*(1-Scenario_DT!M$14)+Scenario_DT!M$13-Scenario_DT!M$15)*Scenario_DT!M$16</f>
        <v>2534.9090859107546</v>
      </c>
      <c r="W264" s="28">
        <f>((Scenario_DT!N$11*(IF(Scenario_DT!N$18=1,1,1+$M264/Scenario_DT!$C$19)*(1+$N264)^MAX(0,Scenario_DT!N$18-3))*(Scenario_DT!N$12+$O264)-Scenario_DT!N$13)*(1-Scenario_DT!N$14)+Scenario_DT!N$13-Scenario_DT!N$15)*Scenario_DT!N$16</f>
        <v>2648.7070582113465</v>
      </c>
      <c r="X264" s="28">
        <f>((Scenario_DT!O$11*(IF(Scenario_DT!O$18=1,1,1+$M264/Scenario_DT!$C$19)*(1+$N264)^MAX(0,Scenario_DT!O$18-3))*(Scenario_DT!O$12+$O264)-Scenario_DT!O$13)*(1-Scenario_DT!O$14)+Scenario_DT!O$13-Scenario_DT!O$15)*Scenario_DT!O$16</f>
        <v>2767.6010594919903</v>
      </c>
      <c r="Y264" s="28">
        <f>((Scenario_DT!P$11*(IF(Scenario_DT!P$18=1,1,1+$M264/Scenario_DT!$C$19)*(1+$N264)^MAX(0,Scenario_DT!P$18-3))*(Scenario_DT!P$12+$O264)-Scenario_DT!P$13)*(1-Scenario_DT!P$14)+Scenario_DT!P$13-Scenario_DT!P$15)*Scenario_DT!P$16</f>
        <v>2891.8212066167221</v>
      </c>
      <c r="Z264" s="28">
        <f>((Scenario_DT!Q$11*(IF(Scenario_DT!Q$18=1,1,1+$M264/Scenario_DT!$C$19)*(1+$N264)^MAX(0,Scenario_DT!Q$18-3))*(Scenario_DT!Q$12+$O264)-Scenario_DT!Q$13)*(1-Scenario_DT!Q$14)+Scenario_DT!Q$13-Scenario_DT!Q$15)*Scenario_DT!Q$16</f>
        <v>3021.6080274440251</v>
      </c>
      <c r="AA264" s="28">
        <f>((Scenario_DT!R$11*(IF(Scenario_DT!R$18=1,1,1+$M264/Scenario_DT!$C$19)*(1+$N264)^MAX(0,Scenario_DT!R$18-3))*(Scenario_DT!R$12+$O264)-Scenario_DT!R$13)*(1-Scenario_DT!R$14)+Scenario_DT!R$13-Scenario_DT!R$15)*Scenario_DT!R$16</f>
        <v>3157.2129320672093</v>
      </c>
      <c r="AB264" s="17">
        <f>(Scenario_DT!$R$11*(1+$M264/Scenario_DT!$C$19)*(1+$N264)^7*(Scenario_DT!$R$12+$O264)*(1+MIN(DCF_FCFF!$C$26+$Q264,(DCF_FCFF!$C$25+$P264)-0.02))*(1-DCF_FCFF!$C$27)*(1-DCF_FCFF!$C$28)/((DCF_FCFF!$C$25+$P264)-MIN(DCF_FCFF!$C$26+$Q264,(DCF_FCFF!$C$25+$P264)-0.02)))*(1+(DCF_FCFF!$C$25+$P264))^(-(Inputs!$C$9+9))</f>
        <v>28803.712630709313</v>
      </c>
      <c r="AC264" s="17">
        <f>SUMPRODUCT(R264:AA264*(1+(DCF_FCFF!$C$25+$P264))^(-Scenario_DT!$I$17:$R$17))+AB264</f>
        <v>45054.342510287832</v>
      </c>
      <c r="AD264" s="68">
        <f>((AC264-DCF_FCFF!$C$48)*(1-DCF_FCFF!$C$50)+DCF_FCFF!$C$57+DCF_FCFF!$C$58)/DCF_FCFF!$C$60</f>
        <v>336.02177464850945</v>
      </c>
      <c r="AE264" s="6"/>
      <c r="AF264" s="6"/>
      <c r="AG264" s="6"/>
    </row>
    <row r="265" spans="1:33" x14ac:dyDescent="0.3">
      <c r="A265" s="6"/>
      <c r="B265" s="72">
        <v>234</v>
      </c>
      <c r="C265" s="73">
        <v>0.86080097362053598</v>
      </c>
      <c r="D265" s="73">
        <v>0.82312460995009495</v>
      </c>
      <c r="E265" s="73">
        <v>0.53894176626418699</v>
      </c>
      <c r="F265" s="73">
        <v>0.81919987929397997</v>
      </c>
      <c r="G265" s="73">
        <v>9.2756077424494807E-2</v>
      </c>
      <c r="H265" s="15">
        <f t="shared" si="31"/>
        <v>1.0839250027593472</v>
      </c>
      <c r="I265" s="15">
        <f t="shared" si="32"/>
        <v>0.92733855925247033</v>
      </c>
      <c r="J265" s="15">
        <f t="shared" si="33"/>
        <v>9.7768063525309853E-2</v>
      </c>
      <c r="K265" s="15">
        <f t="shared" si="34"/>
        <v>0.91232009041757389</v>
      </c>
      <c r="L265" s="15">
        <f t="shared" si="35"/>
        <v>-1.32397256968532</v>
      </c>
      <c r="M265" s="18">
        <f t="shared" si="36"/>
        <v>2.1678500055186945E-2</v>
      </c>
      <c r="N265" s="18">
        <f t="shared" si="37"/>
        <v>1.076049001280939E-2</v>
      </c>
      <c r="O265" s="18">
        <f t="shared" si="38"/>
        <v>1.1732167623037183E-3</v>
      </c>
      <c r="P265" s="18">
        <f t="shared" si="39"/>
        <v>5.4739205425054435E-3</v>
      </c>
      <c r="Q265" s="18">
        <f t="shared" si="40"/>
        <v>-5.2958902787412802E-3</v>
      </c>
      <c r="R265" s="28">
        <f>((Scenario_DT!I$11*(IF(Scenario_DT!I$18=1,1,1+$M265/Scenario_DT!$C$19)*(1+$N265)^MAX(0,Scenario_DT!I$18-3))*(Scenario_DT!I$12+$O265)-Scenario_DT!I$13)*(1-Scenario_DT!I$14)+Scenario_DT!I$13-Scenario_DT!I$15)*Scenario_DT!I$16</f>
        <v>912.63864691173933</v>
      </c>
      <c r="S265" s="28">
        <f>((Scenario_DT!J$11*(IF(Scenario_DT!J$18=1,1,1+$M265/Scenario_DT!$C$19)*(1+$N265)^MAX(0,Scenario_DT!J$18-3))*(Scenario_DT!J$12+$O265)-Scenario_DT!J$13)*(1-Scenario_DT!J$14)+Scenario_DT!J$13-Scenario_DT!J$15)*Scenario_DT!J$16</f>
        <v>1887.5861245691685</v>
      </c>
      <c r="T265" s="28">
        <f>((Scenario_DT!K$11*(IF(Scenario_DT!K$18=1,1,1+$M265/Scenario_DT!$C$19)*(1+$N265)^MAX(0,Scenario_DT!K$18-3))*(Scenario_DT!K$12+$O265)-Scenario_DT!K$13)*(1-Scenario_DT!K$14)+Scenario_DT!K$13-Scenario_DT!K$15)*Scenario_DT!K$16</f>
        <v>2154.9305438912343</v>
      </c>
      <c r="U265" s="28">
        <f>((Scenario_DT!L$11*(IF(Scenario_DT!L$18=1,1,1+$M265/Scenario_DT!$C$19)*(1+$N265)^MAX(0,Scenario_DT!L$18-3))*(Scenario_DT!L$12+$O265)-Scenario_DT!L$13)*(1-Scenario_DT!L$14)+Scenario_DT!L$13-Scenario_DT!L$15)*Scenario_DT!L$16</f>
        <v>2587.293614462526</v>
      </c>
      <c r="V265" s="28">
        <f>((Scenario_DT!M$11*(IF(Scenario_DT!M$18=1,1,1+$M265/Scenario_DT!$C$19)*(1+$N265)^MAX(0,Scenario_DT!M$18-3))*(Scenario_DT!M$12+$O265)-Scenario_DT!M$13)*(1-Scenario_DT!M$14)+Scenario_DT!M$13-Scenario_DT!M$15)*Scenario_DT!M$16</f>
        <v>2745.360100919168</v>
      </c>
      <c r="W265" s="28">
        <f>((Scenario_DT!N$11*(IF(Scenario_DT!N$18=1,1,1+$M265/Scenario_DT!$C$19)*(1+$N265)^MAX(0,Scenario_DT!N$18-3))*(Scenario_DT!N$12+$O265)-Scenario_DT!N$13)*(1-Scenario_DT!N$14)+Scenario_DT!N$13-Scenario_DT!N$15)*Scenario_DT!N$16</f>
        <v>2913.0904562503811</v>
      </c>
      <c r="X265" s="28">
        <f>((Scenario_DT!O$11*(IF(Scenario_DT!O$18=1,1,1+$M265/Scenario_DT!$C$19)*(1+$N265)^MAX(0,Scenario_DT!O$18-3))*(Scenario_DT!O$12+$O265)-Scenario_DT!O$13)*(1-Scenario_DT!O$14)+Scenario_DT!O$13-Scenario_DT!O$15)*Scenario_DT!O$16</f>
        <v>3091.0786384983921</v>
      </c>
      <c r="Y265" s="28">
        <f>((Scenario_DT!P$11*(IF(Scenario_DT!P$18=1,1,1+$M265/Scenario_DT!$C$19)*(1+$N265)^MAX(0,Scenario_DT!P$18-3))*(Scenario_DT!P$12+$O265)-Scenario_DT!P$13)*(1-Scenario_DT!P$14)+Scenario_DT!P$13-Scenario_DT!P$15)*Scenario_DT!P$16</f>
        <v>3279.9551113870998</v>
      </c>
      <c r="Z265" s="28">
        <f>((Scenario_DT!Q$11*(IF(Scenario_DT!Q$18=1,1,1+$M265/Scenario_DT!$C$19)*(1+$N265)^MAX(0,Scenario_DT!Q$18-3))*(Scenario_DT!Q$12+$O265)-Scenario_DT!Q$13)*(1-Scenario_DT!Q$14)+Scenario_DT!Q$13-Scenario_DT!Q$15)*Scenario_DT!Q$16</f>
        <v>3480.3890866264023</v>
      </c>
      <c r="AA265" s="28">
        <f>((Scenario_DT!R$11*(IF(Scenario_DT!R$18=1,1,1+$M265/Scenario_DT!$C$19)*(1+$N265)^MAX(0,Scenario_DT!R$18-3))*(Scenario_DT!R$12+$O265)-Scenario_DT!R$13)*(1-Scenario_DT!R$14)+Scenario_DT!R$13-Scenario_DT!R$15)*Scenario_DT!R$16</f>
        <v>3693.0909038705504</v>
      </c>
      <c r="AB265" s="17">
        <f>(Scenario_DT!$R$11*(1+$M265/Scenario_DT!$C$19)*(1+$N265)^7*(Scenario_DT!$R$12+$O265)*(1+MIN(DCF_FCFF!$C$26+$Q265,(DCF_FCFF!$C$25+$P265)-0.02))*(1-DCF_FCFF!$C$27)*(1-DCF_FCFF!$C$28)/((DCF_FCFF!$C$25+$P265)-MIN(DCF_FCFF!$C$26+$Q265,(DCF_FCFF!$C$25+$P265)-0.02)))*(1+(DCF_FCFF!$C$25+$P265))^(-(Inputs!$C$9+9))</f>
        <v>24333.615075804719</v>
      </c>
      <c r="AC265" s="17">
        <f>SUMPRODUCT(R265:AA265*(1+(DCF_FCFF!$C$25+$P265))^(-Scenario_DT!$I$17:$R$17))+AB265</f>
        <v>41304.517589865936</v>
      </c>
      <c r="AD265" s="68">
        <f>((AC265-DCF_FCFF!$C$48)*(1-DCF_FCFF!$C$50)+DCF_FCFF!$C$57+DCF_FCFF!$C$58)/DCF_FCFF!$C$60</f>
        <v>300.02807342341055</v>
      </c>
      <c r="AE265" s="6"/>
      <c r="AF265" s="6"/>
      <c r="AG265" s="6"/>
    </row>
    <row r="266" spans="1:33" x14ac:dyDescent="0.3">
      <c r="A266" s="6"/>
      <c r="B266" s="72">
        <v>235</v>
      </c>
      <c r="C266" s="73">
        <v>0.39448151793875402</v>
      </c>
      <c r="D266" s="73">
        <v>0.73779755610637299</v>
      </c>
      <c r="E266" s="73">
        <v>0.25745195932396298</v>
      </c>
      <c r="F266" s="73">
        <v>0.75232891443355299</v>
      </c>
      <c r="G266" s="73">
        <v>0.50417860439081397</v>
      </c>
      <c r="H266" s="15">
        <f t="shared" si="31"/>
        <v>-0.26765740994079279</v>
      </c>
      <c r="I266" s="15">
        <f t="shared" si="32"/>
        <v>0.63657012847894845</v>
      </c>
      <c r="J266" s="15">
        <f t="shared" si="33"/>
        <v>-0.65122087225583269</v>
      </c>
      <c r="K266" s="15">
        <f t="shared" si="34"/>
        <v>0.68183676955902328</v>
      </c>
      <c r="L266" s="15">
        <f t="shared" si="35"/>
        <v>1.0474399441066765E-2</v>
      </c>
      <c r="M266" s="18">
        <f t="shared" si="36"/>
        <v>-5.3531481988158556E-3</v>
      </c>
      <c r="N266" s="18">
        <f t="shared" si="37"/>
        <v>3.339657580661575E-3</v>
      </c>
      <c r="O266" s="18">
        <f t="shared" si="38"/>
        <v>-7.8146504670699932E-3</v>
      </c>
      <c r="P266" s="18">
        <f t="shared" si="39"/>
        <v>4.0910206173541399E-3</v>
      </c>
      <c r="Q266" s="18">
        <f t="shared" si="40"/>
        <v>4.1897597764267063E-5</v>
      </c>
      <c r="R266" s="28">
        <f>((Scenario_DT!I$11*(IF(Scenario_DT!I$18=1,1,1+$M266/Scenario_DT!$C$19)*(1+$N266)^MAX(0,Scenario_DT!I$18-3))*(Scenario_DT!I$12+$O266)-Scenario_DT!I$13)*(1-Scenario_DT!I$14)+Scenario_DT!I$13-Scenario_DT!I$15)*Scenario_DT!I$16</f>
        <v>899.96672136062875</v>
      </c>
      <c r="S266" s="28">
        <f>((Scenario_DT!J$11*(IF(Scenario_DT!J$18=1,1,1+$M266/Scenario_DT!$C$19)*(1+$N266)^MAX(0,Scenario_DT!J$18-3))*(Scenario_DT!J$12+$O266)-Scenario_DT!J$13)*(1-Scenario_DT!J$14)+Scenario_DT!J$13-Scenario_DT!J$15)*Scenario_DT!J$16</f>
        <v>1794.9336643612546</v>
      </c>
      <c r="T266" s="28">
        <f>((Scenario_DT!K$11*(IF(Scenario_DT!K$18=1,1,1+$M266/Scenario_DT!$C$19)*(1+$N266)^MAX(0,Scenario_DT!K$18-3))*(Scenario_DT!K$12+$O266)-Scenario_DT!K$13)*(1-Scenario_DT!K$14)+Scenario_DT!K$13-Scenario_DT!K$15)*Scenario_DT!K$16</f>
        <v>2057.9931133723285</v>
      </c>
      <c r="U266" s="28">
        <f>((Scenario_DT!L$11*(IF(Scenario_DT!L$18=1,1,1+$M266/Scenario_DT!$C$19)*(1+$N266)^MAX(0,Scenario_DT!L$18-3))*(Scenario_DT!L$12+$O266)-Scenario_DT!L$13)*(1-Scenario_DT!L$14)+Scenario_DT!L$13-Scenario_DT!L$15)*Scenario_DT!L$16</f>
        <v>2464.9045760039812</v>
      </c>
      <c r="V266" s="28">
        <f>((Scenario_DT!M$11*(IF(Scenario_DT!M$18=1,1,1+$M266/Scenario_DT!$C$19)*(1+$N266)^MAX(0,Scenario_DT!M$18-3))*(Scenario_DT!M$12+$O266)-Scenario_DT!M$13)*(1-Scenario_DT!M$14)+Scenario_DT!M$13-Scenario_DT!M$15)*Scenario_DT!M$16</f>
        <v>2596.13108326471</v>
      </c>
      <c r="W266" s="28">
        <f>((Scenario_DT!N$11*(IF(Scenario_DT!N$18=1,1,1+$M266/Scenario_DT!$C$19)*(1+$N266)^MAX(0,Scenario_DT!N$18-3))*(Scenario_DT!N$12+$O266)-Scenario_DT!N$13)*(1-Scenario_DT!N$14)+Scenario_DT!N$13-Scenario_DT!N$15)*Scenario_DT!N$16</f>
        <v>2734.3415124918333</v>
      </c>
      <c r="X266" s="28">
        <f>((Scenario_DT!O$11*(IF(Scenario_DT!O$18=1,1,1+$M266/Scenario_DT!$C$19)*(1+$N266)^MAX(0,Scenario_DT!O$18-3))*(Scenario_DT!O$12+$O266)-Scenario_DT!O$13)*(1-Scenario_DT!O$14)+Scenario_DT!O$13-Scenario_DT!O$15)*Scenario_DT!O$16</f>
        <v>2879.9101818533873</v>
      </c>
      <c r="Y266" s="28">
        <f>((Scenario_DT!P$11*(IF(Scenario_DT!P$18=1,1,1+$M266/Scenario_DT!$C$19)*(1+$N266)^MAX(0,Scenario_DT!P$18-3))*(Scenario_DT!P$12+$O266)-Scenario_DT!P$13)*(1-Scenario_DT!P$14)+Scenario_DT!P$13-Scenario_DT!P$15)*Scenario_DT!P$16</f>
        <v>3033.2314893070611</v>
      </c>
      <c r="Z266" s="28">
        <f>((Scenario_DT!Q$11*(IF(Scenario_DT!Q$18=1,1,1+$M266/Scenario_DT!$C$19)*(1+$N266)^MAX(0,Scenario_DT!Q$18-3))*(Scenario_DT!Q$12+$O266)-Scenario_DT!Q$13)*(1-Scenario_DT!Q$14)+Scenario_DT!Q$13-Scenario_DT!Q$15)*Scenario_DT!Q$16</f>
        <v>3194.7209895193409</v>
      </c>
      <c r="AA266" s="28">
        <f>((Scenario_DT!R$11*(IF(Scenario_DT!R$18=1,1,1+$M266/Scenario_DT!$C$19)*(1+$N266)^MAX(0,Scenario_DT!R$18-3))*(Scenario_DT!R$12+$O266)-Scenario_DT!R$13)*(1-Scenario_DT!R$14)+Scenario_DT!R$13-Scenario_DT!R$15)*Scenario_DT!R$16</f>
        <v>3364.8165285213645</v>
      </c>
      <c r="AB266" s="17">
        <f>(Scenario_DT!$R$11*(1+$M266/Scenario_DT!$C$19)*(1+$N266)^7*(Scenario_DT!$R$12+$O266)*(1+MIN(DCF_FCFF!$C$26+$Q266,(DCF_FCFF!$C$25+$P266)-0.02))*(1-DCF_FCFF!$C$27)*(1-DCF_FCFF!$C$28)/((DCF_FCFF!$C$25+$P266)-MIN(DCF_FCFF!$C$26+$Q266,(DCF_FCFF!$C$25+$P266)-0.02)))*(1+(DCF_FCFF!$C$25+$P266))^(-(Inputs!$C$9+9))</f>
        <v>25355.728850318101</v>
      </c>
      <c r="AC266" s="17">
        <f>SUMPRODUCT(R266:AA266*(1+(DCF_FCFF!$C$25+$P266))^(-Scenario_DT!$I$17:$R$17))+AB266</f>
        <v>41396.328950797317</v>
      </c>
      <c r="AD266" s="68">
        <f>((AC266-DCF_FCFF!$C$48)*(1-DCF_FCFF!$C$50)+DCF_FCFF!$C$57+DCF_FCFF!$C$58)/DCF_FCFF!$C$60</f>
        <v>300.90934942017418</v>
      </c>
      <c r="AE266" s="6"/>
      <c r="AF266" s="6"/>
      <c r="AG266" s="6"/>
    </row>
    <row r="267" spans="1:33" x14ac:dyDescent="0.3">
      <c r="A267" s="6"/>
      <c r="B267" s="72">
        <v>236</v>
      </c>
      <c r="C267" s="73">
        <v>0.75026598794823296</v>
      </c>
      <c r="D267" s="73">
        <v>0.46467963785733002</v>
      </c>
      <c r="E267" s="73">
        <v>0.367904340221818</v>
      </c>
      <c r="F267" s="73">
        <v>0.21918921647863199</v>
      </c>
      <c r="G267" s="73">
        <v>0.20837934143501499</v>
      </c>
      <c r="H267" s="15">
        <f t="shared" si="31"/>
        <v>0.67532701484824742</v>
      </c>
      <c r="I267" s="15">
        <f t="shared" si="32"/>
        <v>-8.8650999689933452E-2</v>
      </c>
      <c r="J267" s="15">
        <f t="shared" si="33"/>
        <v>-0.33740889462704898</v>
      </c>
      <c r="K267" s="15">
        <f t="shared" si="34"/>
        <v>-0.77493438448932861</v>
      </c>
      <c r="L267" s="15">
        <f t="shared" si="35"/>
        <v>-0.81205742249601387</v>
      </c>
      <c r="M267" s="18">
        <f t="shared" si="36"/>
        <v>1.3506540296964948E-2</v>
      </c>
      <c r="N267" s="18">
        <f t="shared" si="37"/>
        <v>2.0871159169740397E-3</v>
      </c>
      <c r="O267" s="18">
        <f t="shared" si="38"/>
        <v>-4.048906735524588E-3</v>
      </c>
      <c r="P267" s="18">
        <f t="shared" si="39"/>
        <v>-4.649606306935972E-3</v>
      </c>
      <c r="Q267" s="18">
        <f t="shared" si="40"/>
        <v>-3.2482296899840556E-3</v>
      </c>
      <c r="R267" s="28">
        <f>((Scenario_DT!I$11*(IF(Scenario_DT!I$18=1,1,1+$M267/Scenario_DT!$C$19)*(1+$N267)^MAX(0,Scenario_DT!I$18-3))*(Scenario_DT!I$12+$O267)-Scenario_DT!I$13)*(1-Scenario_DT!I$14)+Scenario_DT!I$13-Scenario_DT!I$15)*Scenario_DT!I$16</f>
        <v>905.27601476615996</v>
      </c>
      <c r="S267" s="28">
        <f>((Scenario_DT!J$11*(IF(Scenario_DT!J$18=1,1,1+$M267/Scenario_DT!$C$19)*(1+$N267)^MAX(0,Scenario_DT!J$18-3))*(Scenario_DT!J$12+$O267)-Scenario_DT!J$13)*(1-Scenario_DT!J$14)+Scenario_DT!J$13-Scenario_DT!J$15)*Scenario_DT!J$16</f>
        <v>1851.5103941184202</v>
      </c>
      <c r="T267" s="28">
        <f>((Scenario_DT!K$11*(IF(Scenario_DT!K$18=1,1,1+$M267/Scenario_DT!$C$19)*(1+$N267)^MAX(0,Scenario_DT!K$18-3))*(Scenario_DT!K$12+$O267)-Scenario_DT!K$13)*(1-Scenario_DT!K$14)+Scenario_DT!K$13-Scenario_DT!K$15)*Scenario_DT!K$16</f>
        <v>2117.2664060603515</v>
      </c>
      <c r="U267" s="28">
        <f>((Scenario_DT!L$11*(IF(Scenario_DT!L$18=1,1,1+$M267/Scenario_DT!$C$19)*(1+$N267)^MAX(0,Scenario_DT!L$18-3))*(Scenario_DT!L$12+$O267)-Scenario_DT!L$13)*(1-Scenario_DT!L$14)+Scenario_DT!L$13-Scenario_DT!L$15)*Scenario_DT!L$16</f>
        <v>2524.8727638893952</v>
      </c>
      <c r="V267" s="28">
        <f>((Scenario_DT!M$11*(IF(Scenario_DT!M$18=1,1,1+$M267/Scenario_DT!$C$19)*(1+$N267)^MAX(0,Scenario_DT!M$18-3))*(Scenario_DT!M$12+$O267)-Scenario_DT!M$13)*(1-Scenario_DT!M$14)+Scenario_DT!M$13-Scenario_DT!M$15)*Scenario_DT!M$16</f>
        <v>2655.9651403554431</v>
      </c>
      <c r="W267" s="28">
        <f>((Scenario_DT!N$11*(IF(Scenario_DT!N$18=1,1,1+$M267/Scenario_DT!$C$19)*(1+$N267)^MAX(0,Scenario_DT!N$18-3))*(Scenario_DT!N$12+$O267)-Scenario_DT!N$13)*(1-Scenario_DT!N$14)+Scenario_DT!N$13-Scenario_DT!N$15)*Scenario_DT!N$16</f>
        <v>2793.8597948355864</v>
      </c>
      <c r="X267" s="28">
        <f>((Scenario_DT!O$11*(IF(Scenario_DT!O$18=1,1,1+$M267/Scenario_DT!$C$19)*(1+$N267)^MAX(0,Scenario_DT!O$18-3))*(Scenario_DT!O$12+$O267)-Scenario_DT!O$13)*(1-Scenario_DT!O$14)+Scenario_DT!O$13-Scenario_DT!O$15)*Scenario_DT!O$16</f>
        <v>2938.9122206473744</v>
      </c>
      <c r="Y267" s="28">
        <f>((Scenario_DT!P$11*(IF(Scenario_DT!P$18=1,1,1+$M267/Scenario_DT!$C$19)*(1+$N267)^MAX(0,Scenario_DT!P$18-3))*(Scenario_DT!P$12+$O267)-Scenario_DT!P$13)*(1-Scenario_DT!P$14)+Scenario_DT!P$13-Scenario_DT!P$15)*Scenario_DT!P$16</f>
        <v>3091.4965084039909</v>
      </c>
      <c r="Z267" s="28">
        <f>((Scenario_DT!Q$11*(IF(Scenario_DT!Q$18=1,1,1+$M267/Scenario_DT!$C$19)*(1+$N267)^MAX(0,Scenario_DT!Q$18-3))*(Scenario_DT!Q$12+$O267)-Scenario_DT!Q$13)*(1-Scenario_DT!Q$14)+Scenario_DT!Q$13-Scenario_DT!Q$15)*Scenario_DT!Q$16</f>
        <v>3252.0063188066756</v>
      </c>
      <c r="AA267" s="28">
        <f>((Scenario_DT!R$11*(IF(Scenario_DT!R$18=1,1,1+$M267/Scenario_DT!$C$19)*(1+$N267)^MAX(0,Scenario_DT!R$18-3))*(Scenario_DT!R$12+$O267)-Scenario_DT!R$13)*(1-Scenario_DT!R$14)+Scenario_DT!R$13-Scenario_DT!R$15)*Scenario_DT!R$16</f>
        <v>3420.8559063078555</v>
      </c>
      <c r="AB267" s="17">
        <f>(Scenario_DT!$R$11*(1+$M267/Scenario_DT!$C$19)*(1+$N267)^7*(Scenario_DT!$R$12+$O267)*(1+MIN(DCF_FCFF!$C$26+$Q267,(DCF_FCFF!$C$25+$P267)-0.02))*(1-DCF_FCFF!$C$27)*(1-DCF_FCFF!$C$28)/((DCF_FCFF!$C$25+$P267)-MIN(DCF_FCFF!$C$26+$Q267,(DCF_FCFF!$C$25+$P267)-0.02)))*(1+(DCF_FCFF!$C$25+$P267))^(-(Inputs!$C$9+9))</f>
        <v>30803.807378729467</v>
      </c>
      <c r="AC267" s="17">
        <f>SUMPRODUCT(R267:AA267*(1+(DCF_FCFF!$C$25+$P267))^(-Scenario_DT!$I$17:$R$17))+AB267</f>
        <v>47814.048951707955</v>
      </c>
      <c r="AD267" s="68">
        <f>((AC267-DCF_FCFF!$C$48)*(1-DCF_FCFF!$C$50)+DCF_FCFF!$C$57+DCF_FCFF!$C$58)/DCF_FCFF!$C$60</f>
        <v>362.51155783291495</v>
      </c>
      <c r="AE267" s="6"/>
      <c r="AF267" s="6"/>
      <c r="AG267" s="6"/>
    </row>
    <row r="268" spans="1:33" x14ac:dyDescent="0.3">
      <c r="A268" s="6"/>
      <c r="B268" s="72">
        <v>237</v>
      </c>
      <c r="C268" s="73">
        <v>0.751490810571396</v>
      </c>
      <c r="D268" s="73">
        <v>0.118910348033961</v>
      </c>
      <c r="E268" s="73">
        <v>8.5982350110945099E-2</v>
      </c>
      <c r="F268" s="73">
        <v>0.17629136502213</v>
      </c>
      <c r="G268" s="73">
        <v>0.17534651145392199</v>
      </c>
      <c r="H268" s="15">
        <f t="shared" si="31"/>
        <v>0.67918858536184634</v>
      </c>
      <c r="I268" s="15">
        <f t="shared" si="32"/>
        <v>-1.1804514830922757</v>
      </c>
      <c r="J268" s="15">
        <f t="shared" si="33"/>
        <v>-1.365918006787912</v>
      </c>
      <c r="K268" s="15">
        <f t="shared" si="34"/>
        <v>-0.92959130698838233</v>
      </c>
      <c r="L268" s="15">
        <f t="shared" si="35"/>
        <v>-0.93324589582938122</v>
      </c>
      <c r="M268" s="18">
        <f t="shared" si="36"/>
        <v>1.3583771707236927E-2</v>
      </c>
      <c r="N268" s="18">
        <f t="shared" si="37"/>
        <v>-5.4616534368960344E-3</v>
      </c>
      <c r="O268" s="18">
        <f t="shared" si="38"/>
        <v>-1.6391016081454945E-2</v>
      </c>
      <c r="P268" s="18">
        <f t="shared" si="39"/>
        <v>-5.5775478419302941E-3</v>
      </c>
      <c r="Q268" s="18">
        <f t="shared" si="40"/>
        <v>-3.732983583317525E-3</v>
      </c>
      <c r="R268" s="28">
        <f>((Scenario_DT!I$11*(IF(Scenario_DT!I$18=1,1,1+$M268/Scenario_DT!$C$19)*(1+$N268)^MAX(0,Scenario_DT!I$18-3))*(Scenario_DT!I$12+$O268)-Scenario_DT!I$13)*(1-Scenario_DT!I$14)+Scenario_DT!I$13-Scenario_DT!I$15)*Scenario_DT!I$16</f>
        <v>887.87496880231163</v>
      </c>
      <c r="S268" s="28">
        <f>((Scenario_DT!J$11*(IF(Scenario_DT!J$18=1,1,1+$M268/Scenario_DT!$C$19)*(1+$N268)^MAX(0,Scenario_DT!J$18-3))*(Scenario_DT!J$12+$O268)-Scenario_DT!J$13)*(1-Scenario_DT!J$14)+Scenario_DT!J$13-Scenario_DT!J$15)*Scenario_DT!J$16</f>
        <v>1812.7847069723566</v>
      </c>
      <c r="T268" s="28">
        <f>((Scenario_DT!K$11*(IF(Scenario_DT!K$18=1,1,1+$M268/Scenario_DT!$C$19)*(1+$N268)^MAX(0,Scenario_DT!K$18-3))*(Scenario_DT!K$12+$O268)-Scenario_DT!K$13)*(1-Scenario_DT!K$14)+Scenario_DT!K$13-Scenario_DT!K$15)*Scenario_DT!K$16</f>
        <v>2077.1365332069367</v>
      </c>
      <c r="U268" s="28">
        <f>((Scenario_DT!L$11*(IF(Scenario_DT!L$18=1,1,1+$M268/Scenario_DT!$C$19)*(1+$N268)^MAX(0,Scenario_DT!L$18-3))*(Scenario_DT!L$12+$O268)-Scenario_DT!L$13)*(1-Scenario_DT!L$14)+Scenario_DT!L$13-Scenario_DT!L$15)*Scenario_DT!L$16</f>
        <v>2463.3493977739445</v>
      </c>
      <c r="V268" s="28">
        <f>((Scenario_DT!M$11*(IF(Scenario_DT!M$18=1,1,1+$M268/Scenario_DT!$C$19)*(1+$N268)^MAX(0,Scenario_DT!M$18-3))*(Scenario_DT!M$12+$O268)-Scenario_DT!M$13)*(1-Scenario_DT!M$14)+Scenario_DT!M$13-Scenario_DT!M$15)*Scenario_DT!M$16</f>
        <v>2571.5720061527641</v>
      </c>
      <c r="W268" s="28">
        <f>((Scenario_DT!N$11*(IF(Scenario_DT!N$18=1,1,1+$M268/Scenario_DT!$C$19)*(1+$N268)^MAX(0,Scenario_DT!N$18-3))*(Scenario_DT!N$12+$O268)-Scenario_DT!N$13)*(1-Scenario_DT!N$14)+Scenario_DT!N$13-Scenario_DT!N$15)*Scenario_DT!N$16</f>
        <v>2684.5330849139759</v>
      </c>
      <c r="X268" s="28">
        <f>((Scenario_DT!O$11*(IF(Scenario_DT!O$18=1,1,1+$M268/Scenario_DT!$C$19)*(1+$N268)^MAX(0,Scenario_DT!O$18-3))*(Scenario_DT!O$12+$O268)-Scenario_DT!O$13)*(1-Scenario_DT!O$14)+Scenario_DT!O$13-Scenario_DT!O$15)*Scenario_DT!O$16</f>
        <v>2802.4418945504476</v>
      </c>
      <c r="Y268" s="28">
        <f>((Scenario_DT!P$11*(IF(Scenario_DT!P$18=1,1,1+$M268/Scenario_DT!$C$19)*(1+$N268)^MAX(0,Scenario_DT!P$18-3))*(Scenario_DT!P$12+$O268)-Scenario_DT!P$13)*(1-Scenario_DT!P$14)+Scenario_DT!P$13-Scenario_DT!P$15)*Scenario_DT!P$16</f>
        <v>2925.5169556611158</v>
      </c>
      <c r="Z268" s="28">
        <f>((Scenario_DT!Q$11*(IF(Scenario_DT!Q$18=1,1,1+$M268/Scenario_DT!$C$19)*(1+$N268)^MAX(0,Scenario_DT!Q$18-3))*(Scenario_DT!Q$12+$O268)-Scenario_DT!Q$13)*(1-Scenario_DT!Q$14)+Scenario_DT!Q$13-Scenario_DT!Q$15)*Scenario_DT!Q$16</f>
        <v>3053.9864589457916</v>
      </c>
      <c r="AA268" s="28">
        <f>((Scenario_DT!R$11*(IF(Scenario_DT!R$18=1,1,1+$M268/Scenario_DT!$C$19)*(1+$N268)^MAX(0,Scenario_DT!R$18-3))*(Scenario_DT!R$12+$O268)-Scenario_DT!R$13)*(1-Scenario_DT!R$14)+Scenario_DT!R$13-Scenario_DT!R$15)*Scenario_DT!R$16</f>
        <v>3188.0886933564661</v>
      </c>
      <c r="AB268" s="17">
        <f>(Scenario_DT!$R$11*(1+$M268/Scenario_DT!$C$19)*(1+$N268)^7*(Scenario_DT!$R$12+$O268)*(1+MIN(DCF_FCFF!$C$26+$Q268,(DCF_FCFF!$C$25+$P268)-0.02))*(1-DCF_FCFF!$C$27)*(1-DCF_FCFF!$C$28)/((DCF_FCFF!$C$25+$P268)-MIN(DCF_FCFF!$C$26+$Q268,(DCF_FCFF!$C$25+$P268)-0.02)))*(1+(DCF_FCFF!$C$25+$P268))^(-(Inputs!$C$9+9))</f>
        <v>29209.177750469964</v>
      </c>
      <c r="AC268" s="17">
        <f>SUMPRODUCT(R268:AA268*(1+(DCF_FCFF!$C$25+$P268))^(-Scenario_DT!$I$17:$R$17))+AB268</f>
        <v>45624.273198503433</v>
      </c>
      <c r="AD268" s="68">
        <f>((AC268-DCF_FCFF!$C$48)*(1-DCF_FCFF!$C$50)+DCF_FCFF!$C$57+DCF_FCFF!$C$58)/DCF_FCFF!$C$60</f>
        <v>341.49240737030044</v>
      </c>
      <c r="AE268" s="6"/>
      <c r="AF268" s="6"/>
      <c r="AG268" s="6"/>
    </row>
    <row r="269" spans="1:33" x14ac:dyDescent="0.3">
      <c r="A269" s="6"/>
      <c r="B269" s="72">
        <v>238</v>
      </c>
      <c r="C269" s="73">
        <v>0.82310762280689997</v>
      </c>
      <c r="D269" s="73">
        <v>0.39850662347421201</v>
      </c>
      <c r="E269" s="73">
        <v>0.99038845736048198</v>
      </c>
      <c r="F269" s="73">
        <v>0.137211257790612</v>
      </c>
      <c r="G269" s="73">
        <v>0.653539825693643</v>
      </c>
      <c r="H269" s="15">
        <f t="shared" si="31"/>
        <v>0.92727310553025177</v>
      </c>
      <c r="I269" s="15">
        <f t="shared" si="32"/>
        <v>-0.25721442766261865</v>
      </c>
      <c r="J269" s="15">
        <f t="shared" si="33"/>
        <v>2.3411763400624204</v>
      </c>
      <c r="K269" s="15">
        <f t="shared" si="34"/>
        <v>-1.0929345995750694</v>
      </c>
      <c r="L269" s="15">
        <f t="shared" si="35"/>
        <v>0.39489504275639975</v>
      </c>
      <c r="M269" s="18">
        <f t="shared" si="36"/>
        <v>1.8545462110605034E-2</v>
      </c>
      <c r="N269" s="18">
        <f t="shared" si="37"/>
        <v>1.9270585935153863E-3</v>
      </c>
      <c r="O269" s="18">
        <f t="shared" si="38"/>
        <v>2.8094116080749045E-2</v>
      </c>
      <c r="P269" s="18">
        <f t="shared" si="39"/>
        <v>-6.5576075974504164E-3</v>
      </c>
      <c r="Q269" s="18">
        <f t="shared" si="40"/>
        <v>1.579580171025599E-3</v>
      </c>
      <c r="R269" s="28">
        <f>((Scenario_DT!I$11*(IF(Scenario_DT!I$18=1,1,1+$M269/Scenario_DT!$C$19)*(1+$N269)^MAX(0,Scenario_DT!I$18-3))*(Scenario_DT!I$12+$O269)-Scenario_DT!I$13)*(1-Scenario_DT!I$14)+Scenario_DT!I$13-Scenario_DT!I$15)*Scenario_DT!I$16</f>
        <v>950.59421781930564</v>
      </c>
      <c r="S269" s="28">
        <f>((Scenario_DT!J$11*(IF(Scenario_DT!J$18=1,1,1+$M269/Scenario_DT!$C$19)*(1+$N269)^MAX(0,Scenario_DT!J$18-3))*(Scenario_DT!J$12+$O269)-Scenario_DT!J$13)*(1-Scenario_DT!J$14)+Scenario_DT!J$13-Scenario_DT!J$15)*Scenario_DT!J$16</f>
        <v>1965.3784738562722</v>
      </c>
      <c r="T269" s="28">
        <f>((Scenario_DT!K$11*(IF(Scenario_DT!K$18=1,1,1+$M269/Scenario_DT!$C$19)*(1+$N269)^MAX(0,Scenario_DT!K$18-3))*(Scenario_DT!K$12+$O269)-Scenario_DT!K$13)*(1-Scenario_DT!K$14)+Scenario_DT!K$13-Scenario_DT!K$15)*Scenario_DT!K$16</f>
        <v>2235.4423741516025</v>
      </c>
      <c r="U269" s="28">
        <f>((Scenario_DT!L$11*(IF(Scenario_DT!L$18=1,1,1+$M269/Scenario_DT!$C$19)*(1+$N269)^MAX(0,Scenario_DT!L$18-3))*(Scenario_DT!L$12+$O269)-Scenario_DT!L$13)*(1-Scenario_DT!L$14)+Scenario_DT!L$13-Scenario_DT!L$15)*Scenario_DT!L$16</f>
        <v>2650.1851145755159</v>
      </c>
      <c r="V269" s="28">
        <f>((Scenario_DT!M$11*(IF(Scenario_DT!M$18=1,1,1+$M269/Scenario_DT!$C$19)*(1+$N269)^MAX(0,Scenario_DT!M$18-3))*(Scenario_DT!M$12+$O269)-Scenario_DT!M$13)*(1-Scenario_DT!M$14)+Scenario_DT!M$13-Scenario_DT!M$15)*Scenario_DT!M$16</f>
        <v>2787.3695004393203</v>
      </c>
      <c r="W269" s="28">
        <f>((Scenario_DT!N$11*(IF(Scenario_DT!N$18=1,1,1+$M269/Scenario_DT!$C$19)*(1+$N269)^MAX(0,Scenario_DT!N$18-3))*(Scenario_DT!N$12+$O269)-Scenario_DT!N$13)*(1-Scenario_DT!N$14)+Scenario_DT!N$13-Scenario_DT!N$15)*Scenario_DT!N$16</f>
        <v>2931.6507969760751</v>
      </c>
      <c r="X269" s="28">
        <f>((Scenario_DT!O$11*(IF(Scenario_DT!O$18=1,1,1+$M269/Scenario_DT!$C$19)*(1+$N269)^MAX(0,Scenario_DT!O$18-3))*(Scenario_DT!O$12+$O269)-Scenario_DT!O$13)*(1-Scenario_DT!O$14)+Scenario_DT!O$13-Scenario_DT!O$15)*Scenario_DT!O$16</f>
        <v>3083.3986617190749</v>
      </c>
      <c r="Y269" s="28">
        <f>((Scenario_DT!P$11*(IF(Scenario_DT!P$18=1,1,1+$M269/Scenario_DT!$C$19)*(1+$N269)^MAX(0,Scenario_DT!P$18-3))*(Scenario_DT!P$12+$O269)-Scenario_DT!P$13)*(1-Scenario_DT!P$14)+Scenario_DT!P$13-Scenario_DT!P$15)*Scenario_DT!P$16</f>
        <v>3243.002025639104</v>
      </c>
      <c r="Z269" s="28">
        <f>((Scenario_DT!Q$11*(IF(Scenario_DT!Q$18=1,1,1+$M269/Scenario_DT!$C$19)*(1+$N269)^MAX(0,Scenario_DT!Q$18-3))*(Scenario_DT!Q$12+$O269)-Scenario_DT!Q$13)*(1-Scenario_DT!Q$14)+Scenario_DT!Q$13-Scenario_DT!Q$15)*Scenario_DT!Q$16</f>
        <v>3410.8700979425257</v>
      </c>
      <c r="AA269" s="28">
        <f>((Scenario_DT!R$11*(IF(Scenario_DT!R$18=1,1,1+$M269/Scenario_DT!$C$19)*(1+$N269)^MAX(0,Scenario_DT!R$18-3))*(Scenario_DT!R$12+$O269)-Scenario_DT!R$13)*(1-Scenario_DT!R$14)+Scenario_DT!R$13-Scenario_DT!R$15)*Scenario_DT!R$16</f>
        <v>3587.4334232397182</v>
      </c>
      <c r="AB269" s="17">
        <f>(Scenario_DT!$R$11*(1+$M269/Scenario_DT!$C$19)*(1+$N269)^7*(Scenario_DT!$R$12+$O269)*(1+MIN(DCF_FCFF!$C$26+$Q269,(DCF_FCFF!$C$25+$P269)-0.02))*(1-DCF_FCFF!$C$27)*(1-DCF_FCFF!$C$28)/((DCF_FCFF!$C$25+$P269)-MIN(DCF_FCFF!$C$26+$Q269,(DCF_FCFF!$C$25+$P269)-0.02)))*(1+(DCF_FCFF!$C$25+$P269))^(-(Inputs!$C$9+9))</f>
        <v>38244.584209005363</v>
      </c>
      <c r="AC269" s="17">
        <f>SUMPRODUCT(R269:AA269*(1+(DCF_FCFF!$C$25+$P269))^(-Scenario_DT!$I$17:$R$17))+AB269</f>
        <v>56272.108542562171</v>
      </c>
      <c r="AD269" s="68">
        <f>((AC269-DCF_FCFF!$C$48)*(1-DCF_FCFF!$C$50)+DCF_FCFF!$C$57+DCF_FCFF!$C$58)/DCF_FCFF!$C$60</f>
        <v>443.69851357564761</v>
      </c>
      <c r="AE269" s="6"/>
      <c r="AF269" s="6"/>
      <c r="AG269" s="6"/>
    </row>
    <row r="270" spans="1:33" x14ac:dyDescent="0.3">
      <c r="A270" s="6"/>
      <c r="B270" s="72">
        <v>239</v>
      </c>
      <c r="C270" s="73">
        <v>0.44872950720125099</v>
      </c>
      <c r="D270" s="73">
        <v>0.39291817669707402</v>
      </c>
      <c r="E270" s="73">
        <v>0.87508419905408197</v>
      </c>
      <c r="F270" s="73">
        <v>0.97559564582839997</v>
      </c>
      <c r="G270" s="73">
        <v>0.87285895877417896</v>
      </c>
      <c r="H270" s="15">
        <f t="shared" si="31"/>
        <v>-0.12887189668147767</v>
      </c>
      <c r="I270" s="15">
        <f t="shared" si="32"/>
        <v>-0.2717212595026367</v>
      </c>
      <c r="J270" s="15">
        <f t="shared" si="33"/>
        <v>1.1507585007407293</v>
      </c>
      <c r="K270" s="15">
        <f t="shared" si="34"/>
        <v>1.9702588815032422</v>
      </c>
      <c r="L270" s="15">
        <f t="shared" si="35"/>
        <v>1.1400101261174709</v>
      </c>
      <c r="M270" s="18">
        <f t="shared" si="36"/>
        <v>-2.5774379336295536E-3</v>
      </c>
      <c r="N270" s="18">
        <f t="shared" si="37"/>
        <v>-2.3980276945466082E-3</v>
      </c>
      <c r="O270" s="18">
        <f t="shared" si="38"/>
        <v>1.3809102008888751E-2</v>
      </c>
      <c r="P270" s="18">
        <f t="shared" si="39"/>
        <v>1.1821553289019454E-2</v>
      </c>
      <c r="Q270" s="18">
        <f t="shared" si="40"/>
        <v>4.5600405044698838E-3</v>
      </c>
      <c r="R270" s="28">
        <f>((Scenario_DT!I$11*(IF(Scenario_DT!I$18=1,1,1+$M270/Scenario_DT!$C$19)*(1+$N270)^MAX(0,Scenario_DT!I$18-3))*(Scenario_DT!I$12+$O270)-Scenario_DT!I$13)*(1-Scenario_DT!I$14)+Scenario_DT!I$13-Scenario_DT!I$15)*Scenario_DT!I$16</f>
        <v>930.45388528039291</v>
      </c>
      <c r="S270" s="28">
        <f>((Scenario_DT!J$11*(IF(Scenario_DT!J$18=1,1,1+$M270/Scenario_DT!$C$19)*(1+$N270)^MAX(0,Scenario_DT!J$18-3))*(Scenario_DT!J$12+$O270)-Scenario_DT!J$13)*(1-Scenario_DT!J$14)+Scenario_DT!J$13-Scenario_DT!J$15)*Scenario_DT!J$16</f>
        <v>1868.5298724120671</v>
      </c>
      <c r="T270" s="28">
        <f>((Scenario_DT!K$11*(IF(Scenario_DT!K$18=1,1,1+$M270/Scenario_DT!$C$19)*(1+$N270)^MAX(0,Scenario_DT!K$18-3))*(Scenario_DT!K$12+$O270)-Scenario_DT!K$13)*(1-Scenario_DT!K$14)+Scenario_DT!K$13-Scenario_DT!K$15)*Scenario_DT!K$16</f>
        <v>2134.3572753426333</v>
      </c>
      <c r="U270" s="28">
        <f>((Scenario_DT!L$11*(IF(Scenario_DT!L$18=1,1,1+$M270/Scenario_DT!$C$19)*(1+$N270)^MAX(0,Scenario_DT!L$18-3))*(Scenario_DT!L$12+$O270)-Scenario_DT!L$13)*(1-Scenario_DT!L$14)+Scenario_DT!L$13-Scenario_DT!L$15)*Scenario_DT!L$16</f>
        <v>2531.5995805708126</v>
      </c>
      <c r="V270" s="28">
        <f>((Scenario_DT!M$11*(IF(Scenario_DT!M$18=1,1,1+$M270/Scenario_DT!$C$19)*(1+$N270)^MAX(0,Scenario_DT!M$18-3))*(Scenario_DT!M$12+$O270)-Scenario_DT!M$13)*(1-Scenario_DT!M$14)+Scenario_DT!M$13-Scenario_DT!M$15)*Scenario_DT!M$16</f>
        <v>2651.0412518590001</v>
      </c>
      <c r="W270" s="28">
        <f>((Scenario_DT!N$11*(IF(Scenario_DT!N$18=1,1,1+$M270/Scenario_DT!$C$19)*(1+$N270)^MAX(0,Scenario_DT!N$18-3))*(Scenario_DT!N$12+$O270)-Scenario_DT!N$13)*(1-Scenario_DT!N$14)+Scenario_DT!N$13-Scenario_DT!N$15)*Scenario_DT!N$16</f>
        <v>2776.1072639796407</v>
      </c>
      <c r="X270" s="28">
        <f>((Scenario_DT!O$11*(IF(Scenario_DT!O$18=1,1,1+$M270/Scenario_DT!$C$19)*(1+$N270)^MAX(0,Scenario_DT!O$18-3))*(Scenario_DT!O$12+$O270)-Scenario_DT!O$13)*(1-Scenario_DT!O$14)+Scenario_DT!O$13-Scenario_DT!O$15)*Scenario_DT!O$16</f>
        <v>2907.0645733801625</v>
      </c>
      <c r="Y270" s="28">
        <f>((Scenario_DT!P$11*(IF(Scenario_DT!P$18=1,1,1+$M270/Scenario_DT!$C$19)*(1+$N270)^MAX(0,Scenario_DT!P$18-3))*(Scenario_DT!P$12+$O270)-Scenario_DT!P$13)*(1-Scenario_DT!P$14)+Scenario_DT!P$13-Scenario_DT!P$15)*Scenario_DT!P$16</f>
        <v>3044.1928281359474</v>
      </c>
      <c r="Z270" s="28">
        <f>((Scenario_DT!Q$11*(IF(Scenario_DT!Q$18=1,1,1+$M270/Scenario_DT!$C$19)*(1+$N270)^MAX(0,Scenario_DT!Q$18-3))*(Scenario_DT!Q$12+$O270)-Scenario_DT!Q$13)*(1-Scenario_DT!Q$14)+Scenario_DT!Q$13-Scenario_DT!Q$15)*Scenario_DT!Q$16</f>
        <v>3187.7849715123875</v>
      </c>
      <c r="AA270" s="28">
        <f>((Scenario_DT!R$11*(IF(Scenario_DT!R$18=1,1,1+$M270/Scenario_DT!$C$19)*(1+$N270)^MAX(0,Scenario_DT!R$18-3))*(Scenario_DT!R$12+$O270)-Scenario_DT!R$13)*(1-Scenario_DT!R$14)+Scenario_DT!R$13-Scenario_DT!R$15)*Scenario_DT!R$16</f>
        <v>3338.1478742303439</v>
      </c>
      <c r="AB270" s="17">
        <f>(Scenario_DT!$R$11*(1+$M270/Scenario_DT!$C$19)*(1+$N270)^7*(Scenario_DT!$R$12+$O270)*(1+MIN(DCF_FCFF!$C$26+$Q270,(DCF_FCFF!$C$25+$P270)-0.02))*(1-DCF_FCFF!$C$27)*(1-DCF_FCFF!$C$28)/((DCF_FCFF!$C$25+$P270)-MIN(DCF_FCFF!$C$26+$Q270,(DCF_FCFF!$C$25+$P270)-0.02)))*(1+(DCF_FCFF!$C$25+$P270))^(-(Inputs!$C$9+9))</f>
        <v>22319.511920174802</v>
      </c>
      <c r="AC270" s="17">
        <f>SUMPRODUCT(R270:AA270*(1+(DCF_FCFF!$C$25+$P270))^(-Scenario_DT!$I$17:$R$17))+AB270</f>
        <v>38130.90638357155</v>
      </c>
      <c r="AD270" s="68">
        <f>((AC270-DCF_FCFF!$C$48)*(1-DCF_FCFF!$C$50)+DCF_FCFF!$C$57+DCF_FCFF!$C$58)/DCF_FCFF!$C$60</f>
        <v>269.56531423114041</v>
      </c>
      <c r="AE270" s="6"/>
      <c r="AF270" s="6"/>
      <c r="AG270" s="6"/>
    </row>
    <row r="271" spans="1:33" x14ac:dyDescent="0.3">
      <c r="A271" s="6"/>
      <c r="B271" s="72">
        <v>240</v>
      </c>
      <c r="C271" s="73">
        <v>0.19230067903513301</v>
      </c>
      <c r="D271" s="73">
        <v>0.22079792120893399</v>
      </c>
      <c r="E271" s="73">
        <v>0.65607387909506298</v>
      </c>
      <c r="F271" s="73">
        <v>0.28908358163819198</v>
      </c>
      <c r="G271" s="73">
        <v>0.73472513078057999</v>
      </c>
      <c r="H271" s="15">
        <f t="shared" si="31"/>
        <v>-0.8694494273777259</v>
      </c>
      <c r="I271" s="15">
        <f t="shared" si="32"/>
        <v>-0.7695011831666202</v>
      </c>
      <c r="J271" s="15">
        <f t="shared" si="33"/>
        <v>0.40177144119601149</v>
      </c>
      <c r="K271" s="15">
        <f t="shared" si="34"/>
        <v>-0.55606391349994055</v>
      </c>
      <c r="L271" s="15">
        <f t="shared" si="35"/>
        <v>0.6271670516115484</v>
      </c>
      <c r="M271" s="18">
        <f t="shared" si="36"/>
        <v>-1.738898854755452E-2</v>
      </c>
      <c r="N271" s="18">
        <f t="shared" si="37"/>
        <v>-8.8090582924267077E-3</v>
      </c>
      <c r="O271" s="18">
        <f t="shared" si="38"/>
        <v>4.8212572943521379E-3</v>
      </c>
      <c r="P271" s="18">
        <f t="shared" si="39"/>
        <v>-3.3363834809996434E-3</v>
      </c>
      <c r="Q271" s="18">
        <f t="shared" si="40"/>
        <v>2.5086682064461938E-3</v>
      </c>
      <c r="R271" s="28">
        <f>((Scenario_DT!I$11*(IF(Scenario_DT!I$18=1,1,1+$M271/Scenario_DT!$C$19)*(1+$N271)^MAX(0,Scenario_DT!I$18-3))*(Scenario_DT!I$12+$O271)-Scenario_DT!I$13)*(1-Scenario_DT!I$14)+Scenario_DT!I$13-Scenario_DT!I$15)*Scenario_DT!I$16</f>
        <v>917.78199147277951</v>
      </c>
      <c r="S271" s="28">
        <f>((Scenario_DT!J$11*(IF(Scenario_DT!J$18=1,1,1+$M271/Scenario_DT!$C$19)*(1+$N271)^MAX(0,Scenario_DT!J$18-3))*(Scenario_DT!J$12+$O271)-Scenario_DT!J$13)*(1-Scenario_DT!J$14)+Scenario_DT!J$13-Scenario_DT!J$15)*Scenario_DT!J$16</f>
        <v>1804.9464430715757</v>
      </c>
      <c r="T271" s="28">
        <f>((Scenario_DT!K$11*(IF(Scenario_DT!K$18=1,1,1+$M271/Scenario_DT!$C$19)*(1+$N271)^MAX(0,Scenario_DT!K$18-3))*(Scenario_DT!K$12+$O271)-Scenario_DT!K$13)*(1-Scenario_DT!K$14)+Scenario_DT!K$13-Scenario_DT!K$15)*Scenario_DT!K$16</f>
        <v>2067.9603908371546</v>
      </c>
      <c r="U271" s="28">
        <f>((Scenario_DT!L$11*(IF(Scenario_DT!L$18=1,1,1+$M271/Scenario_DT!$C$19)*(1+$N271)^MAX(0,Scenario_DT!L$18-3))*(Scenario_DT!L$12+$O271)-Scenario_DT!L$13)*(1-Scenario_DT!L$14)+Scenario_DT!L$13-Scenario_DT!L$15)*Scenario_DT!L$16</f>
        <v>2445.3442992455816</v>
      </c>
      <c r="V271" s="28">
        <f>((Scenario_DT!M$11*(IF(Scenario_DT!M$18=1,1,1+$M271/Scenario_DT!$C$19)*(1+$N271)^MAX(0,Scenario_DT!M$18-3))*(Scenario_DT!M$12+$O271)-Scenario_DT!M$13)*(1-Scenario_DT!M$14)+Scenario_DT!M$13-Scenario_DT!M$15)*Scenario_DT!M$16</f>
        <v>2544.1157605309891</v>
      </c>
      <c r="W271" s="28">
        <f>((Scenario_DT!N$11*(IF(Scenario_DT!N$18=1,1,1+$M271/Scenario_DT!$C$19)*(1+$N271)^MAX(0,Scenario_DT!N$18-3))*(Scenario_DT!N$12+$O271)-Scenario_DT!N$13)*(1-Scenario_DT!N$14)+Scenario_DT!N$13-Scenario_DT!N$15)*Scenario_DT!N$16</f>
        <v>2646.854673972322</v>
      </c>
      <c r="X271" s="28">
        <f>((Scenario_DT!O$11*(IF(Scenario_DT!O$18=1,1,1+$M271/Scenario_DT!$C$19)*(1+$N271)^MAX(0,Scenario_DT!O$18-3))*(Scenario_DT!O$12+$O271)-Scenario_DT!O$13)*(1-Scenario_DT!O$14)+Scenario_DT!O$13-Scenario_DT!O$15)*Scenario_DT!O$16</f>
        <v>2753.7217996410245</v>
      </c>
      <c r="Y271" s="28">
        <f>((Scenario_DT!P$11*(IF(Scenario_DT!P$18=1,1,1+$M271/Scenario_DT!$C$19)*(1+$N271)^MAX(0,Scenario_DT!P$18-3))*(Scenario_DT!P$12+$O271)-Scenario_DT!P$13)*(1-Scenario_DT!P$14)+Scenario_DT!P$13-Scenario_DT!P$15)*Scenario_DT!P$16</f>
        <v>2864.884425201471</v>
      </c>
      <c r="Z271" s="28">
        <f>((Scenario_DT!Q$11*(IF(Scenario_DT!Q$18=1,1,1+$M271/Scenario_DT!$C$19)*(1+$N271)^MAX(0,Scenario_DT!Q$18-3))*(Scenario_DT!Q$12+$O271)-Scenario_DT!Q$13)*(1-Scenario_DT!Q$14)+Scenario_DT!Q$13-Scenario_DT!Q$15)*Scenario_DT!Q$16</f>
        <v>2980.5166310856662</v>
      </c>
      <c r="AA271" s="28">
        <f>((Scenario_DT!R$11*(IF(Scenario_DT!R$18=1,1,1+$M271/Scenario_DT!$C$19)*(1+$N271)^MAX(0,Scenario_DT!R$18-3))*(Scenario_DT!R$12+$O271)-Scenario_DT!R$13)*(1-Scenario_DT!R$14)+Scenario_DT!R$13-Scenario_DT!R$15)*Scenario_DT!R$16</f>
        <v>3100.7995664414757</v>
      </c>
      <c r="AB271" s="17">
        <f>(Scenario_DT!$R$11*(1+$M271/Scenario_DT!$C$19)*(1+$N271)^7*(Scenario_DT!$R$12+$O271)*(1+MIN(DCF_FCFF!$C$26+$Q271,(DCF_FCFF!$C$25+$P271)-0.02))*(1-DCF_FCFF!$C$27)*(1-DCF_FCFF!$C$28)/((DCF_FCFF!$C$25+$P271)-MIN(DCF_FCFF!$C$26+$Q271,(DCF_FCFF!$C$25+$P271)-0.02)))*(1+(DCF_FCFF!$C$25+$P271))^(-(Inputs!$C$9+9))</f>
        <v>30551.512618353292</v>
      </c>
      <c r="AC271" s="17">
        <f>SUMPRODUCT(R271:AA271*(1+(DCF_FCFF!$C$25+$P271))^(-Scenario_DT!$I$17:$R$17))+AB271</f>
        <v>46624.488384768207</v>
      </c>
      <c r="AD271" s="68">
        <f>((AC271-DCF_FCFF!$C$48)*(1-DCF_FCFF!$C$50)+DCF_FCFF!$C$57+DCF_FCFF!$C$58)/DCF_FCFF!$C$60</f>
        <v>351.09324136635007</v>
      </c>
      <c r="AE271" s="6"/>
      <c r="AF271" s="6"/>
      <c r="AG271" s="6"/>
    </row>
    <row r="272" spans="1:33" x14ac:dyDescent="0.3">
      <c r="A272" s="6"/>
      <c r="B272" s="72">
        <v>241</v>
      </c>
      <c r="C272" s="73">
        <v>0.56642065080964499</v>
      </c>
      <c r="D272" s="73">
        <v>0.55090876849040304</v>
      </c>
      <c r="E272" s="73">
        <v>0.828546924838786</v>
      </c>
      <c r="F272" s="73">
        <v>0.71053277174267804</v>
      </c>
      <c r="G272" s="73">
        <v>2.6577764997291701E-2</v>
      </c>
      <c r="H272" s="15">
        <f t="shared" si="31"/>
        <v>0.16726861426599335</v>
      </c>
      <c r="I272" s="15">
        <f t="shared" si="32"/>
        <v>0.12795768139309061</v>
      </c>
      <c r="J272" s="15">
        <f t="shared" si="33"/>
        <v>0.94843873029477288</v>
      </c>
      <c r="K272" s="15">
        <f t="shared" si="34"/>
        <v>0.55494181917296659</v>
      </c>
      <c r="L272" s="15">
        <f t="shared" si="35"/>
        <v>-1.9336552446782855</v>
      </c>
      <c r="M272" s="18">
        <f t="shared" si="36"/>
        <v>3.3453722853198672E-3</v>
      </c>
      <c r="N272" s="18">
        <f t="shared" si="37"/>
        <v>1.5555912786301481E-3</v>
      </c>
      <c r="O272" s="18">
        <f t="shared" si="38"/>
        <v>1.1381264763537275E-2</v>
      </c>
      <c r="P272" s="18">
        <f t="shared" si="39"/>
        <v>3.3296509150377994E-3</v>
      </c>
      <c r="Q272" s="18">
        <f t="shared" si="40"/>
        <v>-7.734620978713142E-3</v>
      </c>
      <c r="R272" s="28">
        <f>((Scenario_DT!I$11*(IF(Scenario_DT!I$18=1,1,1+$M272/Scenario_DT!$C$19)*(1+$N272)^MAX(0,Scenario_DT!I$18-3))*(Scenario_DT!I$12+$O272)-Scenario_DT!I$13)*(1-Scenario_DT!I$14)+Scenario_DT!I$13-Scenario_DT!I$15)*Scenario_DT!I$16</f>
        <v>927.03089603965725</v>
      </c>
      <c r="S272" s="28">
        <f>((Scenario_DT!J$11*(IF(Scenario_DT!J$18=1,1,1+$M272/Scenario_DT!$C$19)*(1+$N272)^MAX(0,Scenario_DT!J$18-3))*(Scenario_DT!J$12+$O272)-Scenario_DT!J$13)*(1-Scenario_DT!J$14)+Scenario_DT!J$13-Scenario_DT!J$15)*Scenario_DT!J$16</f>
        <v>1875.4207688262813</v>
      </c>
      <c r="T272" s="28">
        <f>((Scenario_DT!K$11*(IF(Scenario_DT!K$18=1,1,1+$M272/Scenario_DT!$C$19)*(1+$N272)^MAX(0,Scenario_DT!K$18-3))*(Scenario_DT!K$12+$O272)-Scenario_DT!K$13)*(1-Scenario_DT!K$14)+Scenario_DT!K$13-Scenario_DT!K$15)*Scenario_DT!K$16</f>
        <v>2141.6998884362233</v>
      </c>
      <c r="U272" s="28">
        <f>((Scenario_DT!L$11*(IF(Scenario_DT!L$18=1,1,1+$M272/Scenario_DT!$C$19)*(1+$N272)^MAX(0,Scenario_DT!L$18-3))*(Scenario_DT!L$12+$O272)-Scenario_DT!L$13)*(1-Scenario_DT!L$14)+Scenario_DT!L$13-Scenario_DT!L$15)*Scenario_DT!L$16</f>
        <v>2549.5078430584272</v>
      </c>
      <c r="V272" s="28">
        <f>((Scenario_DT!M$11*(IF(Scenario_DT!M$18=1,1,1+$M272/Scenario_DT!$C$19)*(1+$N272)^MAX(0,Scenario_DT!M$18-3))*(Scenario_DT!M$12+$O272)-Scenario_DT!M$13)*(1-Scenario_DT!M$14)+Scenario_DT!M$13-Scenario_DT!M$15)*Scenario_DT!M$16</f>
        <v>2680.4536601312448</v>
      </c>
      <c r="W272" s="28">
        <f>((Scenario_DT!N$11*(IF(Scenario_DT!N$18=1,1,1+$M272/Scenario_DT!$C$19)*(1+$N272)^MAX(0,Scenario_DT!N$18-3))*(Scenario_DT!N$12+$O272)-Scenario_DT!N$13)*(1-Scenario_DT!N$14)+Scenario_DT!N$13-Scenario_DT!N$15)*Scenario_DT!N$16</f>
        <v>2818.1201515684284</v>
      </c>
      <c r="X272" s="28">
        <f>((Scenario_DT!O$11*(IF(Scenario_DT!O$18=1,1,1+$M272/Scenario_DT!$C$19)*(1+$N272)^MAX(0,Scenario_DT!O$18-3))*(Scenario_DT!O$12+$O272)-Scenario_DT!O$13)*(1-Scenario_DT!O$14)+Scenario_DT!O$13-Scenario_DT!O$15)*Scenario_DT!O$16</f>
        <v>2962.8547331528639</v>
      </c>
      <c r="Y272" s="28">
        <f>((Scenario_DT!P$11*(IF(Scenario_DT!P$18=1,1,1+$M272/Scenario_DT!$C$19)*(1+$N272)^MAX(0,Scenario_DT!P$18-3))*(Scenario_DT!P$12+$O272)-Scenario_DT!P$13)*(1-Scenario_DT!P$14)+Scenario_DT!P$13-Scenario_DT!P$15)*Scenario_DT!P$16</f>
        <v>3115.0227992215846</v>
      </c>
      <c r="Z272" s="28">
        <f>((Scenario_DT!Q$11*(IF(Scenario_DT!Q$18=1,1,1+$M272/Scenario_DT!$C$19)*(1+$N272)^MAX(0,Scenario_DT!Q$18-3))*(Scenario_DT!Q$12+$O272)-Scenario_DT!Q$13)*(1-Scenario_DT!Q$14)+Scenario_DT!Q$13-Scenario_DT!Q$15)*Scenario_DT!Q$16</f>
        <v>3275.0086529849714</v>
      </c>
      <c r="AA272" s="28">
        <f>((Scenario_DT!R$11*(IF(Scenario_DT!R$18=1,1,1+$M272/Scenario_DT!$C$19)*(1+$N272)^MAX(0,Scenario_DT!R$18-3))*(Scenario_DT!R$12+$O272)-Scenario_DT!R$13)*(1-Scenario_DT!R$14)+Scenario_DT!R$13-Scenario_DT!R$15)*Scenario_DT!R$16</f>
        <v>3443.2164849742858</v>
      </c>
      <c r="AB272" s="17">
        <f>(Scenario_DT!$R$11*(1+$M272/Scenario_DT!$C$19)*(1+$N272)^7*(Scenario_DT!$R$12+$O272)*(1+MIN(DCF_FCFF!$C$26+$Q272,(DCF_FCFF!$C$25+$P272)-0.02))*(1-DCF_FCFF!$C$27)*(1-DCF_FCFF!$C$28)/((DCF_FCFF!$C$25+$P272)-MIN(DCF_FCFF!$C$26+$Q272,(DCF_FCFF!$C$25+$P272)-0.02)))*(1+(DCF_FCFF!$C$25+$P272))^(-(Inputs!$C$9+9))</f>
        <v>22959.667490178101</v>
      </c>
      <c r="AC272" s="17">
        <f>SUMPRODUCT(R272:AA272*(1+(DCF_FCFF!$C$25+$P272))^(-Scenario_DT!$I$17:$R$17))+AB272</f>
        <v>39566.532731341897</v>
      </c>
      <c r="AD272" s="68">
        <f>((AC272-DCF_FCFF!$C$48)*(1-DCF_FCFF!$C$50)+DCF_FCFF!$C$57+DCF_FCFF!$C$58)/DCF_FCFF!$C$60</f>
        <v>283.34555915700537</v>
      </c>
      <c r="AE272" s="6"/>
      <c r="AF272" s="6"/>
      <c r="AG272" s="6"/>
    </row>
    <row r="273" spans="1:33" x14ac:dyDescent="0.3">
      <c r="A273" s="6"/>
      <c r="B273" s="72">
        <v>242</v>
      </c>
      <c r="C273" s="73">
        <v>4.94591371460157E-2</v>
      </c>
      <c r="D273" s="73">
        <v>0.60155845245601602</v>
      </c>
      <c r="E273" s="73">
        <v>0.48619207562227601</v>
      </c>
      <c r="F273" s="73">
        <v>0.26018465534299101</v>
      </c>
      <c r="G273" s="73">
        <v>0.41865608731480197</v>
      </c>
      <c r="H273" s="15">
        <f t="shared" si="31"/>
        <v>-1.6501205898749172</v>
      </c>
      <c r="I273" s="15">
        <f t="shared" si="32"/>
        <v>0.25738303871526363</v>
      </c>
      <c r="J273" s="15">
        <f t="shared" si="33"/>
        <v>-3.4618246967060715E-2</v>
      </c>
      <c r="K273" s="15">
        <f t="shared" si="34"/>
        <v>-0.64277622738731988</v>
      </c>
      <c r="L273" s="15">
        <f t="shared" si="35"/>
        <v>-0.20533272915208173</v>
      </c>
      <c r="M273" s="18">
        <f t="shared" si="36"/>
        <v>-3.3002411797498341E-2</v>
      </c>
      <c r="N273" s="18">
        <f t="shared" si="37"/>
        <v>-4.8172803592544527E-3</v>
      </c>
      <c r="O273" s="18">
        <f t="shared" si="38"/>
        <v>-4.1541896360472859E-4</v>
      </c>
      <c r="P273" s="18">
        <f t="shared" si="39"/>
        <v>-3.8566573643239194E-3</v>
      </c>
      <c r="Q273" s="18">
        <f t="shared" si="40"/>
        <v>-8.2133091660832689E-4</v>
      </c>
      <c r="R273" s="28">
        <f>((Scenario_DT!I$11*(IF(Scenario_DT!I$18=1,1,1+$M273/Scenario_DT!$C$19)*(1+$N273)^MAX(0,Scenario_DT!I$18-3))*(Scenario_DT!I$12+$O273)-Scenario_DT!I$13)*(1-Scenario_DT!I$14)+Scenario_DT!I$13-Scenario_DT!I$15)*Scenario_DT!I$16</f>
        <v>910.39884150153523</v>
      </c>
      <c r="S273" s="28">
        <f>((Scenario_DT!J$11*(IF(Scenario_DT!J$18=1,1,1+$M273/Scenario_DT!$C$19)*(1+$N273)^MAX(0,Scenario_DT!J$18-3))*(Scenario_DT!J$12+$O273)-Scenario_DT!J$13)*(1-Scenario_DT!J$14)+Scenario_DT!J$13-Scenario_DT!J$15)*Scenario_DT!J$16</f>
        <v>1751.5807439624464</v>
      </c>
      <c r="T273" s="28">
        <f>((Scenario_DT!K$11*(IF(Scenario_DT!K$18=1,1,1+$M273/Scenario_DT!$C$19)*(1+$N273)^MAX(0,Scenario_DT!K$18-3))*(Scenario_DT!K$12+$O273)-Scenario_DT!K$13)*(1-Scenario_DT!K$14)+Scenario_DT!K$13-Scenario_DT!K$15)*Scenario_DT!K$16</f>
        <v>2012.1251570960389</v>
      </c>
      <c r="U273" s="28">
        <f>((Scenario_DT!L$11*(IF(Scenario_DT!L$18=1,1,1+$M273/Scenario_DT!$C$19)*(1+$N273)^MAX(0,Scenario_DT!L$18-3))*(Scenario_DT!L$12+$O273)-Scenario_DT!L$13)*(1-Scenario_DT!L$14)+Scenario_DT!L$13-Scenario_DT!L$15)*Scenario_DT!L$16</f>
        <v>2396.2613038011041</v>
      </c>
      <c r="V273" s="28">
        <f>((Scenario_DT!M$11*(IF(Scenario_DT!M$18=1,1,1+$M273/Scenario_DT!$C$19)*(1+$N273)^MAX(0,Scenario_DT!M$18-3))*(Scenario_DT!M$12+$O273)-Scenario_DT!M$13)*(1-Scenario_DT!M$14)+Scenario_DT!M$13-Scenario_DT!M$15)*Scenario_DT!M$16</f>
        <v>2503.1469479848461</v>
      </c>
      <c r="W273" s="28">
        <f>((Scenario_DT!N$11*(IF(Scenario_DT!N$18=1,1,1+$M273/Scenario_DT!$C$19)*(1+$N273)^MAX(0,Scenario_DT!N$18-3))*(Scenario_DT!N$12+$O273)-Scenario_DT!N$13)*(1-Scenario_DT!N$14)+Scenario_DT!N$13-Scenario_DT!N$15)*Scenario_DT!N$16</f>
        <v>2614.7852584047696</v>
      </c>
      <c r="X273" s="28">
        <f>((Scenario_DT!O$11*(IF(Scenario_DT!O$18=1,1,1+$M273/Scenario_DT!$C$19)*(1+$N273)^MAX(0,Scenario_DT!O$18-3))*(Scenario_DT!O$12+$O273)-Scenario_DT!O$13)*(1-Scenario_DT!O$14)+Scenario_DT!O$13-Scenario_DT!O$15)*Scenario_DT!O$16</f>
        <v>2731.3894216322024</v>
      </c>
      <c r="Y273" s="28">
        <f>((Scenario_DT!P$11*(IF(Scenario_DT!P$18=1,1,1+$M273/Scenario_DT!$C$19)*(1+$N273)^MAX(0,Scenario_DT!P$18-3))*(Scenario_DT!P$12+$O273)-Scenario_DT!P$13)*(1-Scenario_DT!P$14)+Scenario_DT!P$13-Scenario_DT!P$15)*Scenario_DT!P$16</f>
        <v>2853.1822063379818</v>
      </c>
      <c r="Z273" s="28">
        <f>((Scenario_DT!Q$11*(IF(Scenario_DT!Q$18=1,1,1+$M273/Scenario_DT!$C$19)*(1+$N273)^MAX(0,Scenario_DT!Q$18-3))*(Scenario_DT!Q$12+$O273)-Scenario_DT!Q$13)*(1-Scenario_DT!Q$14)+Scenario_DT!Q$13-Scenario_DT!Q$15)*Scenario_DT!Q$16</f>
        <v>2980.3963942009791</v>
      </c>
      <c r="AA273" s="28">
        <f>((Scenario_DT!R$11*(IF(Scenario_DT!R$18=1,1,1+$M273/Scenario_DT!$C$19)*(1+$N273)^MAX(0,Scenario_DT!R$18-3))*(Scenario_DT!R$12+$O273)-Scenario_DT!R$13)*(1-Scenario_DT!R$14)+Scenario_DT!R$13-Scenario_DT!R$15)*Scenario_DT!R$16</f>
        <v>3113.2752301981973</v>
      </c>
      <c r="AB273" s="17">
        <f>(Scenario_DT!$R$11*(1+$M273/Scenario_DT!$C$19)*(1+$N273)^7*(Scenario_DT!$R$12+$O273)*(1+MIN(DCF_FCFF!$C$26+$Q273,(DCF_FCFF!$C$25+$P273)-0.02))*(1-DCF_FCFF!$C$27)*(1-DCF_FCFF!$C$28)/((DCF_FCFF!$C$25+$P273)-MIN(DCF_FCFF!$C$26+$Q273,(DCF_FCFF!$C$25+$P273)-0.02)))*(1+(DCF_FCFF!$C$25+$P273))^(-(Inputs!$C$9+9))</f>
        <v>28892.190515392194</v>
      </c>
      <c r="AC273" s="17">
        <f>SUMPRODUCT(R273:AA273*(1+(DCF_FCFF!$C$25+$P273))^(-Scenario_DT!$I$17:$R$17))+AB273</f>
        <v>44793.130705934003</v>
      </c>
      <c r="AD273" s="68">
        <f>((AC273-DCF_FCFF!$C$48)*(1-DCF_FCFF!$C$50)+DCF_FCFF!$C$57+DCF_FCFF!$C$58)/DCF_FCFF!$C$60</f>
        <v>333.51446301612447</v>
      </c>
      <c r="AE273" s="6"/>
      <c r="AF273" s="6"/>
      <c r="AG273" s="6"/>
    </row>
    <row r="274" spans="1:33" x14ac:dyDescent="0.3">
      <c r="A274" s="6"/>
      <c r="B274" s="72">
        <v>243</v>
      </c>
      <c r="C274" s="73">
        <v>0.75791031873286097</v>
      </c>
      <c r="D274" s="73">
        <v>0.82661148465793</v>
      </c>
      <c r="E274" s="73">
        <v>0.56122306789004395</v>
      </c>
      <c r="F274" s="73">
        <v>0.38536948085710299</v>
      </c>
      <c r="G274" s="73">
        <v>0.27069676149510702</v>
      </c>
      <c r="H274" s="15">
        <f t="shared" si="31"/>
        <v>0.69959644624443007</v>
      </c>
      <c r="I274" s="15">
        <f t="shared" si="32"/>
        <v>0.94085917600226132</v>
      </c>
      <c r="J274" s="15">
        <f t="shared" si="33"/>
        <v>0.15407086005017642</v>
      </c>
      <c r="K274" s="15">
        <f t="shared" si="34"/>
        <v>-0.29140843819680384</v>
      </c>
      <c r="L274" s="15">
        <f t="shared" si="35"/>
        <v>-0.6107070725408611</v>
      </c>
      <c r="M274" s="18">
        <f t="shared" si="36"/>
        <v>1.3991928924888602E-2</v>
      </c>
      <c r="N274" s="18">
        <f t="shared" si="37"/>
        <v>9.3168493673909409E-3</v>
      </c>
      <c r="O274" s="18">
        <f t="shared" si="38"/>
        <v>1.8488503206021171E-3</v>
      </c>
      <c r="P274" s="18">
        <f t="shared" si="39"/>
        <v>-1.748450629180823E-3</v>
      </c>
      <c r="Q274" s="18">
        <f t="shared" si="40"/>
        <v>-2.4428282901634442E-3</v>
      </c>
      <c r="R274" s="28">
        <f>((Scenario_DT!I$11*(IF(Scenario_DT!I$18=1,1,1+$M274/Scenario_DT!$C$19)*(1+$N274)^MAX(0,Scenario_DT!I$18-3))*(Scenario_DT!I$12+$O274)-Scenario_DT!I$13)*(1-Scenario_DT!I$14)+Scenario_DT!I$13-Scenario_DT!I$15)*Scenario_DT!I$16</f>
        <v>913.59121751965949</v>
      </c>
      <c r="S274" s="28">
        <f>((Scenario_DT!J$11*(IF(Scenario_DT!J$18=1,1,1+$M274/Scenario_DT!$C$19)*(1+$N274)^MAX(0,Scenario_DT!J$18-3))*(Scenario_DT!J$12+$O274)-Scenario_DT!J$13)*(1-Scenario_DT!J$14)+Scenario_DT!J$13-Scenario_DT!J$15)*Scenario_DT!J$16</f>
        <v>1871.2682332243348</v>
      </c>
      <c r="T274" s="28">
        <f>((Scenario_DT!K$11*(IF(Scenario_DT!K$18=1,1,1+$M274/Scenario_DT!$C$19)*(1+$N274)^MAX(0,Scenario_DT!K$18-3))*(Scenario_DT!K$12+$O274)-Scenario_DT!K$13)*(1-Scenario_DT!K$14)+Scenario_DT!K$13-Scenario_DT!K$15)*Scenario_DT!K$16</f>
        <v>2137.7585044133684</v>
      </c>
      <c r="U274" s="28">
        <f>((Scenario_DT!L$11*(IF(Scenario_DT!L$18=1,1,1+$M274/Scenario_DT!$C$19)*(1+$N274)^MAX(0,Scenario_DT!L$18-3))*(Scenario_DT!L$12+$O274)-Scenario_DT!L$13)*(1-Scenario_DT!L$14)+Scenario_DT!L$13-Scenario_DT!L$15)*Scenario_DT!L$16</f>
        <v>2565.1714041987907</v>
      </c>
      <c r="V274" s="28">
        <f>((Scenario_DT!M$11*(IF(Scenario_DT!M$18=1,1,1+$M274/Scenario_DT!$C$19)*(1+$N274)^MAX(0,Scenario_DT!M$18-3))*(Scenario_DT!M$12+$O274)-Scenario_DT!M$13)*(1-Scenario_DT!M$14)+Scenario_DT!M$13-Scenario_DT!M$15)*Scenario_DT!M$16</f>
        <v>2717.9679077169953</v>
      </c>
      <c r="W274" s="28">
        <f>((Scenario_DT!N$11*(IF(Scenario_DT!N$18=1,1,1+$M274/Scenario_DT!$C$19)*(1+$N274)^MAX(0,Scenario_DT!N$18-3))*(Scenario_DT!N$12+$O274)-Scenario_DT!N$13)*(1-Scenario_DT!N$14)+Scenario_DT!N$13-Scenario_DT!N$15)*Scenario_DT!N$16</f>
        <v>2879.8712530531502</v>
      </c>
      <c r="X274" s="28">
        <f>((Scenario_DT!O$11*(IF(Scenario_DT!O$18=1,1,1+$M274/Scenario_DT!$C$19)*(1+$N274)^MAX(0,Scenario_DT!O$18-3))*(Scenario_DT!O$12+$O274)-Scenario_DT!O$13)*(1-Scenario_DT!O$14)+Scenario_DT!O$13-Scenario_DT!O$15)*Scenario_DT!O$16</f>
        <v>3051.427265069342</v>
      </c>
      <c r="Y274" s="28">
        <f>((Scenario_DT!P$11*(IF(Scenario_DT!P$18=1,1,1+$M274/Scenario_DT!$C$19)*(1+$N274)^MAX(0,Scenario_DT!P$18-3))*(Scenario_DT!P$12+$O274)-Scenario_DT!P$13)*(1-Scenario_DT!P$14)+Scenario_DT!P$13-Scenario_DT!P$15)*Scenario_DT!P$16</f>
        <v>3233.2144875617118</v>
      </c>
      <c r="Z274" s="28">
        <f>((Scenario_DT!Q$11*(IF(Scenario_DT!Q$18=1,1,1+$M274/Scenario_DT!$C$19)*(1+$N274)^MAX(0,Scenario_DT!Q$18-3))*(Scenario_DT!Q$12+$O274)-Scenario_DT!Q$13)*(1-Scenario_DT!Q$14)+Scenario_DT!Q$13-Scenario_DT!Q$15)*Scenario_DT!Q$16</f>
        <v>3425.8461434491874</v>
      </c>
      <c r="AA274" s="28">
        <f>((Scenario_DT!R$11*(IF(Scenario_DT!R$18=1,1,1+$M274/Scenario_DT!$C$19)*(1+$N274)^MAX(0,Scenario_DT!R$18-3))*(Scenario_DT!R$12+$O274)-Scenario_DT!R$13)*(1-Scenario_DT!R$14)+Scenario_DT!R$13-Scenario_DT!R$15)*Scenario_DT!R$16</f>
        <v>3629.9722123342272</v>
      </c>
      <c r="AB274" s="17">
        <f>(Scenario_DT!$R$11*(1+$M274/Scenario_DT!$C$19)*(1+$N274)^7*(Scenario_DT!$R$12+$O274)*(1+MIN(DCF_FCFF!$C$26+$Q274,(DCF_FCFF!$C$25+$P274)-0.02))*(1-DCF_FCFF!$C$27)*(1-DCF_FCFF!$C$28)/((DCF_FCFF!$C$25+$P274)-MIN(DCF_FCFF!$C$26+$Q274,(DCF_FCFF!$C$25+$P274)-0.02)))*(1+(DCF_FCFF!$C$25+$P274))^(-(Inputs!$C$9+9))</f>
        <v>30573.075993394978</v>
      </c>
      <c r="AC274" s="17">
        <f>SUMPRODUCT(R274:AA274*(1+(DCF_FCFF!$C$25+$P274))^(-Scenario_DT!$I$17:$R$17))+AB274</f>
        <v>47881.582154252814</v>
      </c>
      <c r="AD274" s="68">
        <f>((AC274-DCF_FCFF!$C$48)*(1-DCF_FCFF!$C$50)+DCF_FCFF!$C$57+DCF_FCFF!$C$58)/DCF_FCFF!$C$60</f>
        <v>363.15979340837754</v>
      </c>
      <c r="AE274" s="6"/>
      <c r="AF274" s="6"/>
      <c r="AG274" s="6"/>
    </row>
    <row r="275" spans="1:33" x14ac:dyDescent="0.3">
      <c r="A275" s="6"/>
      <c r="B275" s="72">
        <v>244</v>
      </c>
      <c r="C275" s="73">
        <v>0.52191847076925402</v>
      </c>
      <c r="D275" s="73">
        <v>0.314749618564381</v>
      </c>
      <c r="E275" s="73">
        <v>0.56409513704722303</v>
      </c>
      <c r="F275" s="73">
        <v>0.676652382509638</v>
      </c>
      <c r="G275" s="73">
        <v>6.6079210919394796E-2</v>
      </c>
      <c r="H275" s="15">
        <f t="shared" si="31"/>
        <v>5.4969128524323466E-2</v>
      </c>
      <c r="I275" s="15">
        <f t="shared" si="32"/>
        <v>-0.4824317977557529</v>
      </c>
      <c r="J275" s="15">
        <f t="shared" si="33"/>
        <v>0.16136018188944501</v>
      </c>
      <c r="K275" s="15">
        <f t="shared" si="34"/>
        <v>0.45835803609294701</v>
      </c>
      <c r="L275" s="15">
        <f t="shared" si="35"/>
        <v>-1.5056446423570498</v>
      </c>
      <c r="M275" s="18">
        <f t="shared" si="36"/>
        <v>1.0993825704864694E-3</v>
      </c>
      <c r="N275" s="18">
        <f t="shared" si="37"/>
        <v>-3.1225090255017347E-3</v>
      </c>
      <c r="O275" s="18">
        <f t="shared" si="38"/>
        <v>1.9363221826733401E-3</v>
      </c>
      <c r="P275" s="18">
        <f t="shared" si="39"/>
        <v>2.7501482165576819E-3</v>
      </c>
      <c r="Q275" s="18">
        <f t="shared" si="40"/>
        <v>-6.0225785694281988E-3</v>
      </c>
      <c r="R275" s="28">
        <f>((Scenario_DT!I$11*(IF(Scenario_DT!I$18=1,1,1+$M275/Scenario_DT!$C$19)*(1+$N275)^MAX(0,Scenario_DT!I$18-3))*(Scenario_DT!I$12+$O275)-Scenario_DT!I$13)*(1-Scenario_DT!I$14)+Scenario_DT!I$13-Scenario_DT!I$15)*Scenario_DT!I$16</f>
        <v>913.71454343176902</v>
      </c>
      <c r="S275" s="28">
        <f>((Scenario_DT!J$11*(IF(Scenario_DT!J$18=1,1,1+$M275/Scenario_DT!$C$19)*(1+$N275)^MAX(0,Scenario_DT!J$18-3))*(Scenario_DT!J$12+$O275)-Scenario_DT!J$13)*(1-Scenario_DT!J$14)+Scenario_DT!J$13-Scenario_DT!J$15)*Scenario_DT!J$16</f>
        <v>1840.5677691620908</v>
      </c>
      <c r="T275" s="28">
        <f>((Scenario_DT!K$11*(IF(Scenario_DT!K$18=1,1,1+$M275/Scenario_DT!$C$19)*(1+$N275)^MAX(0,Scenario_DT!K$18-3))*(Scenario_DT!K$12+$O275)-Scenario_DT!K$13)*(1-Scenario_DT!K$14)+Scenario_DT!K$13-Scenario_DT!K$15)*Scenario_DT!K$16</f>
        <v>2105.5043945917409</v>
      </c>
      <c r="U275" s="28">
        <f>((Scenario_DT!L$11*(IF(Scenario_DT!L$18=1,1,1+$M275/Scenario_DT!$C$19)*(1+$N275)^MAX(0,Scenario_DT!L$18-3))*(Scenario_DT!L$12+$O275)-Scenario_DT!L$13)*(1-Scenario_DT!L$14)+Scenario_DT!L$13-Scenario_DT!L$15)*Scenario_DT!L$16</f>
        <v>2499.2091533645062</v>
      </c>
      <c r="V275" s="28">
        <f>((Scenario_DT!M$11*(IF(Scenario_DT!M$18=1,1,1+$M275/Scenario_DT!$C$19)*(1+$N275)^MAX(0,Scenario_DT!M$18-3))*(Scenario_DT!M$12+$O275)-Scenario_DT!M$13)*(1-Scenario_DT!M$14)+Scenario_DT!M$13-Scenario_DT!M$15)*Scenario_DT!M$16</f>
        <v>2615.1988613866392</v>
      </c>
      <c r="W275" s="28">
        <f>((Scenario_DT!N$11*(IF(Scenario_DT!N$18=1,1,1+$M275/Scenario_DT!$C$19)*(1+$N275)^MAX(0,Scenario_DT!N$18-3))*(Scenario_DT!N$12+$O275)-Scenario_DT!N$13)*(1-Scenario_DT!N$14)+Scenario_DT!N$13-Scenario_DT!N$15)*Scenario_DT!N$16</f>
        <v>2736.5595792435365</v>
      </c>
      <c r="X275" s="28">
        <f>((Scenario_DT!O$11*(IF(Scenario_DT!O$18=1,1,1+$M275/Scenario_DT!$C$19)*(1+$N275)^MAX(0,Scenario_DT!O$18-3))*(Scenario_DT!O$12+$O275)-Scenario_DT!O$13)*(1-Scenario_DT!O$14)+Scenario_DT!O$13-Scenario_DT!O$15)*Scenario_DT!O$16</f>
        <v>2863.5420566612593</v>
      </c>
      <c r="Y275" s="28">
        <f>((Scenario_DT!P$11*(IF(Scenario_DT!P$18=1,1,1+$M275/Scenario_DT!$C$19)*(1+$N275)^MAX(0,Scenario_DT!P$18-3))*(Scenario_DT!P$12+$O275)-Scenario_DT!P$13)*(1-Scenario_DT!P$14)+Scenario_DT!P$13-Scenario_DT!P$15)*Scenario_DT!P$16</f>
        <v>2996.4087702613483</v>
      </c>
      <c r="Z275" s="28">
        <f>((Scenario_DT!Q$11*(IF(Scenario_DT!Q$18=1,1,1+$M275/Scenario_DT!$C$19)*(1+$N275)^MAX(0,Scenario_DT!Q$18-3))*(Scenario_DT!Q$12+$O275)-Scenario_DT!Q$13)*(1-Scenario_DT!Q$14)+Scenario_DT!Q$13-Scenario_DT!Q$15)*Scenario_DT!Q$16</f>
        <v>3135.4344721952025</v>
      </c>
      <c r="AA275" s="28">
        <f>((Scenario_DT!R$11*(IF(Scenario_DT!R$18=1,1,1+$M275/Scenario_DT!$C$19)*(1+$N275)^MAX(0,Scenario_DT!R$18-3))*(Scenario_DT!R$12+$O275)-Scenario_DT!R$13)*(1-Scenario_DT!R$14)+Scenario_DT!R$13-Scenario_DT!R$15)*Scenario_DT!R$16</f>
        <v>3280.9067644476604</v>
      </c>
      <c r="AB275" s="17">
        <f>(Scenario_DT!$R$11*(1+$M275/Scenario_DT!$C$19)*(1+$N275)^7*(Scenario_DT!$R$12+$O275)*(1+MIN(DCF_FCFF!$C$26+$Q275,(DCF_FCFF!$C$25+$P275)-0.02))*(1-DCF_FCFF!$C$27)*(1-DCF_FCFF!$C$28)/((DCF_FCFF!$C$25+$P275)-MIN(DCF_FCFF!$C$26+$Q275,(DCF_FCFF!$C$25+$P275)-0.02)))*(1+(DCF_FCFF!$C$25+$P275))^(-(Inputs!$C$9+9))</f>
        <v>22886.069395033304</v>
      </c>
      <c r="AC275" s="17">
        <f>SUMPRODUCT(R275:AA275*(1+(DCF_FCFF!$C$25+$P275))^(-Scenario_DT!$I$17:$R$17))+AB275</f>
        <v>39057.507881049838</v>
      </c>
      <c r="AD275" s="68">
        <f>((AC275-DCF_FCFF!$C$48)*(1-DCF_FCFF!$C$50)+DCF_FCFF!$C$57+DCF_FCFF!$C$58)/DCF_FCFF!$C$60</f>
        <v>278.4595474720914</v>
      </c>
      <c r="AE275" s="6"/>
      <c r="AF275" s="6"/>
      <c r="AG275" s="6"/>
    </row>
    <row r="276" spans="1:33" x14ac:dyDescent="0.3">
      <c r="A276" s="6"/>
      <c r="B276" s="72">
        <v>245</v>
      </c>
      <c r="C276" s="73">
        <v>1.0674650227472399E-3</v>
      </c>
      <c r="D276" s="73">
        <v>0.21227713884074301</v>
      </c>
      <c r="E276" s="73">
        <v>0.89451149771878102</v>
      </c>
      <c r="F276" s="73">
        <v>0.64629076322855905</v>
      </c>
      <c r="G276" s="73">
        <v>0.171960351937023</v>
      </c>
      <c r="H276" s="15">
        <f t="shared" si="31"/>
        <v>-3.0707903417509055</v>
      </c>
      <c r="I276" s="15">
        <f t="shared" si="32"/>
        <v>-0.79854502141851857</v>
      </c>
      <c r="J276" s="15">
        <f t="shared" si="33"/>
        <v>1.2508834452644086</v>
      </c>
      <c r="K276" s="15">
        <f t="shared" si="34"/>
        <v>0.37532540616642862</v>
      </c>
      <c r="L276" s="15">
        <f t="shared" si="35"/>
        <v>-0.94644688006751321</v>
      </c>
      <c r="M276" s="18">
        <f t="shared" si="36"/>
        <v>-6.1415806835018114E-2</v>
      </c>
      <c r="N276" s="18">
        <f t="shared" si="37"/>
        <v>-1.7815643563915826E-2</v>
      </c>
      <c r="O276" s="18">
        <f t="shared" si="38"/>
        <v>1.5010601343172903E-2</v>
      </c>
      <c r="P276" s="18">
        <f t="shared" si="39"/>
        <v>2.2519524369985717E-3</v>
      </c>
      <c r="Q276" s="18">
        <f t="shared" si="40"/>
        <v>-3.7857875202700528E-3</v>
      </c>
      <c r="R276" s="28">
        <f>((Scenario_DT!I$11*(IF(Scenario_DT!I$18=1,1,1+$M276/Scenario_DT!$C$19)*(1+$N276)^MAX(0,Scenario_DT!I$18-3))*(Scenario_DT!I$12+$O276)-Scenario_DT!I$13)*(1-Scenario_DT!I$14)+Scenario_DT!I$13-Scenario_DT!I$15)*Scenario_DT!I$16</f>
        <v>932.14787004064851</v>
      </c>
      <c r="S276" s="28">
        <f>((Scenario_DT!J$11*(IF(Scenario_DT!J$18=1,1,1+$M276/Scenario_DT!$C$19)*(1+$N276)^MAX(0,Scenario_DT!J$18-3))*(Scenario_DT!J$12+$O276)-Scenario_DT!J$13)*(1-Scenario_DT!J$14)+Scenario_DT!J$13-Scenario_DT!J$15)*Scenario_DT!J$16</f>
        <v>1728.3439410843148</v>
      </c>
      <c r="T276" s="28">
        <f>((Scenario_DT!K$11*(IF(Scenario_DT!K$18=1,1,1+$M276/Scenario_DT!$C$19)*(1+$N276)^MAX(0,Scenario_DT!K$18-3))*(Scenario_DT!K$12+$O276)-Scenario_DT!K$13)*(1-Scenario_DT!K$14)+Scenario_DT!K$13-Scenario_DT!K$15)*Scenario_DT!K$16</f>
        <v>1987.0781069155464</v>
      </c>
      <c r="U276" s="28">
        <f>((Scenario_DT!L$11*(IF(Scenario_DT!L$18=1,1,1+$M276/Scenario_DT!$C$19)*(1+$N276)^MAX(0,Scenario_DT!L$18-3))*(Scenario_DT!L$12+$O276)-Scenario_DT!L$13)*(1-Scenario_DT!L$14)+Scenario_DT!L$13-Scenario_DT!L$15)*Scenario_DT!L$16</f>
        <v>2338.6220625955943</v>
      </c>
      <c r="V276" s="28">
        <f>((Scenario_DT!M$11*(IF(Scenario_DT!M$18=1,1,1+$M276/Scenario_DT!$C$19)*(1+$N276)^MAX(0,Scenario_DT!M$18-3))*(Scenario_DT!M$12+$O276)-Scenario_DT!M$13)*(1-Scenario_DT!M$14)+Scenario_DT!M$13-Scenario_DT!M$15)*Scenario_DT!M$16</f>
        <v>2410.7688073044196</v>
      </c>
      <c r="W276" s="28">
        <f>((Scenario_DT!N$11*(IF(Scenario_DT!N$18=1,1,1+$M276/Scenario_DT!$C$19)*(1+$N276)^MAX(0,Scenario_DT!N$18-3))*(Scenario_DT!N$12+$O276)-Scenario_DT!N$13)*(1-Scenario_DT!N$14)+Scenario_DT!N$13-Scenario_DT!N$15)*Scenario_DT!N$16</f>
        <v>2485.1009466415271</v>
      </c>
      <c r="X276" s="28">
        <f>((Scenario_DT!O$11*(IF(Scenario_DT!O$18=1,1,1+$M276/Scenario_DT!$C$19)*(1+$N276)^MAX(0,Scenario_DT!O$18-3))*(Scenario_DT!O$12+$O276)-Scenario_DT!O$13)*(1-Scenario_DT!O$14)+Scenario_DT!O$13-Scenario_DT!O$15)*Scenario_DT!O$16</f>
        <v>2561.6848066094567</v>
      </c>
      <c r="Y276" s="28">
        <f>((Scenario_DT!P$11*(IF(Scenario_DT!P$18=1,1,1+$M276/Scenario_DT!$C$19)*(1+$N276)^MAX(0,Scenario_DT!P$18-3))*(Scenario_DT!P$12+$O276)-Scenario_DT!P$13)*(1-Scenario_DT!P$14)+Scenario_DT!P$13-Scenario_DT!P$15)*Scenario_DT!P$16</f>
        <v>2640.5887099201113</v>
      </c>
      <c r="Z276" s="28">
        <f>((Scenario_DT!Q$11*(IF(Scenario_DT!Q$18=1,1,1+$M276/Scenario_DT!$C$19)*(1+$N276)^MAX(0,Scenario_DT!Q$18-3))*(Scenario_DT!Q$12+$O276)-Scenario_DT!Q$13)*(1-Scenario_DT!Q$14)+Scenario_DT!Q$13-Scenario_DT!Q$15)*Scenario_DT!Q$16</f>
        <v>2721.8830351712209</v>
      </c>
      <c r="AA276" s="28">
        <f>((Scenario_DT!R$11*(IF(Scenario_DT!R$18=1,1,1+$M276/Scenario_DT!$C$19)*(1+$N276)^MAX(0,Scenario_DT!R$18-3))*(Scenario_DT!R$12+$O276)-Scenario_DT!R$13)*(1-Scenario_DT!R$14)+Scenario_DT!R$13-Scenario_DT!R$15)*Scenario_DT!R$16</f>
        <v>2805.6402777332678</v>
      </c>
      <c r="AB276" s="17">
        <f>(Scenario_DT!$R$11*(1+$M276/Scenario_DT!$C$19)*(1+$N276)^7*(Scenario_DT!$R$12+$O276)*(1+MIN(DCF_FCFF!$C$26+$Q276,(DCF_FCFF!$C$25+$P276)-0.02))*(1-DCF_FCFF!$C$27)*(1-DCF_FCFF!$C$28)/((DCF_FCFF!$C$25+$P276)-MIN(DCF_FCFF!$C$26+$Q276,(DCF_FCFF!$C$25+$P276)-0.02)))*(1+(DCF_FCFF!$C$25+$P276))^(-(Inputs!$C$9+9))</f>
        <v>20682.467035573183</v>
      </c>
      <c r="AC276" s="17">
        <f>SUMPRODUCT(R276:AA276*(1+(DCF_FCFF!$C$25+$P276))^(-Scenario_DT!$I$17:$R$17))+AB276</f>
        <v>35485.769747686703</v>
      </c>
      <c r="AD276" s="68">
        <f>((AC276-DCF_FCFF!$C$48)*(1-DCF_FCFF!$C$50)+DCF_FCFF!$C$57+DCF_FCFF!$C$58)/DCF_FCFF!$C$60</f>
        <v>244.175260084055</v>
      </c>
      <c r="AE276" s="6"/>
      <c r="AF276" s="6"/>
      <c r="AG276" s="6"/>
    </row>
    <row r="277" spans="1:33" x14ac:dyDescent="0.3">
      <c r="A277" s="6"/>
      <c r="B277" s="72">
        <v>246</v>
      </c>
      <c r="C277" s="73">
        <v>0.890263961823619</v>
      </c>
      <c r="D277" s="73">
        <v>0.46995594028734</v>
      </c>
      <c r="E277" s="73">
        <v>0.47609175667866099</v>
      </c>
      <c r="F277" s="73">
        <v>0.93554194384265499</v>
      </c>
      <c r="G277" s="73">
        <v>5.9486692183339997E-2</v>
      </c>
      <c r="H277" s="15">
        <f t="shared" si="31"/>
        <v>1.2279331170728434</v>
      </c>
      <c r="I277" s="15">
        <f t="shared" si="32"/>
        <v>-7.5380617182312953E-2</v>
      </c>
      <c r="J277" s="15">
        <f t="shared" si="33"/>
        <v>-5.9964996361161059E-2</v>
      </c>
      <c r="K277" s="15">
        <f t="shared" si="34"/>
        <v>1.5183899952382618</v>
      </c>
      <c r="L277" s="15">
        <f t="shared" si="35"/>
        <v>-1.5590971658158732</v>
      </c>
      <c r="M277" s="18">
        <f t="shared" si="36"/>
        <v>2.4558662341456868E-2</v>
      </c>
      <c r="N277" s="18">
        <f t="shared" si="37"/>
        <v>4.3894802328287115E-3</v>
      </c>
      <c r="O277" s="18">
        <f t="shared" si="38"/>
        <v>-7.1957995633393276E-4</v>
      </c>
      <c r="P277" s="18">
        <f t="shared" si="39"/>
        <v>9.1103399714295707E-3</v>
      </c>
      <c r="Q277" s="18">
        <f t="shared" si="40"/>
        <v>-6.2363886632634926E-3</v>
      </c>
      <c r="R277" s="28">
        <f>((Scenario_DT!I$11*(IF(Scenario_DT!I$18=1,1,1+$M277/Scenario_DT!$C$19)*(1+$N277)^MAX(0,Scenario_DT!I$18-3))*(Scenario_DT!I$12+$O277)-Scenario_DT!I$13)*(1-Scenario_DT!I$14)+Scenario_DT!I$13-Scenario_DT!I$15)*Scenario_DT!I$16</f>
        <v>909.9700072345114</v>
      </c>
      <c r="S277" s="28">
        <f>((Scenario_DT!J$11*(IF(Scenario_DT!J$18=1,1,1+$M277/Scenario_DT!$C$19)*(1+$N277)^MAX(0,Scenario_DT!J$18-3))*(Scenario_DT!J$12+$O277)-Scenario_DT!J$13)*(1-Scenario_DT!J$14)+Scenario_DT!J$13-Scenario_DT!J$15)*Scenario_DT!J$16</f>
        <v>1888.4630472419326</v>
      </c>
      <c r="T277" s="28">
        <f>((Scenario_DT!K$11*(IF(Scenario_DT!K$18=1,1,1+$M277/Scenario_DT!$C$19)*(1+$N277)^MAX(0,Scenario_DT!K$18-3))*(Scenario_DT!K$12+$O277)-Scenario_DT!K$13)*(1-Scenario_DT!K$14)+Scenario_DT!K$13-Scenario_DT!K$15)*Scenario_DT!K$16</f>
        <v>2155.9372540942913</v>
      </c>
      <c r="U277" s="28">
        <f>((Scenario_DT!L$11*(IF(Scenario_DT!L$18=1,1,1+$M277/Scenario_DT!$C$19)*(1+$N277)^MAX(0,Scenario_DT!L$18-3))*(Scenario_DT!L$12+$O277)-Scenario_DT!L$13)*(1-Scenario_DT!L$14)+Scenario_DT!L$13-Scenario_DT!L$15)*Scenario_DT!L$16</f>
        <v>2571.952653856652</v>
      </c>
      <c r="V277" s="28">
        <f>((Scenario_DT!M$11*(IF(Scenario_DT!M$18=1,1,1+$M277/Scenario_DT!$C$19)*(1+$N277)^MAX(0,Scenario_DT!M$18-3))*(Scenario_DT!M$12+$O277)-Scenario_DT!M$13)*(1-Scenario_DT!M$14)+Scenario_DT!M$13-Scenario_DT!M$15)*Scenario_DT!M$16</f>
        <v>2711.7606444072562</v>
      </c>
      <c r="W277" s="28">
        <f>((Scenario_DT!N$11*(IF(Scenario_DT!N$18=1,1,1+$M277/Scenario_DT!$C$19)*(1+$N277)^MAX(0,Scenario_DT!N$18-3))*(Scenario_DT!N$12+$O277)-Scenario_DT!N$13)*(1-Scenario_DT!N$14)+Scenario_DT!N$13-Scenario_DT!N$15)*Scenario_DT!N$16</f>
        <v>2859.1675608530727</v>
      </c>
      <c r="X277" s="28">
        <f>((Scenario_DT!O$11*(IF(Scenario_DT!O$18=1,1,1+$M277/Scenario_DT!$C$19)*(1+$N277)^MAX(0,Scenario_DT!O$18-3))*(Scenario_DT!O$12+$O277)-Scenario_DT!O$13)*(1-Scenario_DT!O$14)+Scenario_DT!O$13-Scenario_DT!O$15)*Scenario_DT!O$16</f>
        <v>3014.5891382839422</v>
      </c>
      <c r="Y277" s="28">
        <f>((Scenario_DT!P$11*(IF(Scenario_DT!P$18=1,1,1+$M277/Scenario_DT!$C$19)*(1+$N277)^MAX(0,Scenario_DT!P$18-3))*(Scenario_DT!P$12+$O277)-Scenario_DT!P$13)*(1-Scenario_DT!P$14)+Scenario_DT!P$13-Scenario_DT!P$15)*Scenario_DT!P$16</f>
        <v>3178.4638723888761</v>
      </c>
      <c r="Z277" s="28">
        <f>((Scenario_DT!Q$11*(IF(Scenario_DT!Q$18=1,1,1+$M277/Scenario_DT!$C$19)*(1+$N277)^MAX(0,Scenario_DT!Q$18-3))*(Scenario_DT!Q$12+$O277)-Scenario_DT!Q$13)*(1-Scenario_DT!Q$14)+Scenario_DT!Q$13-Scenario_DT!Q$15)*Scenario_DT!Q$16</f>
        <v>3351.2542651946824</v>
      </c>
      <c r="AA277" s="28">
        <f>((Scenario_DT!R$11*(IF(Scenario_DT!R$18=1,1,1+$M277/Scenario_DT!$C$19)*(1+$N277)^MAX(0,Scenario_DT!R$18-3))*(Scenario_DT!R$12+$O277)-Scenario_DT!R$13)*(1-Scenario_DT!R$14)+Scenario_DT!R$13-Scenario_DT!R$15)*Scenario_DT!R$16</f>
        <v>3533.448138960166</v>
      </c>
      <c r="AB277" s="17">
        <f>(Scenario_DT!$R$11*(1+$M277/Scenario_DT!$C$19)*(1+$N277)^7*(Scenario_DT!$R$12+$O277)*(1+MIN(DCF_FCFF!$C$26+$Q277,(DCF_FCFF!$C$25+$P277)-0.02))*(1-DCF_FCFF!$C$27)*(1-DCF_FCFF!$C$28)/((DCF_FCFF!$C$25+$P277)-MIN(DCF_FCFF!$C$26+$Q277,(DCF_FCFF!$C$25+$P277)-0.02)))*(1+(DCF_FCFF!$C$25+$P277))^(-(Inputs!$C$9+9))</f>
        <v>20979.944631180249</v>
      </c>
      <c r="AC277" s="17">
        <f>SUMPRODUCT(R277:AA277*(1+(DCF_FCFF!$C$25+$P277))^(-Scenario_DT!$I$17:$R$17))+AB277</f>
        <v>37398.731560035303</v>
      </c>
      <c r="AD277" s="68">
        <f>((AC277-DCF_FCFF!$C$48)*(1-DCF_FCFF!$C$50)+DCF_FCFF!$C$57+DCF_FCFF!$C$58)/DCF_FCFF!$C$60</f>
        <v>262.53733761831819</v>
      </c>
      <c r="AE277" s="6"/>
      <c r="AF277" s="6"/>
      <c r="AG277" s="6"/>
    </row>
    <row r="278" spans="1:33" x14ac:dyDescent="0.3">
      <c r="A278" s="6"/>
      <c r="B278" s="72">
        <v>247</v>
      </c>
      <c r="C278" s="73">
        <v>0.215178274628719</v>
      </c>
      <c r="D278" s="73">
        <v>0.58577132515472197</v>
      </c>
      <c r="E278" s="73">
        <v>0.195486509582004</v>
      </c>
      <c r="F278" s="73">
        <v>0.67952700920895803</v>
      </c>
      <c r="G278" s="73">
        <v>0.21409228933672</v>
      </c>
      <c r="H278" s="15">
        <f t="shared" si="31"/>
        <v>-0.78858166736981317</v>
      </c>
      <c r="I278" s="15">
        <f t="shared" si="32"/>
        <v>0.21668049491768712</v>
      </c>
      <c r="J278" s="15">
        <f t="shared" si="33"/>
        <v>-0.85785412353901991</v>
      </c>
      <c r="K278" s="15">
        <f t="shared" si="34"/>
        <v>0.46637656696747132</v>
      </c>
      <c r="L278" s="15">
        <f t="shared" si="35"/>
        <v>-0.7923020465466456</v>
      </c>
      <c r="M278" s="18">
        <f t="shared" si="36"/>
        <v>-1.5771633347396265E-2</v>
      </c>
      <c r="N278" s="18">
        <f t="shared" si="37"/>
        <v>-1.6531201646528368E-3</v>
      </c>
      <c r="O278" s="18">
        <f t="shared" si="38"/>
        <v>-1.0294249482468239E-2</v>
      </c>
      <c r="P278" s="18">
        <f t="shared" si="39"/>
        <v>2.7982594018048281E-3</v>
      </c>
      <c r="Q278" s="18">
        <f t="shared" si="40"/>
        <v>-3.1692081861865824E-3</v>
      </c>
      <c r="R278" s="28">
        <f>((Scenario_DT!I$11*(IF(Scenario_DT!I$18=1,1,1+$M278/Scenario_DT!$C$19)*(1+$N278)^MAX(0,Scenario_DT!I$18-3))*(Scenario_DT!I$12+$O278)-Scenario_DT!I$13)*(1-Scenario_DT!I$14)+Scenario_DT!I$13-Scenario_DT!I$15)*Scenario_DT!I$16</f>
        <v>896.47075359454448</v>
      </c>
      <c r="S278" s="28">
        <f>((Scenario_DT!J$11*(IF(Scenario_DT!J$18=1,1,1+$M278/Scenario_DT!$C$19)*(1+$N278)^MAX(0,Scenario_DT!J$18-3))*(Scenario_DT!J$12+$O278)-Scenario_DT!J$13)*(1-Scenario_DT!J$14)+Scenario_DT!J$13-Scenario_DT!J$15)*Scenario_DT!J$16</f>
        <v>1762.6605241336329</v>
      </c>
      <c r="T278" s="28">
        <f>((Scenario_DT!K$11*(IF(Scenario_DT!K$18=1,1,1+$M278/Scenario_DT!$C$19)*(1+$N278)^MAX(0,Scenario_DT!K$18-3))*(Scenario_DT!K$12+$O278)-Scenario_DT!K$13)*(1-Scenario_DT!K$14)+Scenario_DT!K$13-Scenario_DT!K$15)*Scenario_DT!K$16</f>
        <v>2024.1933186272458</v>
      </c>
      <c r="U278" s="28">
        <f>((Scenario_DT!L$11*(IF(Scenario_DT!L$18=1,1,1+$M278/Scenario_DT!$C$19)*(1+$N278)^MAX(0,Scenario_DT!L$18-3))*(Scenario_DT!L$12+$O278)-Scenario_DT!L$13)*(1-Scenario_DT!L$14)+Scenario_DT!L$13-Scenario_DT!L$15)*Scenario_DT!L$16</f>
        <v>2416.7263279802128</v>
      </c>
      <c r="V278" s="28">
        <f>((Scenario_DT!M$11*(IF(Scenario_DT!M$18=1,1,1+$M278/Scenario_DT!$C$19)*(1+$N278)^MAX(0,Scenario_DT!M$18-3))*(Scenario_DT!M$12+$O278)-Scenario_DT!M$13)*(1-Scenario_DT!M$14)+Scenario_DT!M$13-Scenario_DT!M$15)*Scenario_DT!M$16</f>
        <v>2532.6170275993395</v>
      </c>
      <c r="W278" s="28">
        <f>((Scenario_DT!N$11*(IF(Scenario_DT!N$18=1,1,1+$M278/Scenario_DT!$C$19)*(1+$N278)^MAX(0,Scenario_DT!N$18-3))*(Scenario_DT!N$12+$O278)-Scenario_DT!N$13)*(1-Scenario_DT!N$14)+Scenario_DT!N$13-Scenario_DT!N$15)*Scenario_DT!N$16</f>
        <v>2654.0553290150256</v>
      </c>
      <c r="X278" s="28">
        <f>((Scenario_DT!O$11*(IF(Scenario_DT!O$18=1,1,1+$M278/Scenario_DT!$C$19)*(1+$N278)^MAX(0,Scenario_DT!O$18-3))*(Scenario_DT!O$12+$O278)-Scenario_DT!O$13)*(1-Scenario_DT!O$14)+Scenario_DT!O$13-Scenario_DT!O$15)*Scenario_DT!O$16</f>
        <v>2781.3089789059222</v>
      </c>
      <c r="Y278" s="28">
        <f>((Scenario_DT!P$11*(IF(Scenario_DT!P$18=1,1,1+$M278/Scenario_DT!$C$19)*(1+$N278)^MAX(0,Scenario_DT!P$18-3))*(Scenario_DT!P$12+$O278)-Scenario_DT!P$13)*(1-Scenario_DT!P$14)+Scenario_DT!P$13-Scenario_DT!P$15)*Scenario_DT!P$16</f>
        <v>2914.6586671020627</v>
      </c>
      <c r="Z278" s="28">
        <f>((Scenario_DT!Q$11*(IF(Scenario_DT!Q$18=1,1,1+$M278/Scenario_DT!$C$19)*(1+$N278)^MAX(0,Scenario_DT!Q$18-3))*(Scenario_DT!Q$12+$O278)-Scenario_DT!Q$13)*(1-Scenario_DT!Q$14)+Scenario_DT!Q$13-Scenario_DT!Q$15)*Scenario_DT!Q$16</f>
        <v>3054.3986524184002</v>
      </c>
      <c r="AA278" s="28">
        <f>((Scenario_DT!R$11*(IF(Scenario_DT!R$18=1,1,1+$M278/Scenario_DT!$C$19)*(1+$N278)^MAX(0,Scenario_DT!R$18-3))*(Scenario_DT!R$12+$O278)-Scenario_DT!R$13)*(1-Scenario_DT!R$14)+Scenario_DT!R$13-Scenario_DT!R$15)*Scenario_DT!R$16</f>
        <v>3200.8374187477357</v>
      </c>
      <c r="AB278" s="17">
        <f>(Scenario_DT!$R$11*(1+$M278/Scenario_DT!$C$19)*(1+$N278)^7*(Scenario_DT!$R$12+$O278)*(1+MIN(DCF_FCFF!$C$26+$Q278,(DCF_FCFF!$C$25+$P278)-0.02))*(1-DCF_FCFF!$C$27)*(1-DCF_FCFF!$C$28)/((DCF_FCFF!$C$25+$P278)-MIN(DCF_FCFF!$C$26+$Q278,(DCF_FCFF!$C$25+$P278)-0.02)))*(1+(DCF_FCFF!$C$25+$P278))^(-(Inputs!$C$9+9))</f>
        <v>23498.67131195595</v>
      </c>
      <c r="AC278" s="17">
        <f>SUMPRODUCT(R278:AA278*(1+(DCF_FCFF!$C$25+$P278))^(-Scenario_DT!$I$17:$R$17))+AB278</f>
        <v>39168.009123671218</v>
      </c>
      <c r="AD278" s="68">
        <f>((AC278-DCF_FCFF!$C$48)*(1-DCF_FCFF!$C$50)+DCF_FCFF!$C$57+DCF_FCFF!$C$58)/DCF_FCFF!$C$60</f>
        <v>279.52022331598351</v>
      </c>
      <c r="AE278" s="6"/>
      <c r="AF278" s="6"/>
      <c r="AG278" s="6"/>
    </row>
    <row r="279" spans="1:33" x14ac:dyDescent="0.3">
      <c r="A279" s="6"/>
      <c r="B279" s="72">
        <v>248</v>
      </c>
      <c r="C279" s="73">
        <v>9.9156970598814301E-2</v>
      </c>
      <c r="D279" s="73">
        <v>0.20698515964083999</v>
      </c>
      <c r="E279" s="73">
        <v>0.42273403427206202</v>
      </c>
      <c r="F279" s="73">
        <v>0.17613829917307999</v>
      </c>
      <c r="G279" s="73">
        <v>0.134692024923347</v>
      </c>
      <c r="H279" s="15">
        <f t="shared" si="31"/>
        <v>-1.2863700629957564</v>
      </c>
      <c r="I279" s="15">
        <f t="shared" si="32"/>
        <v>-0.81692669839367515</v>
      </c>
      <c r="J279" s="15">
        <f t="shared" si="33"/>
        <v>-0.19490404362915717</v>
      </c>
      <c r="K279" s="15">
        <f t="shared" si="34"/>
        <v>-0.93018250533859215</v>
      </c>
      <c r="L279" s="15">
        <f t="shared" si="35"/>
        <v>-1.1044821329867538</v>
      </c>
      <c r="M279" s="18">
        <f t="shared" si="36"/>
        <v>-2.5727401259915128E-2</v>
      </c>
      <c r="N279" s="18">
        <f t="shared" si="37"/>
        <v>-1.0805314442692393E-2</v>
      </c>
      <c r="O279" s="18">
        <f t="shared" si="38"/>
        <v>-2.3388485235498859E-3</v>
      </c>
      <c r="P279" s="18">
        <f t="shared" si="39"/>
        <v>-5.5810950320315531E-3</v>
      </c>
      <c r="Q279" s="18">
        <f t="shared" si="40"/>
        <v>-4.4179285319470149E-3</v>
      </c>
      <c r="R279" s="28">
        <f>((Scenario_DT!I$11*(IF(Scenario_DT!I$18=1,1,1+$M279/Scenario_DT!$C$19)*(1+$N279)^MAX(0,Scenario_DT!I$18-3))*(Scenario_DT!I$12+$O279)-Scenario_DT!I$13)*(1-Scenario_DT!I$14)+Scenario_DT!I$13-Scenario_DT!I$15)*Scenario_DT!I$16</f>
        <v>907.6870128146611</v>
      </c>
      <c r="S279" s="28">
        <f>((Scenario_DT!J$11*(IF(Scenario_DT!J$18=1,1,1+$M279/Scenario_DT!$C$19)*(1+$N279)^MAX(0,Scenario_DT!J$18-3))*(Scenario_DT!J$12+$O279)-Scenario_DT!J$13)*(1-Scenario_DT!J$14)+Scenario_DT!J$13-Scenario_DT!J$15)*Scenario_DT!J$16</f>
        <v>1763.1895528621171</v>
      </c>
      <c r="T279" s="28">
        <f>((Scenario_DT!K$11*(IF(Scenario_DT!K$18=1,1,1+$M279/Scenario_DT!$C$19)*(1+$N279)^MAX(0,Scenario_DT!K$18-3))*(Scenario_DT!K$12+$O279)-Scenario_DT!K$13)*(1-Scenario_DT!K$14)+Scenario_DT!K$13-Scenario_DT!K$15)*Scenario_DT!K$16</f>
        <v>2024.4030505635455</v>
      </c>
      <c r="U279" s="28">
        <f>((Scenario_DT!L$11*(IF(Scenario_DT!L$18=1,1,1+$M279/Scenario_DT!$C$19)*(1+$N279)^MAX(0,Scenario_DT!L$18-3))*(Scenario_DT!L$12+$O279)-Scenario_DT!L$13)*(1-Scenario_DT!L$14)+Scenario_DT!L$13-Scenario_DT!L$15)*Scenario_DT!L$16</f>
        <v>2394.6369386989941</v>
      </c>
      <c r="V279" s="28">
        <f>((Scenario_DT!M$11*(IF(Scenario_DT!M$18=1,1,1+$M279/Scenario_DT!$C$19)*(1+$N279)^MAX(0,Scenario_DT!M$18-3))*(Scenario_DT!M$12+$O279)-Scenario_DT!M$13)*(1-Scenario_DT!M$14)+Scenario_DT!M$13-Scenario_DT!M$15)*Scenario_DT!M$16</f>
        <v>2486.2873551935022</v>
      </c>
      <c r="W279" s="28">
        <f>((Scenario_DT!N$11*(IF(Scenario_DT!N$18=1,1,1+$M279/Scenario_DT!$C$19)*(1+$N279)^MAX(0,Scenario_DT!N$18-3))*(Scenario_DT!N$12+$O279)-Scenario_DT!N$13)*(1-Scenario_DT!N$14)+Scenario_DT!N$13-Scenario_DT!N$15)*Scenario_DT!N$16</f>
        <v>2581.4196514828768</v>
      </c>
      <c r="X279" s="28">
        <f>((Scenario_DT!O$11*(IF(Scenario_DT!O$18=1,1,1+$M279/Scenario_DT!$C$19)*(1+$N279)^MAX(0,Scenario_DT!O$18-3))*(Scenario_DT!O$12+$O279)-Scenario_DT!O$13)*(1-Scenario_DT!O$14)+Scenario_DT!O$13-Scenario_DT!O$15)*Scenario_DT!O$16</f>
        <v>2680.1672477832371</v>
      </c>
      <c r="Y279" s="28">
        <f>((Scenario_DT!P$11*(IF(Scenario_DT!P$18=1,1,1+$M279/Scenario_DT!$C$19)*(1+$N279)^MAX(0,Scenario_DT!P$18-3))*(Scenario_DT!P$12+$O279)-Scenario_DT!P$13)*(1-Scenario_DT!P$14)+Scenario_DT!P$13-Scenario_DT!P$15)*Scenario_DT!P$16</f>
        <v>2782.6686858519465</v>
      </c>
      <c r="Z279" s="28">
        <f>((Scenario_DT!Q$11*(IF(Scenario_DT!Q$18=1,1,1+$M279/Scenario_DT!$C$19)*(1+$N279)^MAX(0,Scenario_DT!Q$18-3))*(Scenario_DT!Q$12+$O279)-Scenario_DT!Q$13)*(1-Scenario_DT!Q$14)+Scenario_DT!Q$13-Scenario_DT!Q$15)*Scenario_DT!Q$16</f>
        <v>2889.0678255802818</v>
      </c>
      <c r="AA279" s="28">
        <f>((Scenario_DT!R$11*(IF(Scenario_DT!R$18=1,1,1+$M279/Scenario_DT!$C$19)*(1+$N279)^MAX(0,Scenario_DT!R$18-3))*(Scenario_DT!R$12+$O279)-Scenario_DT!R$13)*(1-Scenario_DT!R$14)+Scenario_DT!R$13-Scenario_DT!R$15)*Scenario_DT!R$16</f>
        <v>2999.5140491286675</v>
      </c>
      <c r="AB279" s="17">
        <f>(Scenario_DT!$R$11*(1+$M279/Scenario_DT!$C$19)*(1+$N279)^7*(Scenario_DT!$R$12+$O279)*(1+MIN(DCF_FCFF!$C$26+$Q279,(DCF_FCFF!$C$25+$P279)-0.02))*(1-DCF_FCFF!$C$27)*(1-DCF_FCFF!$C$28)/((DCF_FCFF!$C$25+$P279)-MIN(DCF_FCFF!$C$26+$Q279,(DCF_FCFF!$C$25+$P279)-0.02)))*(1+(DCF_FCFF!$C$25+$P279))^(-(Inputs!$C$9+9))</f>
        <v>27098.980340800983</v>
      </c>
      <c r="AC279" s="17">
        <f>SUMPRODUCT(R279:AA279*(1+(DCF_FCFF!$C$25+$P279))^(-Scenario_DT!$I$17:$R$17))+AB279</f>
        <v>42925.337726048572</v>
      </c>
      <c r="AD279" s="68">
        <f>((AC279-DCF_FCFF!$C$48)*(1-DCF_FCFF!$C$50)+DCF_FCFF!$C$57+DCF_FCFF!$C$58)/DCF_FCFF!$C$60</f>
        <v>315.58595064686716</v>
      </c>
      <c r="AE279" s="6"/>
      <c r="AF279" s="6"/>
      <c r="AG279" s="6"/>
    </row>
    <row r="280" spans="1:33" x14ac:dyDescent="0.3">
      <c r="A280" s="6"/>
      <c r="B280" s="72">
        <v>249</v>
      </c>
      <c r="C280" s="73">
        <v>0.86028188621894097</v>
      </c>
      <c r="D280" s="73">
        <v>0.320397203597308</v>
      </c>
      <c r="E280" s="73">
        <v>0.36075868651825399</v>
      </c>
      <c r="F280" s="73">
        <v>5.5270409501227601E-2</v>
      </c>
      <c r="G280" s="73">
        <v>0.35736962350205398</v>
      </c>
      <c r="H280" s="15">
        <f t="shared" si="31"/>
        <v>1.08158667605101</v>
      </c>
      <c r="I280" s="15">
        <f t="shared" si="32"/>
        <v>-0.46658837297826478</v>
      </c>
      <c r="J280" s="15">
        <f t="shared" si="33"/>
        <v>-0.3564315930916469</v>
      </c>
      <c r="K280" s="15">
        <f t="shared" si="34"/>
        <v>-1.59576702048066</v>
      </c>
      <c r="L280" s="15">
        <f t="shared" si="35"/>
        <v>-0.36549860625731317</v>
      </c>
      <c r="M280" s="18">
        <f t="shared" si="36"/>
        <v>2.1631733521020199E-2</v>
      </c>
      <c r="N280" s="18">
        <f t="shared" si="37"/>
        <v>1.093727631327032E-3</v>
      </c>
      <c r="O280" s="18">
        <f t="shared" si="38"/>
        <v>-4.2771791170997629E-3</v>
      </c>
      <c r="P280" s="18">
        <f t="shared" si="39"/>
        <v>-9.5746021228839597E-3</v>
      </c>
      <c r="Q280" s="18">
        <f t="shared" si="40"/>
        <v>-1.4619944250292528E-3</v>
      </c>
      <c r="R280" s="28">
        <f>((Scenario_DT!I$11*(IF(Scenario_DT!I$18=1,1,1+$M280/Scenario_DT!$C$19)*(1+$N280)^MAX(0,Scenario_DT!I$18-3))*(Scenario_DT!I$12+$O280)-Scenario_DT!I$13)*(1-Scenario_DT!I$14)+Scenario_DT!I$13-Scenario_DT!I$15)*Scenario_DT!I$16</f>
        <v>904.95417527400082</v>
      </c>
      <c r="S280" s="28">
        <f>((Scenario_DT!J$11*(IF(Scenario_DT!J$18=1,1,1+$M280/Scenario_DT!$C$19)*(1+$N280)^MAX(0,Scenario_DT!J$18-3))*(Scenario_DT!J$12+$O280)-Scenario_DT!J$13)*(1-Scenario_DT!J$14)+Scenario_DT!J$13-Scenario_DT!J$15)*Scenario_DT!J$16</f>
        <v>1870.1460583393923</v>
      </c>
      <c r="T280" s="28">
        <f>((Scenario_DT!K$11*(IF(Scenario_DT!K$18=1,1,1+$M280/Scenario_DT!$C$19)*(1+$N280)^MAX(0,Scenario_DT!K$18-3))*(Scenario_DT!K$12+$O280)-Scenario_DT!K$13)*(1-Scenario_DT!K$14)+Scenario_DT!K$13-Scenario_DT!K$15)*Scenario_DT!K$16</f>
        <v>2136.8553315570002</v>
      </c>
      <c r="U280" s="28">
        <f>((Scenario_DT!L$11*(IF(Scenario_DT!L$18=1,1,1+$M280/Scenario_DT!$C$19)*(1+$N280)^MAX(0,Scenario_DT!L$18-3))*(Scenario_DT!L$12+$O280)-Scenario_DT!L$13)*(1-Scenario_DT!L$14)+Scenario_DT!L$13-Scenario_DT!L$15)*Scenario_DT!L$16</f>
        <v>2543.1749000221726</v>
      </c>
      <c r="V280" s="28">
        <f>((Scenario_DT!M$11*(IF(Scenario_DT!M$18=1,1,1+$M280/Scenario_DT!$C$19)*(1+$N280)^MAX(0,Scenario_DT!M$18-3))*(Scenario_DT!M$12+$O280)-Scenario_DT!M$13)*(1-Scenario_DT!M$14)+Scenario_DT!M$13-Scenario_DT!M$15)*Scenario_DT!M$16</f>
        <v>2672.5522122738544</v>
      </c>
      <c r="W280" s="28">
        <f>((Scenario_DT!N$11*(IF(Scenario_DT!N$18=1,1,1+$M280/Scenario_DT!$C$19)*(1+$N280)^MAX(0,Scenario_DT!N$18-3))*(Scenario_DT!N$12+$O280)-Scenario_DT!N$13)*(1-Scenario_DT!N$14)+Scenario_DT!N$13-Scenario_DT!N$15)*Scenario_DT!N$16</f>
        <v>2808.5057102459195</v>
      </c>
      <c r="X280" s="28">
        <f>((Scenario_DT!O$11*(IF(Scenario_DT!O$18=1,1,1+$M280/Scenario_DT!$C$19)*(1+$N280)^MAX(0,Scenario_DT!O$18-3))*(Scenario_DT!O$12+$O280)-Scenario_DT!O$13)*(1-Scenario_DT!O$14)+Scenario_DT!O$13-Scenario_DT!O$15)*Scenario_DT!O$16</f>
        <v>2951.3721012869123</v>
      </c>
      <c r="Y280" s="28">
        <f>((Scenario_DT!P$11*(IF(Scenario_DT!P$18=1,1,1+$M280/Scenario_DT!$C$19)*(1+$N280)^MAX(0,Scenario_DT!P$18-3))*(Scenario_DT!P$12+$O280)-Scenario_DT!P$13)*(1-Scenario_DT!P$14)+Scenario_DT!P$13-Scenario_DT!P$15)*Scenario_DT!P$16</f>
        <v>3101.5053522569892</v>
      </c>
      <c r="Z280" s="28">
        <f>((Scenario_DT!Q$11*(IF(Scenario_DT!Q$18=1,1,1+$M280/Scenario_DT!$C$19)*(1+$N280)^MAX(0,Scenario_DT!Q$18-3))*(Scenario_DT!Q$12+$O280)-Scenario_DT!Q$13)*(1-Scenario_DT!Q$14)+Scenario_DT!Q$13-Scenario_DT!Q$15)*Scenario_DT!Q$16</f>
        <v>3259.2775742232402</v>
      </c>
      <c r="AA280" s="28">
        <f>((Scenario_DT!R$11*(IF(Scenario_DT!R$18=1,1,1+$M280/Scenario_DT!$C$19)*(1+$N280)^MAX(0,Scenario_DT!R$18-3))*(Scenario_DT!R$12+$O280)-Scenario_DT!R$13)*(1-Scenario_DT!R$14)+Scenario_DT!R$13-Scenario_DT!R$15)*Scenario_DT!R$16</f>
        <v>3425.0799524930076</v>
      </c>
      <c r="AB280" s="17">
        <f>(Scenario_DT!$R$11*(1+$M280/Scenario_DT!$C$19)*(1+$N280)^7*(Scenario_DT!$R$12+$O280)*(1+MIN(DCF_FCFF!$C$26+$Q280,(DCF_FCFF!$C$25+$P280)-0.02))*(1-DCF_FCFF!$C$27)*(1-DCF_FCFF!$C$28)/((DCF_FCFF!$C$25+$P280)-MIN(DCF_FCFF!$C$26+$Q280,(DCF_FCFF!$C$25+$P280)-0.02)))*(1+(DCF_FCFF!$C$25+$P280))^(-(Inputs!$C$9+9))</f>
        <v>37373.228296373527</v>
      </c>
      <c r="AC280" s="17">
        <f>SUMPRODUCT(R280:AA280*(1+(DCF_FCFF!$C$25+$P280))^(-Scenario_DT!$I$17:$R$17))+AB280</f>
        <v>54838.472832520609</v>
      </c>
      <c r="AD280" s="68">
        <f>((AC280-DCF_FCFF!$C$48)*(1-DCF_FCFF!$C$50)+DCF_FCFF!$C$57+DCF_FCFF!$C$58)/DCF_FCFF!$C$60</f>
        <v>429.93737632045463</v>
      </c>
      <c r="AE280" s="6"/>
      <c r="AF280" s="6"/>
      <c r="AG280" s="6"/>
    </row>
    <row r="281" spans="1:33" x14ac:dyDescent="0.3">
      <c r="A281" s="6"/>
      <c r="B281" s="72">
        <v>250</v>
      </c>
      <c r="C281" s="73">
        <v>0.26480717732157999</v>
      </c>
      <c r="D281" s="73">
        <v>0.61048506734178898</v>
      </c>
      <c r="E281" s="73">
        <v>0.20539029767240699</v>
      </c>
      <c r="F281" s="73">
        <v>0.88836545306284098</v>
      </c>
      <c r="G281" s="73">
        <v>0.92966662091955499</v>
      </c>
      <c r="H281" s="15">
        <f t="shared" si="31"/>
        <v>-0.62859481660584393</v>
      </c>
      <c r="I281" s="15">
        <f t="shared" si="32"/>
        <v>0.28058350993693165</v>
      </c>
      <c r="J281" s="15">
        <f t="shared" si="33"/>
        <v>-0.82252072659256292</v>
      </c>
      <c r="K281" s="15">
        <f t="shared" si="34"/>
        <v>1.2178812724129844</v>
      </c>
      <c r="L281" s="15">
        <f t="shared" si="35"/>
        <v>1.4733126243886394</v>
      </c>
      <c r="M281" s="18">
        <f t="shared" si="36"/>
        <v>-1.2571896332116878E-2</v>
      </c>
      <c r="N281" s="18">
        <f t="shared" si="37"/>
        <v>-5.704396865162855E-4</v>
      </c>
      <c r="O281" s="18">
        <f t="shared" si="38"/>
        <v>-9.8702487191107552E-3</v>
      </c>
      <c r="P281" s="18">
        <f t="shared" si="39"/>
        <v>7.3072876344779068E-3</v>
      </c>
      <c r="Q281" s="18">
        <f t="shared" si="40"/>
        <v>5.8932504975545575E-3</v>
      </c>
      <c r="R281" s="28">
        <f>((Scenario_DT!I$11*(IF(Scenario_DT!I$18=1,1,1+$M281/Scenario_DT!$C$19)*(1+$N281)^MAX(0,Scenario_DT!I$18-3))*(Scenario_DT!I$12+$O281)-Scenario_DT!I$13)*(1-Scenario_DT!I$14)+Scenario_DT!I$13-Scenario_DT!I$15)*Scenario_DT!I$16</f>
        <v>897.06854904142426</v>
      </c>
      <c r="S281" s="28">
        <f>((Scenario_DT!J$11*(IF(Scenario_DT!J$18=1,1,1+$M281/Scenario_DT!$C$19)*(1+$N281)^MAX(0,Scenario_DT!J$18-3))*(Scenario_DT!J$12+$O281)-Scenario_DT!J$13)*(1-Scenario_DT!J$14)+Scenario_DT!J$13-Scenario_DT!J$15)*Scenario_DT!J$16</f>
        <v>1771.5191750149274</v>
      </c>
      <c r="T281" s="28">
        <f>((Scenario_DT!K$11*(IF(Scenario_DT!K$18=1,1,1+$M281/Scenario_DT!$C$19)*(1+$N281)^MAX(0,Scenario_DT!K$18-3))*(Scenario_DT!K$12+$O281)-Scenario_DT!K$13)*(1-Scenario_DT!K$14)+Scenario_DT!K$13-Scenario_DT!K$15)*Scenario_DT!K$16</f>
        <v>2033.4825803131175</v>
      </c>
      <c r="U281" s="28">
        <f>((Scenario_DT!L$11*(IF(Scenario_DT!L$18=1,1,1+$M281/Scenario_DT!$C$19)*(1+$N281)^MAX(0,Scenario_DT!L$18-3))*(Scenario_DT!L$12+$O281)-Scenario_DT!L$13)*(1-Scenario_DT!L$14)+Scenario_DT!L$13-Scenario_DT!L$15)*Scenario_DT!L$16</f>
        <v>2429.223001711433</v>
      </c>
      <c r="V281" s="28">
        <f>((Scenario_DT!M$11*(IF(Scenario_DT!M$18=1,1,1+$M281/Scenario_DT!$C$19)*(1+$N281)^MAX(0,Scenario_DT!M$18-3))*(Scenario_DT!M$12+$O281)-Scenario_DT!M$13)*(1-Scenario_DT!M$14)+Scenario_DT!M$13-Scenario_DT!M$15)*Scenario_DT!M$16</f>
        <v>2548.4976031332776</v>
      </c>
      <c r="W281" s="28">
        <f>((Scenario_DT!N$11*(IF(Scenario_DT!N$18=1,1,1+$M281/Scenario_DT!$C$19)*(1+$N281)^MAX(0,Scenario_DT!N$18-3))*(Scenario_DT!N$12+$O281)-Scenario_DT!N$13)*(1-Scenario_DT!N$14)+Scenario_DT!N$13-Scenario_DT!N$15)*Scenario_DT!N$16</f>
        <v>2673.6205001545477</v>
      </c>
      <c r="X281" s="28">
        <f>((Scenario_DT!O$11*(IF(Scenario_DT!O$18=1,1,1+$M281/Scenario_DT!$C$19)*(1+$N281)^MAX(0,Scenario_DT!O$18-3))*(Scenario_DT!O$12+$O281)-Scenario_DT!O$13)*(1-Scenario_DT!O$14)+Scenario_DT!O$13-Scenario_DT!O$15)*Scenario_DT!O$16</f>
        <v>2804.8807385465338</v>
      </c>
      <c r="Y281" s="28">
        <f>((Scenario_DT!P$11*(IF(Scenario_DT!P$18=1,1,1+$M281/Scenario_DT!$C$19)*(1+$N281)^MAX(0,Scenario_DT!P$18-3))*(Scenario_DT!P$12+$O281)-Scenario_DT!P$13)*(1-Scenario_DT!P$14)+Scenario_DT!P$13-Scenario_DT!P$15)*Scenario_DT!P$16</f>
        <v>2942.581670468307</v>
      </c>
      <c r="Z281" s="28">
        <f>((Scenario_DT!Q$11*(IF(Scenario_DT!Q$18=1,1,1+$M281/Scenario_DT!$C$19)*(1+$N281)^MAX(0,Scenario_DT!Q$18-3))*(Scenario_DT!Q$12+$O281)-Scenario_DT!Q$13)*(1-Scenario_DT!Q$14)+Scenario_DT!Q$13-Scenario_DT!Q$15)*Scenario_DT!Q$16</f>
        <v>3087.0416626576139</v>
      </c>
      <c r="AA281" s="28">
        <f>((Scenario_DT!R$11*(IF(Scenario_DT!R$18=1,1,1+$M281/Scenario_DT!$C$19)*(1+$N281)^MAX(0,Scenario_DT!R$18-3))*(Scenario_DT!R$12+$O281)-Scenario_DT!R$13)*(1-Scenario_DT!R$14)+Scenario_DT!R$13-Scenario_DT!R$15)*Scenario_DT!R$16</f>
        <v>3238.5948396742406</v>
      </c>
      <c r="AB281" s="17">
        <f>(Scenario_DT!$R$11*(1+$M281/Scenario_DT!$C$19)*(1+$N281)^7*(Scenario_DT!$R$12+$O281)*(1+MIN(DCF_FCFF!$C$26+$Q281,(DCF_FCFF!$C$25+$P281)-0.02))*(1-DCF_FCFF!$C$27)*(1-DCF_FCFF!$C$28)/((DCF_FCFF!$C$25+$P281)-MIN(DCF_FCFF!$C$26+$Q281,(DCF_FCFF!$C$25+$P281)-0.02)))*(1+(DCF_FCFF!$C$25+$P281))^(-(Inputs!$C$9+9))</f>
        <v>25091.312225058831</v>
      </c>
      <c r="AC281" s="17">
        <f>SUMPRODUCT(R281:AA281*(1+(DCF_FCFF!$C$25+$P281))^(-Scenario_DT!$I$17:$R$17))+AB281</f>
        <v>40578.276417410132</v>
      </c>
      <c r="AD281" s="68">
        <f>((AC281-DCF_FCFF!$C$48)*(1-DCF_FCFF!$C$50)+DCF_FCFF!$C$57+DCF_FCFF!$C$58)/DCF_FCFF!$C$60</f>
        <v>293.05705255350853</v>
      </c>
      <c r="AE281" s="6"/>
      <c r="AF281" s="6"/>
      <c r="AG281" s="6"/>
    </row>
    <row r="282" spans="1:33" x14ac:dyDescent="0.3">
      <c r="A282" s="6"/>
      <c r="B282" s="72">
        <v>251</v>
      </c>
      <c r="C282" s="73">
        <v>9.9831057176790194E-2</v>
      </c>
      <c r="D282" s="73">
        <v>0.107402956288577</v>
      </c>
      <c r="E282" s="73">
        <v>0.115326438110988</v>
      </c>
      <c r="F282" s="73">
        <v>0.61956925631031201</v>
      </c>
      <c r="G282" s="73">
        <v>0.121968964209623</v>
      </c>
      <c r="H282" s="15">
        <f t="shared" si="31"/>
        <v>-1.2825148063005241</v>
      </c>
      <c r="I282" s="15">
        <f t="shared" si="32"/>
        <v>-1.2404583438876042</v>
      </c>
      <c r="J282" s="15">
        <f t="shared" si="33"/>
        <v>-1.1986787698628529</v>
      </c>
      <c r="K282" s="15">
        <f t="shared" si="34"/>
        <v>0.3043496965031901</v>
      </c>
      <c r="L282" s="15">
        <f t="shared" si="35"/>
        <v>-1.1652002896685236</v>
      </c>
      <c r="M282" s="18">
        <f t="shared" si="36"/>
        <v>-2.5650296126010483E-2</v>
      </c>
      <c r="N282" s="18">
        <f t="shared" si="37"/>
        <v>-1.3724206730346404E-2</v>
      </c>
      <c r="O282" s="18">
        <f t="shared" si="38"/>
        <v>-1.4384145238354235E-2</v>
      </c>
      <c r="P282" s="18">
        <f t="shared" si="39"/>
        <v>1.8260981790191406E-3</v>
      </c>
      <c r="Q282" s="18">
        <f t="shared" si="40"/>
        <v>-4.6608011586740947E-3</v>
      </c>
      <c r="R282" s="28">
        <f>((Scenario_DT!I$11*(IF(Scenario_DT!I$18=1,1,1+$M282/Scenario_DT!$C$19)*(1+$N282)^MAX(0,Scenario_DT!I$18-3))*(Scenario_DT!I$12+$O282)-Scenario_DT!I$13)*(1-Scenario_DT!I$14)+Scenario_DT!I$13-Scenario_DT!I$15)*Scenario_DT!I$16</f>
        <v>890.70444071878103</v>
      </c>
      <c r="S282" s="28">
        <f>((Scenario_DT!J$11*(IF(Scenario_DT!J$18=1,1,1+$M282/Scenario_DT!$C$19)*(1+$N282)^MAX(0,Scenario_DT!J$18-3))*(Scenario_DT!J$12+$O282)-Scenario_DT!J$13)*(1-Scenario_DT!J$14)+Scenario_DT!J$13-Scenario_DT!J$15)*Scenario_DT!J$16</f>
        <v>1726.9609353516275</v>
      </c>
      <c r="T282" s="28">
        <f>((Scenario_DT!K$11*(IF(Scenario_DT!K$18=1,1,1+$M282/Scenario_DT!$C$19)*(1+$N282)^MAX(0,Scenario_DT!K$18-3))*(Scenario_DT!K$12+$O282)-Scenario_DT!K$13)*(1-Scenario_DT!K$14)+Scenario_DT!K$13-Scenario_DT!K$15)*Scenario_DT!K$16</f>
        <v>1986.8609556280148</v>
      </c>
      <c r="U282" s="28">
        <f>((Scenario_DT!L$11*(IF(Scenario_DT!L$18=1,1,1+$M282/Scenario_DT!$C$19)*(1+$N282)^MAX(0,Scenario_DT!L$18-3))*(Scenario_DT!L$12+$O282)-Scenario_DT!L$13)*(1-Scenario_DT!L$14)+Scenario_DT!L$13-Scenario_DT!L$15)*Scenario_DT!L$16</f>
        <v>2348.2068378873955</v>
      </c>
      <c r="V282" s="28">
        <f>((Scenario_DT!M$11*(IF(Scenario_DT!M$18=1,1,1+$M282/Scenario_DT!$C$19)*(1+$N282)^MAX(0,Scenario_DT!M$18-3))*(Scenario_DT!M$12+$O282)-Scenario_DT!M$13)*(1-Scenario_DT!M$14)+Scenario_DT!M$13-Scenario_DT!M$15)*Scenario_DT!M$16</f>
        <v>2430.8139360486798</v>
      </c>
      <c r="W282" s="28">
        <f>((Scenario_DT!N$11*(IF(Scenario_DT!N$18=1,1,1+$M282/Scenario_DT!$C$19)*(1+$N282)^MAX(0,Scenario_DT!N$18-3))*(Scenario_DT!N$12+$O282)-Scenario_DT!N$13)*(1-Scenario_DT!N$14)+Scenario_DT!N$13-Scenario_DT!N$15)*Scenario_DT!N$16</f>
        <v>2516.2953754961636</v>
      </c>
      <c r="X282" s="28">
        <f>((Scenario_DT!O$11*(IF(Scenario_DT!O$18=1,1,1+$M282/Scenario_DT!$C$19)*(1+$N282)^MAX(0,Scenario_DT!O$18-3))*(Scenario_DT!O$12+$O282)-Scenario_DT!O$13)*(1-Scenario_DT!O$14)+Scenario_DT!O$13-Scenario_DT!O$15)*Scenario_DT!O$16</f>
        <v>2604.7519112001714</v>
      </c>
      <c r="Y282" s="28">
        <f>((Scenario_DT!P$11*(IF(Scenario_DT!P$18=1,1,1+$M282/Scenario_DT!$C$19)*(1+$N282)^MAX(0,Scenario_DT!P$18-3))*(Scenario_DT!P$12+$O282)-Scenario_DT!P$13)*(1-Scenario_DT!P$14)+Scenario_DT!P$13-Scenario_DT!P$15)*Scenario_DT!P$16</f>
        <v>2696.2878302611675</v>
      </c>
      <c r="Z282" s="28">
        <f>((Scenario_DT!Q$11*(IF(Scenario_DT!Q$18=1,1,1+$M282/Scenario_DT!$C$19)*(1+$N282)^MAX(0,Scenario_DT!Q$18-3))*(Scenario_DT!Q$12+$O282)-Scenario_DT!Q$13)*(1-Scenario_DT!Q$14)+Scenario_DT!Q$13-Scenario_DT!Q$15)*Scenario_DT!Q$16</f>
        <v>2791.0110754355874</v>
      </c>
      <c r="AA282" s="28">
        <f>((Scenario_DT!R$11*(IF(Scenario_DT!R$18=1,1,1+$M282/Scenario_DT!$C$19)*(1+$N282)^MAX(0,Scenario_DT!R$18-3))*(Scenario_DT!R$12+$O282)-Scenario_DT!R$13)*(1-Scenario_DT!R$14)+Scenario_DT!R$13-Scenario_DT!R$15)*Scenario_DT!R$16</f>
        <v>2889.0333729660028</v>
      </c>
      <c r="AB282" s="17">
        <f>(Scenario_DT!$R$11*(1+$M282/Scenario_DT!$C$19)*(1+$N282)^7*(Scenario_DT!$R$12+$O282)*(1+MIN(DCF_FCFF!$C$26+$Q282,(DCF_FCFF!$C$25+$P282)-0.02))*(1-DCF_FCFF!$C$27)*(1-DCF_FCFF!$C$28)/((DCF_FCFF!$C$25+$P282)-MIN(DCF_FCFF!$C$26+$Q282,(DCF_FCFF!$C$25+$P282)-0.02)))*(1+(DCF_FCFF!$C$25+$P282))^(-(Inputs!$C$9+9))</f>
        <v>21183.215173936664</v>
      </c>
      <c r="AC282" s="17">
        <f>SUMPRODUCT(R282:AA282*(1+(DCF_FCFF!$C$25+$P282))^(-Scenario_DT!$I$17:$R$17))+AB282</f>
        <v>36139.440513496651</v>
      </c>
      <c r="AD282" s="68">
        <f>((AC282-DCF_FCFF!$C$48)*(1-DCF_FCFF!$C$50)+DCF_FCFF!$C$57+DCF_FCFF!$C$58)/DCF_FCFF!$C$60</f>
        <v>250.44969442257812</v>
      </c>
      <c r="AE282" s="6"/>
      <c r="AF282" s="6"/>
      <c r="AG282" s="6"/>
    </row>
    <row r="283" spans="1:33" x14ac:dyDescent="0.3">
      <c r="A283" s="6"/>
      <c r="B283" s="72">
        <v>252</v>
      </c>
      <c r="C283" s="73">
        <v>0.85238231793026598</v>
      </c>
      <c r="D283" s="73">
        <v>0.75427151493789302</v>
      </c>
      <c r="E283" s="73">
        <v>0.81980885823802396</v>
      </c>
      <c r="F283" s="73">
        <v>0.52606052688602101</v>
      </c>
      <c r="G283" s="73">
        <v>0.99667721151915301</v>
      </c>
      <c r="H283" s="15">
        <f t="shared" si="31"/>
        <v>1.0467056347039363</v>
      </c>
      <c r="I283" s="15">
        <f t="shared" si="32"/>
        <v>0.6879933483503845</v>
      </c>
      <c r="J283" s="15">
        <f t="shared" si="33"/>
        <v>0.91463689398166681</v>
      </c>
      <c r="K283" s="15">
        <f t="shared" si="34"/>
        <v>6.5370581875101336E-2</v>
      </c>
      <c r="L283" s="15">
        <f t="shared" si="35"/>
        <v>2.7141016575760943</v>
      </c>
      <c r="M283" s="18">
        <f t="shared" si="36"/>
        <v>2.0934112694078726E-2</v>
      </c>
      <c r="N283" s="18">
        <f t="shared" si="37"/>
        <v>8.9533802772649423E-3</v>
      </c>
      <c r="O283" s="18">
        <f t="shared" si="38"/>
        <v>1.0975642727780002E-2</v>
      </c>
      <c r="P283" s="18">
        <f t="shared" si="39"/>
        <v>3.9222349125060804E-4</v>
      </c>
      <c r="Q283" s="18">
        <f t="shared" si="40"/>
        <v>1.0856406630304377E-2</v>
      </c>
      <c r="R283" s="28">
        <f>((Scenario_DT!I$11*(IF(Scenario_DT!I$18=1,1,1+$M283/Scenario_DT!$C$19)*(1+$N283)^MAX(0,Scenario_DT!I$18-3))*(Scenario_DT!I$12+$O283)-Scenario_DT!I$13)*(1-Scenario_DT!I$14)+Scenario_DT!I$13-Scenario_DT!I$15)*Scenario_DT!I$16</f>
        <v>926.45901262084044</v>
      </c>
      <c r="S283" s="28">
        <f>((Scenario_DT!J$11*(IF(Scenario_DT!J$18=1,1,1+$M283/Scenario_DT!$C$19)*(1+$N283)^MAX(0,Scenario_DT!J$18-3))*(Scenario_DT!J$12+$O283)-Scenario_DT!J$13)*(1-Scenario_DT!J$14)+Scenario_DT!J$13-Scenario_DT!J$15)*Scenario_DT!J$16</f>
        <v>1916.9406358069023</v>
      </c>
      <c r="T283" s="28">
        <f>((Scenario_DT!K$11*(IF(Scenario_DT!K$18=1,1,1+$M283/Scenario_DT!$C$19)*(1+$N283)^MAX(0,Scenario_DT!K$18-3))*(Scenario_DT!K$12+$O283)-Scenario_DT!K$13)*(1-Scenario_DT!K$14)+Scenario_DT!K$13-Scenario_DT!K$15)*Scenario_DT!K$16</f>
        <v>2185.3261238195641</v>
      </c>
      <c r="U283" s="28">
        <f>((Scenario_DT!L$11*(IF(Scenario_DT!L$18=1,1,1+$M283/Scenario_DT!$C$19)*(1+$N283)^MAX(0,Scenario_DT!L$18-3))*(Scenario_DT!L$12+$O283)-Scenario_DT!L$13)*(1-Scenario_DT!L$14)+Scenario_DT!L$13-Scenario_DT!L$15)*Scenario_DT!L$16</f>
        <v>2615.1999800602448</v>
      </c>
      <c r="V283" s="28">
        <f>((Scenario_DT!M$11*(IF(Scenario_DT!M$18=1,1,1+$M283/Scenario_DT!$C$19)*(1+$N283)^MAX(0,Scenario_DT!M$18-3))*(Scenario_DT!M$12+$O283)-Scenario_DT!M$13)*(1-Scenario_DT!M$14)+Scenario_DT!M$13-Scenario_DT!M$15)*Scenario_DT!M$16</f>
        <v>2769.982814765131</v>
      </c>
      <c r="W283" s="28">
        <f>((Scenario_DT!N$11*(IF(Scenario_DT!N$18=1,1,1+$M283/Scenario_DT!$C$19)*(1+$N283)^MAX(0,Scenario_DT!N$18-3))*(Scenario_DT!N$12+$O283)-Scenario_DT!N$13)*(1-Scenario_DT!N$14)+Scenario_DT!N$13-Scenario_DT!N$15)*Scenario_DT!N$16</f>
        <v>2933.9315704613864</v>
      </c>
      <c r="X283" s="28">
        <f>((Scenario_DT!O$11*(IF(Scenario_DT!O$18=1,1,1+$M283/Scenario_DT!$C$19)*(1+$N283)^MAX(0,Scenario_DT!O$18-3))*(Scenario_DT!O$12+$O283)-Scenario_DT!O$13)*(1-Scenario_DT!O$14)+Scenario_DT!O$13-Scenario_DT!O$15)*Scenario_DT!O$16</f>
        <v>3107.592059518829</v>
      </c>
      <c r="Y283" s="28">
        <f>((Scenario_DT!P$11*(IF(Scenario_DT!P$18=1,1,1+$M283/Scenario_DT!$C$19)*(1+$N283)^MAX(0,Scenario_DT!P$18-3))*(Scenario_DT!P$12+$O283)-Scenario_DT!P$13)*(1-Scenario_DT!P$14)+Scenario_DT!P$13-Scenario_DT!P$15)*Scenario_DT!P$16</f>
        <v>3291.5426019531747</v>
      </c>
      <c r="Z283" s="28">
        <f>((Scenario_DT!Q$11*(IF(Scenario_DT!Q$18=1,1,1+$M283/Scenario_DT!$C$19)*(1+$N283)^MAX(0,Scenario_DT!Q$18-3))*(Scenario_DT!Q$12+$O283)-Scenario_DT!Q$13)*(1-Scenario_DT!Q$14)+Scenario_DT!Q$13-Scenario_DT!Q$15)*Scenario_DT!Q$16</f>
        <v>3486.3959604770221</v>
      </c>
      <c r="AA283" s="28">
        <f>((Scenario_DT!R$11*(IF(Scenario_DT!R$18=1,1,1+$M283/Scenario_DT!$C$19)*(1+$N283)^MAX(0,Scenario_DT!R$18-3))*(Scenario_DT!R$12+$O283)-Scenario_DT!R$13)*(1-Scenario_DT!R$14)+Scenario_DT!R$13-Scenario_DT!R$15)*Scenario_DT!R$16</f>
        <v>3692.8013906771494</v>
      </c>
      <c r="AB283" s="17">
        <f>(Scenario_DT!$R$11*(1+$M283/Scenario_DT!$C$19)*(1+$N283)^7*(Scenario_DT!$R$12+$O283)*(1+MIN(DCF_FCFF!$C$26+$Q283,(DCF_FCFF!$C$25+$P283)-0.02))*(1-DCF_FCFF!$C$27)*(1-DCF_FCFF!$C$28)/((DCF_FCFF!$C$25+$P283)-MIN(DCF_FCFF!$C$26+$Q283,(DCF_FCFF!$C$25+$P283)-0.02)))*(1+(DCF_FCFF!$C$25+$P283))^(-(Inputs!$C$9+9))</f>
        <v>39555.087357499549</v>
      </c>
      <c r="AC283" s="17">
        <f>SUMPRODUCT(R283:AA283*(1+(DCF_FCFF!$C$25+$P283))^(-Scenario_DT!$I$17:$R$17))+AB283</f>
        <v>57035.079626383929</v>
      </c>
      <c r="AD283" s="68">
        <f>((AC283-DCF_FCFF!$C$48)*(1-DCF_FCFF!$C$50)+DCF_FCFF!$C$57+DCF_FCFF!$C$58)/DCF_FCFF!$C$60</f>
        <v>451.02209636078209</v>
      </c>
      <c r="AE283" s="6"/>
      <c r="AF283" s="6"/>
      <c r="AG283" s="6"/>
    </row>
    <row r="284" spans="1:33" x14ac:dyDescent="0.3">
      <c r="A284" s="6"/>
      <c r="B284" s="72">
        <v>253</v>
      </c>
      <c r="C284" s="73">
        <v>4.4175102944161299E-2</v>
      </c>
      <c r="D284" s="73">
        <v>0.40126496418611302</v>
      </c>
      <c r="E284" s="73">
        <v>0.32393666893763601</v>
      </c>
      <c r="F284" s="73">
        <v>0.94864549871264103</v>
      </c>
      <c r="G284" s="73">
        <v>0.576860958497593</v>
      </c>
      <c r="H284" s="15">
        <f t="shared" si="31"/>
        <v>-1.7041653216089421</v>
      </c>
      <c r="I284" s="15">
        <f t="shared" si="32"/>
        <v>-0.25007425074944495</v>
      </c>
      <c r="J284" s="15">
        <f t="shared" si="33"/>
        <v>-0.45671857510821173</v>
      </c>
      <c r="K284" s="15">
        <f t="shared" si="34"/>
        <v>1.6318599030660303</v>
      </c>
      <c r="L284" s="15">
        <f t="shared" si="35"/>
        <v>0.19386947834496948</v>
      </c>
      <c r="M284" s="18">
        <f t="shared" si="36"/>
        <v>-3.4083306432178842E-2</v>
      </c>
      <c r="N284" s="18">
        <f t="shared" si="37"/>
        <v>-8.5492265182868007E-3</v>
      </c>
      <c r="O284" s="18">
        <f t="shared" si="38"/>
        <v>-5.4806229012985411E-3</v>
      </c>
      <c r="P284" s="18">
        <f t="shared" si="39"/>
        <v>9.791159418396183E-3</v>
      </c>
      <c r="Q284" s="18">
        <f t="shared" si="40"/>
        <v>7.7547791337987792E-4</v>
      </c>
      <c r="R284" s="28">
        <f>((Scenario_DT!I$11*(IF(Scenario_DT!I$18=1,1,1+$M284/Scenario_DT!$C$19)*(1+$N284)^MAX(0,Scenario_DT!I$18-3))*(Scenario_DT!I$12+$O284)-Scenario_DT!I$13)*(1-Scenario_DT!I$14)+Scenario_DT!I$13-Scenario_DT!I$15)*Scenario_DT!I$16</f>
        <v>903.25744904862063</v>
      </c>
      <c r="S284" s="28">
        <f>((Scenario_DT!J$11*(IF(Scenario_DT!J$18=1,1,1+$M284/Scenario_DT!$C$19)*(1+$N284)^MAX(0,Scenario_DT!J$18-3))*(Scenario_DT!J$12+$O284)-Scenario_DT!J$13)*(1-Scenario_DT!J$14)+Scenario_DT!J$13-Scenario_DT!J$15)*Scenario_DT!J$16</f>
        <v>1733.821184412649</v>
      </c>
      <c r="T284" s="28">
        <f>((Scenario_DT!K$11*(IF(Scenario_DT!K$18=1,1,1+$M284/Scenario_DT!$C$19)*(1+$N284)^MAX(0,Scenario_DT!K$18-3))*(Scenario_DT!K$12+$O284)-Scenario_DT!K$13)*(1-Scenario_DT!K$14)+Scenario_DT!K$13-Scenario_DT!K$15)*Scenario_DT!K$16</f>
        <v>1993.68368268008</v>
      </c>
      <c r="U284" s="28">
        <f>((Scenario_DT!L$11*(IF(Scenario_DT!L$18=1,1,1+$M284/Scenario_DT!$C$19)*(1+$N284)^MAX(0,Scenario_DT!L$18-3))*(Scenario_DT!L$12+$O284)-Scenario_DT!L$13)*(1-Scenario_DT!L$14)+Scenario_DT!L$13-Scenario_DT!L$15)*Scenario_DT!L$16</f>
        <v>2367.7986827871541</v>
      </c>
      <c r="V284" s="28">
        <f>((Scenario_DT!M$11*(IF(Scenario_DT!M$18=1,1,1+$M284/Scenario_DT!$C$19)*(1+$N284)^MAX(0,Scenario_DT!M$18-3))*(Scenario_DT!M$12+$O284)-Scenario_DT!M$13)*(1-Scenario_DT!M$14)+Scenario_DT!M$13-Scenario_DT!M$15)*Scenario_DT!M$16</f>
        <v>2464.0607169586578</v>
      </c>
      <c r="W284" s="28">
        <f>((Scenario_DT!N$11*(IF(Scenario_DT!N$18=1,1,1+$M284/Scenario_DT!$C$19)*(1+$N284)^MAX(0,Scenario_DT!N$18-3))*(Scenario_DT!N$12+$O284)-Scenario_DT!N$13)*(1-Scenario_DT!N$14)+Scenario_DT!N$13-Scenario_DT!N$15)*Scenario_DT!N$16</f>
        <v>2564.2146324524497</v>
      </c>
      <c r="X284" s="28">
        <f>((Scenario_DT!O$11*(IF(Scenario_DT!O$18=1,1,1+$M284/Scenario_DT!$C$19)*(1+$N284)^MAX(0,Scenario_DT!O$18-3))*(Scenario_DT!O$12+$O284)-Scenario_DT!O$13)*(1-Scenario_DT!O$14)+Scenario_DT!O$13-Scenario_DT!O$15)*Scenario_DT!O$16</f>
        <v>2668.419204685219</v>
      </c>
      <c r="Y284" s="28">
        <f>((Scenario_DT!P$11*(IF(Scenario_DT!P$18=1,1,1+$M284/Scenario_DT!$C$19)*(1+$N284)^MAX(0,Scenario_DT!P$18-3))*(Scenario_DT!P$12+$O284)-Scenario_DT!P$13)*(1-Scenario_DT!P$14)+Scenario_DT!P$13-Scenario_DT!P$15)*Scenario_DT!P$16</f>
        <v>2776.8397007070939</v>
      </c>
      <c r="Z284" s="28">
        <f>((Scenario_DT!Q$11*(IF(Scenario_DT!Q$18=1,1,1+$M284/Scenario_DT!$C$19)*(1+$N284)^MAX(0,Scenario_DT!Q$18-3))*(Scenario_DT!Q$12+$O284)-Scenario_DT!Q$13)*(1-Scenario_DT!Q$14)+Scenario_DT!Q$13-Scenario_DT!Q$15)*Scenario_DT!Q$16</f>
        <v>2889.6481447535948</v>
      </c>
      <c r="AA284" s="28">
        <f>((Scenario_DT!R$11*(IF(Scenario_DT!R$18=1,1,1+$M284/Scenario_DT!$C$19)*(1+$N284)^MAX(0,Scenario_DT!R$18-3))*(Scenario_DT!R$12+$O284)-Scenario_DT!R$13)*(1-Scenario_DT!R$14)+Scenario_DT!R$13-Scenario_DT!R$15)*Scenario_DT!R$16</f>
        <v>3007.0235946620578</v>
      </c>
      <c r="AB284" s="17">
        <f>(Scenario_DT!$R$11*(1+$M284/Scenario_DT!$C$19)*(1+$N284)^7*(Scenario_DT!$R$12+$O284)*(1+MIN(DCF_FCFF!$C$26+$Q284,(DCF_FCFF!$C$25+$P284)-0.02))*(1-DCF_FCFF!$C$27)*(1-DCF_FCFF!$C$28)/((DCF_FCFF!$C$25+$P284)-MIN(DCF_FCFF!$C$26+$Q284,(DCF_FCFF!$C$25+$P284)-0.02)))*(1+(DCF_FCFF!$C$25+$P284))^(-(Inputs!$C$9+9))</f>
        <v>19801.979746763285</v>
      </c>
      <c r="AC284" s="17">
        <f>SUMPRODUCT(R284:AA284*(1+(DCF_FCFF!$C$25+$P284))^(-Scenario_DT!$I$17:$R$17))+AB284</f>
        <v>34544.338788429552</v>
      </c>
      <c r="AD284" s="68">
        <f>((AC284-DCF_FCFF!$C$48)*(1-DCF_FCFF!$C$50)+DCF_FCFF!$C$57+DCF_FCFF!$C$58)/DCF_FCFF!$C$60</f>
        <v>235.13868227291078</v>
      </c>
      <c r="AE284" s="6"/>
      <c r="AF284" s="6"/>
      <c r="AG284" s="6"/>
    </row>
    <row r="285" spans="1:33" x14ac:dyDescent="0.3">
      <c r="A285" s="6"/>
      <c r="B285" s="72">
        <v>254</v>
      </c>
      <c r="C285" s="73">
        <v>0.80619096544472502</v>
      </c>
      <c r="D285" s="73">
        <v>0.17034119365851899</v>
      </c>
      <c r="E285" s="73">
        <v>0.97863414390043901</v>
      </c>
      <c r="F285" s="73">
        <v>0.49863954687631501</v>
      </c>
      <c r="G285" s="73">
        <v>0.49367207627064602</v>
      </c>
      <c r="H285" s="15">
        <f t="shared" si="31"/>
        <v>0.86394506518649894</v>
      </c>
      <c r="I285" s="15">
        <f t="shared" si="32"/>
        <v>-0.9528178130833036</v>
      </c>
      <c r="J285" s="15">
        <f t="shared" si="33"/>
        <v>2.0263228399987225</v>
      </c>
      <c r="K285" s="15">
        <f t="shared" si="34"/>
        <v>-3.4101568756762916E-3</v>
      </c>
      <c r="L285" s="15">
        <f t="shared" si="35"/>
        <v>-1.5862417721733409E-2</v>
      </c>
      <c r="M285" s="18">
        <f t="shared" si="36"/>
        <v>1.7278901303729978E-2</v>
      </c>
      <c r="N285" s="18">
        <f t="shared" si="37"/>
        <v>-3.1455351897217939E-3</v>
      </c>
      <c r="O285" s="18">
        <f t="shared" si="38"/>
        <v>2.4315874079984669E-2</v>
      </c>
      <c r="P285" s="18">
        <f t="shared" si="39"/>
        <v>-2.0460941254057749E-5</v>
      </c>
      <c r="Q285" s="18">
        <f t="shared" si="40"/>
        <v>-6.3449670886933635E-5</v>
      </c>
      <c r="R285" s="28">
        <f>((Scenario_DT!I$11*(IF(Scenario_DT!I$18=1,1,1+$M285/Scenario_DT!$C$19)*(1+$N285)^MAX(0,Scenario_DT!I$18-3))*(Scenario_DT!I$12+$O285)-Scenario_DT!I$13)*(1-Scenario_DT!I$14)+Scenario_DT!I$13-Scenario_DT!I$15)*Scenario_DT!I$16</f>
        <v>945.26730319919477</v>
      </c>
      <c r="S285" s="28">
        <f>((Scenario_DT!J$11*(IF(Scenario_DT!J$18=1,1,1+$M285/Scenario_DT!$C$19)*(1+$N285)^MAX(0,Scenario_DT!J$18-3))*(Scenario_DT!J$12+$O285)-Scenario_DT!J$13)*(1-Scenario_DT!J$14)+Scenario_DT!J$13-Scenario_DT!J$15)*Scenario_DT!J$16</f>
        <v>1950.2685146340705</v>
      </c>
      <c r="T285" s="28">
        <f>((Scenario_DT!K$11*(IF(Scenario_DT!K$18=1,1,1+$M285/Scenario_DT!$C$19)*(1+$N285)^MAX(0,Scenario_DT!K$18-3))*(Scenario_DT!K$12+$O285)-Scenario_DT!K$13)*(1-Scenario_DT!K$14)+Scenario_DT!K$13-Scenario_DT!K$15)*Scenario_DT!K$16</f>
        <v>2219.7404407101185</v>
      </c>
      <c r="U285" s="28">
        <f>((Scenario_DT!L$11*(IF(Scenario_DT!L$18=1,1,1+$M285/Scenario_DT!$C$19)*(1+$N285)^MAX(0,Scenario_DT!L$18-3))*(Scenario_DT!L$12+$O285)-Scenario_DT!L$13)*(1-Scenario_DT!L$14)+Scenario_DT!L$13-Scenario_DT!L$15)*Scenario_DT!L$16</f>
        <v>2620.0627134971487</v>
      </c>
      <c r="V285" s="28">
        <f>((Scenario_DT!M$11*(IF(Scenario_DT!M$18=1,1,1+$M285/Scenario_DT!$C$19)*(1+$N285)^MAX(0,Scenario_DT!M$18-3))*(Scenario_DT!M$12+$O285)-Scenario_DT!M$13)*(1-Scenario_DT!M$14)+Scenario_DT!M$13-Scenario_DT!M$15)*Scenario_DT!M$16</f>
        <v>2741.6351103910683</v>
      </c>
      <c r="W285" s="28">
        <f>((Scenario_DT!N$11*(IF(Scenario_DT!N$18=1,1,1+$M285/Scenario_DT!$C$19)*(1+$N285)^MAX(0,Scenario_DT!N$18-3))*(Scenario_DT!N$12+$O285)-Scenario_DT!N$13)*(1-Scenario_DT!N$14)+Scenario_DT!N$13-Scenario_DT!N$15)*Scenario_DT!N$16</f>
        <v>2868.8363708119123</v>
      </c>
      <c r="X285" s="28">
        <f>((Scenario_DT!O$11*(IF(Scenario_DT!O$18=1,1,1+$M285/Scenario_DT!$C$19)*(1+$N285)^MAX(0,Scenario_DT!O$18-3))*(Scenario_DT!O$12+$O285)-Scenario_DT!O$13)*(1-Scenario_DT!O$14)+Scenario_DT!O$13-Scenario_DT!O$15)*Scenario_DT!O$16</f>
        <v>3001.9291527375681</v>
      </c>
      <c r="Y285" s="28">
        <f>((Scenario_DT!P$11*(IF(Scenario_DT!P$18=1,1,1+$M285/Scenario_DT!$C$19)*(1+$N285)^MAX(0,Scenario_DT!P$18-3))*(Scenario_DT!P$12+$O285)-Scenario_DT!P$13)*(1-Scenario_DT!P$14)+Scenario_DT!P$13-Scenario_DT!P$15)*Scenario_DT!P$16</f>
        <v>3141.1883909191251</v>
      </c>
      <c r="Z285" s="28">
        <f>((Scenario_DT!Q$11*(IF(Scenario_DT!Q$18=1,1,1+$M285/Scenario_DT!$C$19)*(1+$N285)^MAX(0,Scenario_DT!Q$18-3))*(Scenario_DT!Q$12+$O285)-Scenario_DT!Q$13)*(1-Scenario_DT!Q$14)+Scenario_DT!Q$13-Scenario_DT!Q$15)*Scenario_DT!Q$16</f>
        <v>3286.901870903122</v>
      </c>
      <c r="AA285" s="28">
        <f>((Scenario_DT!R$11*(IF(Scenario_DT!R$18=1,1,1+$M285/Scenario_DT!$C$19)*(1+$N285)^MAX(0,Scenario_DT!R$18-3))*(Scenario_DT!R$12+$O285)-Scenario_DT!R$13)*(1-Scenario_DT!R$14)+Scenario_DT!R$13-Scenario_DT!R$15)*Scenario_DT!R$16</f>
        <v>3439.370829895015</v>
      </c>
      <c r="AB285" s="17">
        <f>(Scenario_DT!$R$11*(1+$M285/Scenario_DT!$C$19)*(1+$N285)^7*(Scenario_DT!$R$12+$O285)*(1+MIN(DCF_FCFF!$C$26+$Q285,(DCF_FCFF!$C$25+$P285)-0.02))*(1-DCF_FCFF!$C$27)*(1-DCF_FCFF!$C$28)/((DCF_FCFF!$C$25+$P285)-MIN(DCF_FCFF!$C$26+$Q285,(DCF_FCFF!$C$25+$P285)-0.02)))*(1+(DCF_FCFF!$C$25+$P285))^(-(Inputs!$C$9+9))</f>
        <v>28983.042513684213</v>
      </c>
      <c r="AC285" s="17">
        <f>SUMPRODUCT(R285:AA285*(1+(DCF_FCFF!$C$25+$P285))^(-Scenario_DT!$I$17:$R$17))+AB285</f>
        <v>46151.316442110605</v>
      </c>
      <c r="AD285" s="68">
        <f>((AC285-DCF_FCFF!$C$48)*(1-DCF_FCFF!$C$50)+DCF_FCFF!$C$57+DCF_FCFF!$C$58)/DCF_FCFF!$C$60</f>
        <v>346.55137344090008</v>
      </c>
      <c r="AE285" s="6"/>
      <c r="AF285" s="6"/>
      <c r="AG285" s="6"/>
    </row>
    <row r="286" spans="1:33" x14ac:dyDescent="0.3">
      <c r="A286" s="6"/>
      <c r="B286" s="72">
        <v>255</v>
      </c>
      <c r="C286" s="73">
        <v>0.97088472854573804</v>
      </c>
      <c r="D286" s="73">
        <v>0.38073236121714499</v>
      </c>
      <c r="E286" s="73">
        <v>0.397525024554993</v>
      </c>
      <c r="F286" s="73">
        <v>0.58475270280493696</v>
      </c>
      <c r="G286" s="73">
        <v>0.12805261054778699</v>
      </c>
      <c r="H286" s="15">
        <f t="shared" si="31"/>
        <v>1.8939583164296192</v>
      </c>
      <c r="I286" s="15">
        <f t="shared" si="32"/>
        <v>-0.30355790962416124</v>
      </c>
      <c r="J286" s="15">
        <f t="shared" si="33"/>
        <v>-0.25975851996401539</v>
      </c>
      <c r="K286" s="15">
        <f t="shared" si="34"/>
        <v>0.21406727580805537</v>
      </c>
      <c r="L286" s="15">
        <f t="shared" si="35"/>
        <v>-1.1356448721381411</v>
      </c>
      <c r="M286" s="18">
        <f t="shared" si="36"/>
        <v>3.7879166328592388E-2</v>
      </c>
      <c r="N286" s="18">
        <f t="shared" si="37"/>
        <v>5.4727223756846823E-3</v>
      </c>
      <c r="O286" s="18">
        <f t="shared" si="38"/>
        <v>-3.1171022395681848E-3</v>
      </c>
      <c r="P286" s="18">
        <f t="shared" si="39"/>
        <v>1.2844036548483322E-3</v>
      </c>
      <c r="Q286" s="18">
        <f t="shared" si="40"/>
        <v>-4.5425794885525644E-3</v>
      </c>
      <c r="R286" s="28">
        <f>((Scenario_DT!I$11*(IF(Scenario_DT!I$18=1,1,1+$M286/Scenario_DT!$C$19)*(1+$N286)^MAX(0,Scenario_DT!I$18-3))*(Scenario_DT!I$12+$O286)-Scenario_DT!I$13)*(1-Scenario_DT!I$14)+Scenario_DT!I$13-Scenario_DT!I$15)*Scenario_DT!I$16</f>
        <v>906.58975882797267</v>
      </c>
      <c r="S286" s="28">
        <f>((Scenario_DT!J$11*(IF(Scenario_DT!J$18=1,1,1+$M286/Scenario_DT!$C$19)*(1+$N286)^MAX(0,Scenario_DT!J$18-3))*(Scenario_DT!J$12+$O286)-Scenario_DT!J$13)*(1-Scenario_DT!J$14)+Scenario_DT!J$13-Scenario_DT!J$15)*Scenario_DT!J$16</f>
        <v>1912.5999025133042</v>
      </c>
      <c r="T286" s="28">
        <f>((Scenario_DT!K$11*(IF(Scenario_DT!K$18=1,1,1+$M286/Scenario_DT!$C$19)*(1+$N286)^MAX(0,Scenario_DT!K$18-3))*(Scenario_DT!K$12+$O286)-Scenario_DT!K$13)*(1-Scenario_DT!K$14)+Scenario_DT!K$13-Scenario_DT!K$15)*Scenario_DT!K$16</f>
        <v>2181.4038662716453</v>
      </c>
      <c r="U286" s="28">
        <f>((Scenario_DT!L$11*(IF(Scenario_DT!L$18=1,1,1+$M286/Scenario_DT!$C$19)*(1+$N286)^MAX(0,Scenario_DT!L$18-3))*(Scenario_DT!L$12+$O286)-Scenario_DT!L$13)*(1-Scenario_DT!L$14)+Scenario_DT!L$13-Scenario_DT!L$15)*Scenario_DT!L$16</f>
        <v>2601.9325706328791</v>
      </c>
      <c r="V286" s="28">
        <f>((Scenario_DT!M$11*(IF(Scenario_DT!M$18=1,1,1+$M286/Scenario_DT!$C$19)*(1+$N286)^MAX(0,Scenario_DT!M$18-3))*(Scenario_DT!M$12+$O286)-Scenario_DT!M$13)*(1-Scenario_DT!M$14)+Scenario_DT!M$13-Scenario_DT!M$15)*Scenario_DT!M$16</f>
        <v>2746.3563758105606</v>
      </c>
      <c r="W286" s="28">
        <f>((Scenario_DT!N$11*(IF(Scenario_DT!N$18=1,1,1+$M286/Scenario_DT!$C$19)*(1+$N286)^MAX(0,Scenario_DT!N$18-3))*(Scenario_DT!N$12+$O286)-Scenario_DT!N$13)*(1-Scenario_DT!N$14)+Scenario_DT!N$13-Scenario_DT!N$15)*Scenario_DT!N$16</f>
        <v>2898.7972201783214</v>
      </c>
      <c r="X286" s="28">
        <f>((Scenario_DT!O$11*(IF(Scenario_DT!O$18=1,1,1+$M286/Scenario_DT!$C$19)*(1+$N286)^MAX(0,Scenario_DT!O$18-3))*(Scenario_DT!O$12+$O286)-Scenario_DT!O$13)*(1-Scenario_DT!O$14)+Scenario_DT!O$13-Scenario_DT!O$15)*Scenario_DT!O$16</f>
        <v>3059.7029281541695</v>
      </c>
      <c r="Y286" s="28">
        <f>((Scenario_DT!P$11*(IF(Scenario_DT!P$18=1,1,1+$M286/Scenario_DT!$C$19)*(1+$N286)^MAX(0,Scenario_DT!P$18-3))*(Scenario_DT!P$12+$O286)-Scenario_DT!P$13)*(1-Scenario_DT!P$14)+Scenario_DT!P$13-Scenario_DT!P$15)*Scenario_DT!P$16</f>
        <v>3229.5463531415867</v>
      </c>
      <c r="Z286" s="28">
        <f>((Scenario_DT!Q$11*(IF(Scenario_DT!Q$18=1,1,1+$M286/Scenario_DT!$C$19)*(1+$N286)^MAX(0,Scenario_DT!Q$18-3))*(Scenario_DT!Q$12+$O286)-Scenario_DT!Q$13)*(1-Scenario_DT!Q$14)+Scenario_DT!Q$13-Scenario_DT!Q$15)*Scenario_DT!Q$16</f>
        <v>3408.8267759086884</v>
      </c>
      <c r="AA286" s="28">
        <f>((Scenario_DT!R$11*(IF(Scenario_DT!R$18=1,1,1+$M286/Scenario_DT!$C$19)*(1+$N286)^MAX(0,Scenario_DT!R$18-3))*(Scenario_DT!R$12+$O286)-Scenario_DT!R$13)*(1-Scenario_DT!R$14)+Scenario_DT!R$13-Scenario_DT!R$15)*Scenario_DT!R$16</f>
        <v>3598.0713810621155</v>
      </c>
      <c r="AB286" s="17">
        <f>(Scenario_DT!$R$11*(1+$M286/Scenario_DT!$C$19)*(1+$N286)^7*(Scenario_DT!$R$12+$O286)*(1+MIN(DCF_FCFF!$C$26+$Q286,(DCF_FCFF!$C$25+$P286)-0.02))*(1-DCF_FCFF!$C$27)*(1-DCF_FCFF!$C$28)/((DCF_FCFF!$C$25+$P286)-MIN(DCF_FCFF!$C$26+$Q286,(DCF_FCFF!$C$25+$P286)-0.02)))*(1+(DCF_FCFF!$C$25+$P286))^(-(Inputs!$C$9+9))</f>
        <v>26769.399171033161</v>
      </c>
      <c r="AC286" s="17">
        <f>SUMPRODUCT(R286:AA286*(1+(DCF_FCFF!$C$25+$P286))^(-Scenario_DT!$I$17:$R$17))+AB286</f>
        <v>43962.911953654322</v>
      </c>
      <c r="AD286" s="68">
        <f>((AC286-DCF_FCFF!$C$48)*(1-DCF_FCFF!$C$50)+DCF_FCFF!$C$57+DCF_FCFF!$C$58)/DCF_FCFF!$C$60</f>
        <v>325.54538543111897</v>
      </c>
      <c r="AE286" s="6"/>
      <c r="AF286" s="6"/>
      <c r="AG286" s="6"/>
    </row>
    <row r="287" spans="1:33" x14ac:dyDescent="0.3">
      <c r="A287" s="6"/>
      <c r="B287" s="72">
        <v>256</v>
      </c>
      <c r="C287" s="73">
        <v>0.32108562641185501</v>
      </c>
      <c r="D287" s="73">
        <v>0.193208322445131</v>
      </c>
      <c r="E287" s="73">
        <v>0.10328347910705001</v>
      </c>
      <c r="F287" s="73">
        <v>0.86614460633101997</v>
      </c>
      <c r="G287" s="73">
        <v>0.58933116612747605</v>
      </c>
      <c r="H287" s="15">
        <f t="shared" ref="H287:H350" si="41">NORMSINV(C287)</f>
        <v>-0.46466517247726619</v>
      </c>
      <c r="I287" s="15">
        <f t="shared" ref="I287:I350" si="42">NORMSINV(D287)</f>
        <v>-0.86613406740454879</v>
      </c>
      <c r="J287" s="15">
        <f t="shared" ref="J287:J350" si="43">NORMSINV(E287)</f>
        <v>-1.2630618353547862</v>
      </c>
      <c r="K287" s="15">
        <f t="shared" ref="K287:K350" si="44">NORMSINV(F287)</f>
        <v>1.1083497736077657</v>
      </c>
      <c r="L287" s="15">
        <f t="shared" ref="L287:L350" si="45">NORMSINV(G287)</f>
        <v>0.22582482560174327</v>
      </c>
      <c r="M287" s="18">
        <f t="shared" ref="M287:M350" si="46">H287*$C$5</f>
        <v>-9.2933034495453239E-3</v>
      </c>
      <c r="N287" s="18">
        <f t="shared" ref="N287:N350" si="47">($C$10*H287+SQRT(1-$C$10^2)*I287)*$C$6</f>
        <v>-7.8594135335529249E-3</v>
      </c>
      <c r="O287" s="18">
        <f t="shared" ref="O287:O350" si="48">J287*$C$7</f>
        <v>-1.5156742024257435E-2</v>
      </c>
      <c r="P287" s="18">
        <f t="shared" ref="P287:P350" si="49">K287*$C$8</f>
        <v>6.6500986416465945E-3</v>
      </c>
      <c r="Q287" s="18">
        <f t="shared" ref="Q287:Q350" si="50">L287*$C$9</f>
        <v>9.0329930240697315E-4</v>
      </c>
      <c r="R287" s="28">
        <f>((Scenario_DT!I$11*(IF(Scenario_DT!I$18=1,1,1+$M287/Scenario_DT!$C$19)*(1+$N287)^MAX(0,Scenario_DT!I$18-3))*(Scenario_DT!I$12+$O287)-Scenario_DT!I$13)*(1-Scenario_DT!I$14)+Scenario_DT!I$13-Scenario_DT!I$15)*Scenario_DT!I$16</f>
        <v>889.61516239477589</v>
      </c>
      <c r="S287" s="28">
        <f>((Scenario_DT!J$11*(IF(Scenario_DT!J$18=1,1,1+$M287/Scenario_DT!$C$19)*(1+$N287)^MAX(0,Scenario_DT!J$18-3))*(Scenario_DT!J$12+$O287)-Scenario_DT!J$13)*(1-Scenario_DT!J$14)+Scenario_DT!J$13-Scenario_DT!J$15)*Scenario_DT!J$16</f>
        <v>1763.0019621842443</v>
      </c>
      <c r="T287" s="28">
        <f>((Scenario_DT!K$11*(IF(Scenario_DT!K$18=1,1,1+$M287/Scenario_DT!$C$19)*(1+$N287)^MAX(0,Scenario_DT!K$18-3))*(Scenario_DT!K$12+$O287)-Scenario_DT!K$13)*(1-Scenario_DT!K$14)+Scenario_DT!K$13-Scenario_DT!K$15)*Scenario_DT!K$16</f>
        <v>2024.7674359084999</v>
      </c>
      <c r="U287" s="28">
        <f>((Scenario_DT!L$11*(IF(Scenario_DT!L$18=1,1,1+$M287/Scenario_DT!$C$19)*(1+$N287)^MAX(0,Scenario_DT!L$18-3))*(Scenario_DT!L$12+$O287)-Scenario_DT!L$13)*(1-Scenario_DT!L$14)+Scenario_DT!L$13-Scenario_DT!L$15)*Scenario_DT!L$16</f>
        <v>2402.2024690268577</v>
      </c>
      <c r="V287" s="28">
        <f>((Scenario_DT!M$11*(IF(Scenario_DT!M$18=1,1,1+$M287/Scenario_DT!$C$19)*(1+$N287)^MAX(0,Scenario_DT!M$18-3))*(Scenario_DT!M$12+$O287)-Scenario_DT!M$13)*(1-Scenario_DT!M$14)+Scenario_DT!M$13-Scenario_DT!M$15)*Scenario_DT!M$16</f>
        <v>2501.6280069749328</v>
      </c>
      <c r="W287" s="28">
        <f>((Scenario_DT!N$11*(IF(Scenario_DT!N$18=1,1,1+$M287/Scenario_DT!$C$19)*(1+$N287)^MAX(0,Scenario_DT!N$18-3))*(Scenario_DT!N$12+$O287)-Scenario_DT!N$13)*(1-Scenario_DT!N$14)+Scenario_DT!N$13-Scenario_DT!N$15)*Scenario_DT!N$16</f>
        <v>2605.1483515877162</v>
      </c>
      <c r="X287" s="28">
        <f>((Scenario_DT!O$11*(IF(Scenario_DT!O$18=1,1,1+$M287/Scenario_DT!$C$19)*(1+$N287)^MAX(0,Scenario_DT!O$18-3))*(Scenario_DT!O$12+$O287)-Scenario_DT!O$13)*(1-Scenario_DT!O$14)+Scenario_DT!O$13-Scenario_DT!O$15)*Scenario_DT!O$16</f>
        <v>2712.9336567036353</v>
      </c>
      <c r="Y287" s="28">
        <f>((Scenario_DT!P$11*(IF(Scenario_DT!P$18=1,1,1+$M287/Scenario_DT!$C$19)*(1+$N287)^MAX(0,Scenario_DT!P$18-3))*(Scenario_DT!P$12+$O287)-Scenario_DT!P$13)*(1-Scenario_DT!P$14)+Scenario_DT!P$13-Scenario_DT!P$15)*Scenario_DT!P$16</f>
        <v>2825.1611620619747</v>
      </c>
      <c r="Z287" s="28">
        <f>((Scenario_DT!Q$11*(IF(Scenario_DT!Q$18=1,1,1+$M287/Scenario_DT!$C$19)*(1+$N287)^MAX(0,Scenario_DT!Q$18-3))*(Scenario_DT!Q$12+$O287)-Scenario_DT!Q$13)*(1-Scenario_DT!Q$14)+Scenario_DT!Q$13-Scenario_DT!Q$15)*Scenario_DT!Q$16</f>
        <v>2942.0154885559159</v>
      </c>
      <c r="AA287" s="28">
        <f>((Scenario_DT!R$11*(IF(Scenario_DT!R$18=1,1,1+$M287/Scenario_DT!$C$19)*(1+$N287)^MAX(0,Scenario_DT!R$18-3))*(Scenario_DT!R$12+$O287)-Scenario_DT!R$13)*(1-Scenario_DT!R$14)+Scenario_DT!R$13-Scenario_DT!R$15)*Scenario_DT!R$16</f>
        <v>3063.6889457906805</v>
      </c>
      <c r="AB287" s="17">
        <f>(Scenario_DT!$R$11*(1+$M287/Scenario_DT!$C$19)*(1+$N287)^7*(Scenario_DT!$R$12+$O287)*(1+MIN(DCF_FCFF!$C$26+$Q287,(DCF_FCFF!$C$25+$P287)-0.02))*(1-DCF_FCFF!$C$27)*(1-DCF_FCFF!$C$28)/((DCF_FCFF!$C$25+$P287)-MIN(DCF_FCFF!$C$26+$Q287,(DCF_FCFF!$C$25+$P287)-0.02)))*(1+(DCF_FCFF!$C$25+$P287))^(-(Inputs!$C$9+9))</f>
        <v>21934.747104672428</v>
      </c>
      <c r="AC287" s="17">
        <f>SUMPRODUCT(R287:AA287*(1+(DCF_FCFF!$C$25+$P287))^(-Scenario_DT!$I$17:$R$17))+AB287</f>
        <v>37085.568512468337</v>
      </c>
      <c r="AD287" s="68">
        <f>((AC287-DCF_FCFF!$C$48)*(1-DCF_FCFF!$C$50)+DCF_FCFF!$C$57+DCF_FCFF!$C$58)/DCF_FCFF!$C$60</f>
        <v>259.53135803045024</v>
      </c>
      <c r="AE287" s="6"/>
      <c r="AF287" s="6"/>
      <c r="AG287" s="6"/>
    </row>
    <row r="288" spans="1:33" x14ac:dyDescent="0.3">
      <c r="A288" s="6"/>
      <c r="B288" s="72">
        <v>257</v>
      </c>
      <c r="C288" s="73">
        <v>0.35867279152791098</v>
      </c>
      <c r="D288" s="73">
        <v>0.40866937736671299</v>
      </c>
      <c r="E288" s="73">
        <v>0.43151900368735502</v>
      </c>
      <c r="F288" s="73">
        <v>0.63314918214470906</v>
      </c>
      <c r="G288" s="73">
        <v>0.92676939148899296</v>
      </c>
      <c r="H288" s="15">
        <f t="shared" si="41"/>
        <v>-0.36200862780034421</v>
      </c>
      <c r="I288" s="15">
        <f t="shared" si="42"/>
        <v>-0.23096916811119569</v>
      </c>
      <c r="J288" s="15">
        <f t="shared" si="43"/>
        <v>-0.17250821012397613</v>
      </c>
      <c r="K288" s="15">
        <f t="shared" si="44"/>
        <v>0.3402056870480567</v>
      </c>
      <c r="L288" s="15">
        <f t="shared" si="45"/>
        <v>1.4521452689633265</v>
      </c>
      <c r="M288" s="18">
        <f t="shared" si="46"/>
        <v>-7.2401725560068842E-3</v>
      </c>
      <c r="N288" s="18">
        <f t="shared" si="47"/>
        <v>-3.0482358478034098E-3</v>
      </c>
      <c r="O288" s="18">
        <f t="shared" si="48"/>
        <v>-2.0700985214877135E-3</v>
      </c>
      <c r="P288" s="18">
        <f t="shared" si="49"/>
        <v>2.0412341222883403E-3</v>
      </c>
      <c r="Q288" s="18">
        <f t="shared" si="50"/>
        <v>5.8085810758533064E-3</v>
      </c>
      <c r="R288" s="28">
        <f>((Scenario_DT!I$11*(IF(Scenario_DT!I$18=1,1,1+$M288/Scenario_DT!$C$19)*(1+$N288)^MAX(0,Scenario_DT!I$18-3))*(Scenario_DT!I$12+$O288)-Scenario_DT!I$13)*(1-Scenario_DT!I$14)+Scenario_DT!I$13-Scenario_DT!I$15)*Scenario_DT!I$16</f>
        <v>908.06592139564941</v>
      </c>
      <c r="S288" s="28">
        <f>((Scenario_DT!J$11*(IF(Scenario_DT!J$18=1,1,1+$M288/Scenario_DT!$C$19)*(1+$N288)^MAX(0,Scenario_DT!J$18-3))*(Scenario_DT!J$12+$O288)-Scenario_DT!J$13)*(1-Scenario_DT!J$14)+Scenario_DT!J$13-Scenario_DT!J$15)*Scenario_DT!J$16</f>
        <v>1808.175666808484</v>
      </c>
      <c r="T288" s="28">
        <f>((Scenario_DT!K$11*(IF(Scenario_DT!K$18=1,1,1+$M288/Scenario_DT!$C$19)*(1+$N288)^MAX(0,Scenario_DT!K$18-3))*(Scenario_DT!K$12+$O288)-Scenario_DT!K$13)*(1-Scenario_DT!K$14)+Scenario_DT!K$13-Scenario_DT!K$15)*Scenario_DT!K$16</f>
        <v>2071.6520037059927</v>
      </c>
      <c r="U288" s="28">
        <f>((Scenario_DT!L$11*(IF(Scenario_DT!L$18=1,1,1+$M288/Scenario_DT!$C$19)*(1+$N288)^MAX(0,Scenario_DT!L$18-3))*(Scenario_DT!L$12+$O288)-Scenario_DT!L$13)*(1-Scenario_DT!L$14)+Scenario_DT!L$13-Scenario_DT!L$15)*Scenario_DT!L$16</f>
        <v>2463.5624901704437</v>
      </c>
      <c r="V288" s="28">
        <f>((Scenario_DT!M$11*(IF(Scenario_DT!M$18=1,1,1+$M288/Scenario_DT!$C$19)*(1+$N288)^MAX(0,Scenario_DT!M$18-3))*(Scenario_DT!M$12+$O288)-Scenario_DT!M$13)*(1-Scenario_DT!M$14)+Scenario_DT!M$13-Scenario_DT!M$15)*Scenario_DT!M$16</f>
        <v>2578.0801788755994</v>
      </c>
      <c r="W288" s="28">
        <f>((Scenario_DT!N$11*(IF(Scenario_DT!N$18=1,1,1+$M288/Scenario_DT!$C$19)*(1+$N288)^MAX(0,Scenario_DT!N$18-3))*(Scenario_DT!N$12+$O288)-Scenario_DT!N$13)*(1-Scenario_DT!N$14)+Scenario_DT!N$13-Scenario_DT!N$15)*Scenario_DT!N$16</f>
        <v>2697.9091555981781</v>
      </c>
      <c r="X288" s="28">
        <f>((Scenario_DT!O$11*(IF(Scenario_DT!O$18=1,1,1+$M288/Scenario_DT!$C$19)*(1+$N288)^MAX(0,Scenario_DT!O$18-3))*(Scenario_DT!O$12+$O288)-Scenario_DT!O$13)*(1-Scenario_DT!O$14)+Scenario_DT!O$13-Scenario_DT!O$15)*Scenario_DT!O$16</f>
        <v>2823.2978034508897</v>
      </c>
      <c r="Y288" s="28">
        <f>((Scenario_DT!P$11*(IF(Scenario_DT!P$18=1,1,1+$M288/Scenario_DT!$C$19)*(1+$N288)^MAX(0,Scenario_DT!P$18-3))*(Scenario_DT!P$12+$O288)-Scenario_DT!P$13)*(1-Scenario_DT!P$14)+Scenario_DT!P$13-Scenario_DT!P$15)*Scenario_DT!P$16</f>
        <v>2954.5061416980675</v>
      </c>
      <c r="Z288" s="28">
        <f>((Scenario_DT!Q$11*(IF(Scenario_DT!Q$18=1,1,1+$M288/Scenario_DT!$C$19)*(1+$N288)^MAX(0,Scenario_DT!Q$18-3))*(Scenario_DT!Q$12+$O288)-Scenario_DT!Q$13)*(1-Scenario_DT!Q$14)+Scenario_DT!Q$13-Scenario_DT!Q$15)*Scenario_DT!Q$16</f>
        <v>3091.8063710782862</v>
      </c>
      <c r="AA288" s="28">
        <f>((Scenario_DT!R$11*(IF(Scenario_DT!R$18=1,1,1+$M288/Scenario_DT!$C$19)*(1+$N288)^MAX(0,Scenario_DT!R$18-3))*(Scenario_DT!R$12+$O288)-Scenario_DT!R$13)*(1-Scenario_DT!R$14)+Scenario_DT!R$13-Scenario_DT!R$15)*Scenario_DT!R$16</f>
        <v>3235.4834446848818</v>
      </c>
      <c r="AB288" s="17">
        <f>(Scenario_DT!$R$11*(1+$M288/Scenario_DT!$C$19)*(1+$N288)^7*(Scenario_DT!$R$12+$O288)*(1+MIN(DCF_FCFF!$C$26+$Q288,(DCF_FCFF!$C$25+$P288)-0.02))*(1-DCF_FCFF!$C$27)*(1-DCF_FCFF!$C$28)/((DCF_FCFF!$C$25+$P288)-MIN(DCF_FCFF!$C$26+$Q288,(DCF_FCFF!$C$25+$P288)-0.02)))*(1+(DCF_FCFF!$C$25+$P288))^(-(Inputs!$C$9+9))</f>
        <v>29148.377864574741</v>
      </c>
      <c r="AC288" s="17">
        <f>SUMPRODUCT(R288:AA288*(1+(DCF_FCFF!$C$25+$P288))^(-Scenario_DT!$I$17:$R$17))+AB288</f>
        <v>45137.213525644416</v>
      </c>
      <c r="AD288" s="68">
        <f>((AC288-DCF_FCFF!$C$48)*(1-DCF_FCFF!$C$50)+DCF_FCFF!$C$57+DCF_FCFF!$C$58)/DCF_FCFF!$C$60</f>
        <v>336.81723433803273</v>
      </c>
      <c r="AE288" s="6"/>
      <c r="AF288" s="6"/>
      <c r="AG288" s="6"/>
    </row>
    <row r="289" spans="1:33" x14ac:dyDescent="0.3">
      <c r="A289" s="6"/>
      <c r="B289" s="72">
        <v>258</v>
      </c>
      <c r="C289" s="73">
        <v>0.93277961965698297</v>
      </c>
      <c r="D289" s="73">
        <v>0.391491979530663</v>
      </c>
      <c r="E289" s="73">
        <v>0.32926245959777001</v>
      </c>
      <c r="F289" s="73">
        <v>0.45104650018525499</v>
      </c>
      <c r="G289" s="73">
        <v>0.567934230428493</v>
      </c>
      <c r="H289" s="15">
        <f t="shared" si="41"/>
        <v>1.4968174645647621</v>
      </c>
      <c r="I289" s="15">
        <f t="shared" si="42"/>
        <v>-0.27543252454353018</v>
      </c>
      <c r="J289" s="15">
        <f t="shared" si="43"/>
        <v>-0.44195064768217579</v>
      </c>
      <c r="K289" s="15">
        <f t="shared" si="44"/>
        <v>-0.12301780289843912</v>
      </c>
      <c r="L289" s="15">
        <f t="shared" si="45"/>
        <v>0.17111729227215877</v>
      </c>
      <c r="M289" s="18">
        <f t="shared" si="46"/>
        <v>2.9936349291295242E-2</v>
      </c>
      <c r="N289" s="18">
        <f t="shared" si="47"/>
        <v>4.0790173519936242E-3</v>
      </c>
      <c r="O289" s="18">
        <f t="shared" si="48"/>
        <v>-5.3034077721861098E-3</v>
      </c>
      <c r="P289" s="18">
        <f t="shared" si="49"/>
        <v>-7.3810681739063476E-4</v>
      </c>
      <c r="Q289" s="18">
        <f t="shared" si="50"/>
        <v>6.8446916908863507E-4</v>
      </c>
      <c r="R289" s="28">
        <f>((Scenario_DT!I$11*(IF(Scenario_DT!I$18=1,1,1+$M289/Scenario_DT!$C$19)*(1+$N289)^MAX(0,Scenario_DT!I$18-3))*(Scenario_DT!I$12+$O289)-Scenario_DT!I$13)*(1-Scenario_DT!I$14)+Scenario_DT!I$13-Scenario_DT!I$15)*Scenario_DT!I$16</f>
        <v>903.50730330940723</v>
      </c>
      <c r="S289" s="28">
        <f>((Scenario_DT!J$11*(IF(Scenario_DT!J$18=1,1,1+$M289/Scenario_DT!$C$19)*(1+$N289)^MAX(0,Scenario_DT!J$18-3))*(Scenario_DT!J$12+$O289)-Scenario_DT!J$13)*(1-Scenario_DT!J$14)+Scenario_DT!J$13-Scenario_DT!J$15)*Scenario_DT!J$16</f>
        <v>1886.6379976627231</v>
      </c>
      <c r="T289" s="28">
        <f>((Scenario_DT!K$11*(IF(Scenario_DT!K$18=1,1,1+$M289/Scenario_DT!$C$19)*(1+$N289)^MAX(0,Scenario_DT!K$18-3))*(Scenario_DT!K$12+$O289)-Scenario_DT!K$13)*(1-Scenario_DT!K$14)+Scenario_DT!K$13-Scenario_DT!K$15)*Scenario_DT!K$16</f>
        <v>2154.2287564600638</v>
      </c>
      <c r="U289" s="28">
        <f>((Scenario_DT!L$11*(IF(Scenario_DT!L$18=1,1,1+$M289/Scenario_DT!$C$19)*(1+$N289)^MAX(0,Scenario_DT!L$18-3))*(Scenario_DT!L$12+$O289)-Scenario_DT!L$13)*(1-Scenario_DT!L$14)+Scenario_DT!L$13-Scenario_DT!L$15)*Scenario_DT!L$16</f>
        <v>2569.3309885088092</v>
      </c>
      <c r="V289" s="28">
        <f>((Scenario_DT!M$11*(IF(Scenario_DT!M$18=1,1,1+$M289/Scenario_DT!$C$19)*(1+$N289)^MAX(0,Scenario_DT!M$18-3))*(Scenario_DT!M$12+$O289)-Scenario_DT!M$13)*(1-Scenario_DT!M$14)+Scenario_DT!M$13-Scenario_DT!M$15)*Scenario_DT!M$16</f>
        <v>2708.1527456859967</v>
      </c>
      <c r="W289" s="28">
        <f>((Scenario_DT!N$11*(IF(Scenario_DT!N$18=1,1,1+$M289/Scenario_DT!$C$19)*(1+$N289)^MAX(0,Scenario_DT!N$18-3))*(Scenario_DT!N$12+$O289)-Scenario_DT!N$13)*(1-Scenario_DT!N$14)+Scenario_DT!N$13-Scenario_DT!N$15)*Scenario_DT!N$16</f>
        <v>2854.4738074076722</v>
      </c>
      <c r="X289" s="28">
        <f>((Scenario_DT!O$11*(IF(Scenario_DT!O$18=1,1,1+$M289/Scenario_DT!$C$19)*(1+$N289)^MAX(0,Scenario_DT!O$18-3))*(Scenario_DT!O$12+$O289)-Scenario_DT!O$13)*(1-Scenario_DT!O$14)+Scenario_DT!O$13-Scenario_DT!O$15)*Scenario_DT!O$16</f>
        <v>3008.7019843304988</v>
      </c>
      <c r="Y289" s="28">
        <f>((Scenario_DT!P$11*(IF(Scenario_DT!P$18=1,1,1+$M289/Scenario_DT!$C$19)*(1+$N289)^MAX(0,Scenario_DT!P$18-3))*(Scenario_DT!P$12+$O289)-Scenario_DT!P$13)*(1-Scenario_DT!P$14)+Scenario_DT!P$13-Scenario_DT!P$15)*Scenario_DT!P$16</f>
        <v>3171.2672801147114</v>
      </c>
      <c r="Z289" s="28">
        <f>((Scenario_DT!Q$11*(IF(Scenario_DT!Q$18=1,1,1+$M289/Scenario_DT!$C$19)*(1+$N289)^MAX(0,Scenario_DT!Q$18-3))*(Scenario_DT!Q$12+$O289)-Scenario_DT!Q$13)*(1-Scenario_DT!Q$14)+Scenario_DT!Q$13-Scenario_DT!Q$15)*Scenario_DT!Q$16</f>
        <v>3342.6230988468592</v>
      </c>
      <c r="AA289" s="28">
        <f>((Scenario_DT!R$11*(IF(Scenario_DT!R$18=1,1,1+$M289/Scenario_DT!$C$19)*(1+$N289)^MAX(0,Scenario_DT!R$18-3))*(Scenario_DT!R$12+$O289)-Scenario_DT!R$13)*(1-Scenario_DT!R$14)+Scenario_DT!R$13-Scenario_DT!R$15)*Scenario_DT!R$16</f>
        <v>3523.2475181283608</v>
      </c>
      <c r="AB289" s="17">
        <f>(Scenario_DT!$R$11*(1+$M289/Scenario_DT!$C$19)*(1+$N289)^7*(Scenario_DT!$R$12+$O289)*(1+MIN(DCF_FCFF!$C$26+$Q289,(DCF_FCFF!$C$25+$P289)-0.02))*(1-DCF_FCFF!$C$27)*(1-DCF_FCFF!$C$28)/((DCF_FCFF!$C$25+$P289)-MIN(DCF_FCFF!$C$26+$Q289,(DCF_FCFF!$C$25+$P289)-0.02)))*(1+(DCF_FCFF!$C$25+$P289))^(-(Inputs!$C$9+9))</f>
        <v>30785.759832994972</v>
      </c>
      <c r="AC289" s="17">
        <f>SUMPRODUCT(R289:AA289*(1+(DCF_FCFF!$C$25+$P289))^(-Scenario_DT!$I$17:$R$17))+AB289</f>
        <v>47866.194294502347</v>
      </c>
      <c r="AD289" s="68">
        <f>((AC289-DCF_FCFF!$C$48)*(1-DCF_FCFF!$C$50)+DCF_FCFF!$C$57+DCF_FCFF!$C$58)/DCF_FCFF!$C$60</f>
        <v>363.01208890533911</v>
      </c>
      <c r="AE289" s="6"/>
      <c r="AF289" s="6"/>
      <c r="AG289" s="6"/>
    </row>
    <row r="290" spans="1:33" x14ac:dyDescent="0.3">
      <c r="A290" s="6"/>
      <c r="B290" s="72">
        <v>259</v>
      </c>
      <c r="C290" s="73">
        <v>0.46181791144974799</v>
      </c>
      <c r="D290" s="73">
        <v>0.65875340981670105</v>
      </c>
      <c r="E290" s="73">
        <v>0.55439902337976399</v>
      </c>
      <c r="F290" s="73">
        <v>0.32071554669407598</v>
      </c>
      <c r="G290" s="73">
        <v>0.34573080576263299</v>
      </c>
      <c r="H290" s="15">
        <f t="shared" si="41"/>
        <v>-9.5854888997147752E-2</v>
      </c>
      <c r="I290" s="15">
        <f t="shared" si="42"/>
        <v>0.40906333789045163</v>
      </c>
      <c r="J290" s="15">
        <f t="shared" si="43"/>
        <v>0.1367834657165882</v>
      </c>
      <c r="K290" s="15">
        <f t="shared" si="44"/>
        <v>-0.46569882520975503</v>
      </c>
      <c r="L290" s="15">
        <f t="shared" si="45"/>
        <v>-0.39687232735547873</v>
      </c>
      <c r="M290" s="18">
        <f t="shared" si="46"/>
        <v>-1.917097779942955E-3</v>
      </c>
      <c r="N290" s="18">
        <f t="shared" si="47"/>
        <v>2.4506543829713179E-3</v>
      </c>
      <c r="O290" s="18">
        <f t="shared" si="48"/>
        <v>1.6414015885990584E-3</v>
      </c>
      <c r="P290" s="18">
        <f t="shared" si="49"/>
        <v>-2.7941929512585303E-3</v>
      </c>
      <c r="Q290" s="18">
        <f t="shared" si="50"/>
        <v>-1.587489309421915E-3</v>
      </c>
      <c r="R290" s="28">
        <f>((Scenario_DT!I$11*(IF(Scenario_DT!I$18=1,1,1+$M290/Scenario_DT!$C$19)*(1+$N290)^MAX(0,Scenario_DT!I$18-3))*(Scenario_DT!I$12+$O290)-Scenario_DT!I$13)*(1-Scenario_DT!I$14)+Scenario_DT!I$13-Scenario_DT!I$15)*Scenario_DT!I$16</f>
        <v>913.29873713242989</v>
      </c>
      <c r="S290" s="28">
        <f>((Scenario_DT!J$11*(IF(Scenario_DT!J$18=1,1,1+$M290/Scenario_DT!$C$19)*(1+$N290)^MAX(0,Scenario_DT!J$18-3))*(Scenario_DT!J$12+$O290)-Scenario_DT!J$13)*(1-Scenario_DT!J$14)+Scenario_DT!J$13-Scenario_DT!J$15)*Scenario_DT!J$16</f>
        <v>1832.405542299995</v>
      </c>
      <c r="T290" s="28">
        <f>((Scenario_DT!K$11*(IF(Scenario_DT!K$18=1,1,1+$M290/Scenario_DT!$C$19)*(1+$N290)^MAX(0,Scenario_DT!K$18-3))*(Scenario_DT!K$12+$O290)-Scenario_DT!K$13)*(1-Scenario_DT!K$14)+Scenario_DT!K$13-Scenario_DT!K$15)*Scenario_DT!K$16</f>
        <v>2096.9430874233244</v>
      </c>
      <c r="U290" s="28">
        <f>((Scenario_DT!L$11*(IF(Scenario_DT!L$18=1,1,1+$M290/Scenario_DT!$C$19)*(1+$N290)^MAX(0,Scenario_DT!L$18-3))*(Scenario_DT!L$12+$O290)-Scenario_DT!L$13)*(1-Scenario_DT!L$14)+Scenario_DT!L$13-Scenario_DT!L$15)*Scenario_DT!L$16</f>
        <v>2504.1631472990757</v>
      </c>
      <c r="V290" s="28">
        <f>((Scenario_DT!M$11*(IF(Scenario_DT!M$18=1,1,1+$M290/Scenario_DT!$C$19)*(1+$N290)^MAX(0,Scenario_DT!M$18-3))*(Scenario_DT!M$12+$O290)-Scenario_DT!M$13)*(1-Scenario_DT!M$14)+Scenario_DT!M$13-Scenario_DT!M$15)*Scenario_DT!M$16</f>
        <v>2635.1369774084601</v>
      </c>
      <c r="W290" s="28">
        <f>((Scenario_DT!N$11*(IF(Scenario_DT!N$18=1,1,1+$M290/Scenario_DT!$C$19)*(1+$N290)^MAX(0,Scenario_DT!N$18-3))*(Scenario_DT!N$12+$O290)-Scenario_DT!N$13)*(1-Scenario_DT!N$14)+Scenario_DT!N$13-Scenario_DT!N$15)*Scenario_DT!N$16</f>
        <v>2772.9574906005782</v>
      </c>
      <c r="X290" s="28">
        <f>((Scenario_DT!O$11*(IF(Scenario_DT!O$18=1,1,1+$M290/Scenario_DT!$C$19)*(1+$N290)^MAX(0,Scenario_DT!O$18-3))*(Scenario_DT!O$12+$O290)-Scenario_DT!O$13)*(1-Scenario_DT!O$14)+Scenario_DT!O$13-Scenario_DT!O$15)*Scenario_DT!O$16</f>
        <v>2917.9851575508742</v>
      </c>
      <c r="Y290" s="28">
        <f>((Scenario_DT!P$11*(IF(Scenario_DT!P$18=1,1,1+$M290/Scenario_DT!$C$19)*(1+$N290)^MAX(0,Scenario_DT!P$18-3))*(Scenario_DT!P$12+$O290)-Scenario_DT!P$13)*(1-Scenario_DT!P$14)+Scenario_DT!P$13-Scenario_DT!P$15)*Scenario_DT!P$16</f>
        <v>3070.599445839805</v>
      </c>
      <c r="Z290" s="28">
        <f>((Scenario_DT!Q$11*(IF(Scenario_DT!Q$18=1,1,1+$M290/Scenario_DT!$C$19)*(1+$N290)^MAX(0,Scenario_DT!Q$18-3))*(Scenario_DT!Q$12+$O290)-Scenario_DT!Q$13)*(1-Scenario_DT!Q$14)+Scenario_DT!Q$13-Scenario_DT!Q$15)*Scenario_DT!Q$16</f>
        <v>3231.1998209529643</v>
      </c>
      <c r="AA290" s="28">
        <f>((Scenario_DT!R$11*(IF(Scenario_DT!R$18=1,1,1+$M290/Scenario_DT!$C$19)*(1+$N290)^MAX(0,Scenario_DT!R$18-3))*(Scenario_DT!R$12+$O290)-Scenario_DT!R$13)*(1-Scenario_DT!R$14)+Scenario_DT!R$13-Scenario_DT!R$15)*Scenario_DT!R$16</f>
        <v>3400.2068000106237</v>
      </c>
      <c r="AB290" s="17">
        <f>(Scenario_DT!$R$11*(1+$M290/Scenario_DT!$C$19)*(1+$N290)^7*(Scenario_DT!$R$12+$O290)*(1+MIN(DCF_FCFF!$C$26+$Q290,(DCF_FCFF!$C$25+$P290)-0.02))*(1-DCF_FCFF!$C$27)*(1-DCF_FCFF!$C$28)/((DCF_FCFF!$C$25+$P290)-MIN(DCF_FCFF!$C$26+$Q290,(DCF_FCFF!$C$25+$P290)-0.02)))*(1+(DCF_FCFF!$C$25+$P290))^(-(Inputs!$C$9+9))</f>
        <v>30057.050725812082</v>
      </c>
      <c r="AC290" s="17">
        <f>SUMPRODUCT(R290:AA290*(1+(DCF_FCFF!$C$25+$P290))^(-Scenario_DT!$I$17:$R$17))+AB290</f>
        <v>46816.406281096388</v>
      </c>
      <c r="AD290" s="68">
        <f>((AC290-DCF_FCFF!$C$48)*(1-DCF_FCFF!$C$50)+DCF_FCFF!$C$57+DCF_FCFF!$C$58)/DCF_FCFF!$C$60</f>
        <v>352.93541681901331</v>
      </c>
      <c r="AE290" s="6"/>
      <c r="AF290" s="6"/>
      <c r="AG290" s="6"/>
    </row>
    <row r="291" spans="1:33" x14ac:dyDescent="0.3">
      <c r="A291" s="6"/>
      <c r="B291" s="72">
        <v>260</v>
      </c>
      <c r="C291" s="73">
        <v>0.37859278755973103</v>
      </c>
      <c r="D291" s="73">
        <v>9.4639768249388703E-2</v>
      </c>
      <c r="E291" s="73">
        <v>0.16606263241397301</v>
      </c>
      <c r="F291" s="73">
        <v>0.72311380214538601</v>
      </c>
      <c r="G291" s="73">
        <v>0.38909671152207997</v>
      </c>
      <c r="H291" s="15">
        <f t="shared" si="41"/>
        <v>-0.30917872693859233</v>
      </c>
      <c r="I291" s="15">
        <f t="shared" si="42"/>
        <v>-1.3127134120141977</v>
      </c>
      <c r="J291" s="15">
        <f t="shared" si="43"/>
        <v>-0.96984197848149878</v>
      </c>
      <c r="K291" s="15">
        <f t="shared" si="44"/>
        <v>0.59211677324995438</v>
      </c>
      <c r="L291" s="15">
        <f t="shared" si="45"/>
        <v>-0.28167409065962762</v>
      </c>
      <c r="M291" s="18">
        <f t="shared" si="46"/>
        <v>-6.1835745387718464E-3</v>
      </c>
      <c r="N291" s="18">
        <f t="shared" si="47"/>
        <v>-1.0331460209297118E-2</v>
      </c>
      <c r="O291" s="18">
        <f t="shared" si="48"/>
        <v>-1.1638103741777985E-2</v>
      </c>
      <c r="P291" s="18">
        <f t="shared" si="49"/>
        <v>3.5527006394997264E-3</v>
      </c>
      <c r="Q291" s="18">
        <f t="shared" si="50"/>
        <v>-1.1266963626385105E-3</v>
      </c>
      <c r="R291" s="28">
        <f>((Scenario_DT!I$11*(IF(Scenario_DT!I$18=1,1,1+$M291/Scenario_DT!$C$19)*(1+$N291)^MAX(0,Scenario_DT!I$18-3))*(Scenario_DT!I$12+$O291)-Scenario_DT!I$13)*(1-Scenario_DT!I$14)+Scenario_DT!I$13-Scenario_DT!I$15)*Scenario_DT!I$16</f>
        <v>894.57606370973394</v>
      </c>
      <c r="S291" s="28">
        <f>((Scenario_DT!J$11*(IF(Scenario_DT!J$18=1,1,1+$M291/Scenario_DT!$C$19)*(1+$N291)^MAX(0,Scenario_DT!J$18-3))*(Scenario_DT!J$12+$O291)-Scenario_DT!J$13)*(1-Scenario_DT!J$14)+Scenario_DT!J$13-Scenario_DT!J$15)*Scenario_DT!J$16</f>
        <v>1781.1610511648373</v>
      </c>
      <c r="T291" s="28">
        <f>((Scenario_DT!K$11*(IF(Scenario_DT!K$18=1,1,1+$M291/Scenario_DT!$C$19)*(1+$N291)^MAX(0,Scenario_DT!K$18-3))*(Scenario_DT!K$12+$O291)-Scenario_DT!K$13)*(1-Scenario_DT!K$14)+Scenario_DT!K$13-Scenario_DT!K$15)*Scenario_DT!K$16</f>
        <v>2043.6919379493488</v>
      </c>
      <c r="U291" s="28">
        <f>((Scenario_DT!L$11*(IF(Scenario_DT!L$18=1,1,1+$M291/Scenario_DT!$C$19)*(1+$N291)^MAX(0,Scenario_DT!L$18-3))*(Scenario_DT!L$12+$O291)-Scenario_DT!L$13)*(1-Scenario_DT!L$14)+Scenario_DT!L$13-Scenario_DT!L$15)*Scenario_DT!L$16</f>
        <v>2416.0610300024441</v>
      </c>
      <c r="V291" s="28">
        <f>((Scenario_DT!M$11*(IF(Scenario_DT!M$18=1,1,1+$M291/Scenario_DT!$C$19)*(1+$N291)^MAX(0,Scenario_DT!M$18-3))*(Scenario_DT!M$12+$O291)-Scenario_DT!M$13)*(1-Scenario_DT!M$14)+Scenario_DT!M$13-Scenario_DT!M$15)*Scenario_DT!M$16</f>
        <v>2509.750082146044</v>
      </c>
      <c r="W291" s="28">
        <f>((Scenario_DT!N$11*(IF(Scenario_DT!N$18=1,1,1+$M291/Scenario_DT!$C$19)*(1+$N291)^MAX(0,Scenario_DT!N$18-3))*(Scenario_DT!N$12+$O291)-Scenario_DT!N$13)*(1-Scenario_DT!N$14)+Scenario_DT!N$13-Scenario_DT!N$15)*Scenario_DT!N$16</f>
        <v>2607.047209811883</v>
      </c>
      <c r="X291" s="28">
        <f>((Scenario_DT!O$11*(IF(Scenario_DT!O$18=1,1,1+$M291/Scenario_DT!$C$19)*(1+$N291)^MAX(0,Scenario_DT!O$18-3))*(Scenario_DT!O$12+$O291)-Scenario_DT!O$13)*(1-Scenario_DT!O$14)+Scenario_DT!O$13-Scenario_DT!O$15)*Scenario_DT!O$16</f>
        <v>2708.0925667854535</v>
      </c>
      <c r="Y291" s="28">
        <f>((Scenario_DT!P$11*(IF(Scenario_DT!P$18=1,1,1+$M291/Scenario_DT!$C$19)*(1+$N291)^MAX(0,Scenario_DT!P$18-3))*(Scenario_DT!P$12+$O291)-Scenario_DT!P$13)*(1-Scenario_DT!P$14)+Scenario_DT!P$13-Scenario_DT!P$15)*Scenario_DT!P$16</f>
        <v>2813.0317613240127</v>
      </c>
      <c r="Z291" s="28">
        <f>((Scenario_DT!Q$11*(IF(Scenario_DT!Q$18=1,1,1+$M291/Scenario_DT!$C$19)*(1+$N291)^MAX(0,Scenario_DT!Q$18-3))*(Scenario_DT!Q$12+$O291)-Scenario_DT!Q$13)*(1-Scenario_DT!Q$14)+Scenario_DT!Q$13-Scenario_DT!Q$15)*Scenario_DT!Q$16</f>
        <v>2922.0160684628154</v>
      </c>
      <c r="AA291" s="28">
        <f>((Scenario_DT!R$11*(IF(Scenario_DT!R$18=1,1,1+$M291/Scenario_DT!$C$19)*(1+$N291)^MAX(0,Scenario_DT!R$18-3))*(Scenario_DT!R$12+$O291)-Scenario_DT!R$13)*(1-Scenario_DT!R$14)+Scenario_DT!R$13-Scenario_DT!R$15)*Scenario_DT!R$16</f>
        <v>3035.202650582662</v>
      </c>
      <c r="AB291" s="17">
        <f>(Scenario_DT!$R$11*(1+$M291/Scenario_DT!$C$19)*(1+$N291)^7*(Scenario_DT!$R$12+$O291)*(1+MIN(DCF_FCFF!$C$26+$Q291,(DCF_FCFF!$C$25+$P291)-0.02))*(1-DCF_FCFF!$C$27)*(1-DCF_FCFF!$C$28)/((DCF_FCFF!$C$25+$P291)-MIN(DCF_FCFF!$C$26+$Q291,(DCF_FCFF!$C$25+$P291)-0.02)))*(1+(DCF_FCFF!$C$25+$P291))^(-(Inputs!$C$9+9))</f>
        <v>22710.732755474532</v>
      </c>
      <c r="AC291" s="17">
        <f>SUMPRODUCT(R291:AA291*(1+(DCF_FCFF!$C$25+$P291))^(-Scenario_DT!$I$17:$R$17))+AB291</f>
        <v>38079.640313756026</v>
      </c>
      <c r="AD291" s="68">
        <f>((AC291-DCF_FCFF!$C$48)*(1-DCF_FCFF!$C$50)+DCF_FCFF!$C$57+DCF_FCFF!$C$58)/DCF_FCFF!$C$60</f>
        <v>269.07322309646491</v>
      </c>
      <c r="AE291" s="6"/>
      <c r="AF291" s="6"/>
      <c r="AG291" s="6"/>
    </row>
    <row r="292" spans="1:33" x14ac:dyDescent="0.3">
      <c r="A292" s="6"/>
      <c r="B292" s="72">
        <v>261</v>
      </c>
      <c r="C292" s="73">
        <v>0.21453897256014401</v>
      </c>
      <c r="D292" s="73">
        <v>0.56267241057485695</v>
      </c>
      <c r="E292" s="73">
        <v>0.75553954247342703</v>
      </c>
      <c r="F292" s="73">
        <v>0.25742236234537103</v>
      </c>
      <c r="G292" s="73">
        <v>0.82678988192374503</v>
      </c>
      <c r="H292" s="15">
        <f t="shared" si="41"/>
        <v>-0.7907704697577983</v>
      </c>
      <c r="I292" s="15">
        <f t="shared" si="42"/>
        <v>0.15774824949496621</v>
      </c>
      <c r="J292" s="15">
        <f t="shared" si="43"/>
        <v>0.69202613729456142</v>
      </c>
      <c r="K292" s="15">
        <f t="shared" si="44"/>
        <v>-0.65131258716859164</v>
      </c>
      <c r="L292" s="15">
        <f t="shared" si="45"/>
        <v>0.94155555014655756</v>
      </c>
      <c r="M292" s="18">
        <f t="shared" si="46"/>
        <v>-1.5815409395155966E-2</v>
      </c>
      <c r="N292" s="18">
        <f t="shared" si="47"/>
        <v>-2.0701699473098618E-3</v>
      </c>
      <c r="O292" s="18">
        <f t="shared" si="48"/>
        <v>8.3043136475347366E-3</v>
      </c>
      <c r="P292" s="18">
        <f t="shared" si="49"/>
        <v>-3.9078755230115498E-3</v>
      </c>
      <c r="Q292" s="18">
        <f t="shared" si="50"/>
        <v>3.7662222005862304E-3</v>
      </c>
      <c r="R292" s="28">
        <f>((Scenario_DT!I$11*(IF(Scenario_DT!I$18=1,1,1+$M292/Scenario_DT!$C$19)*(1+$N292)^MAX(0,Scenario_DT!I$18-3))*(Scenario_DT!I$12+$O292)-Scenario_DT!I$13)*(1-Scenario_DT!I$14)+Scenario_DT!I$13-Scenario_DT!I$15)*Scenario_DT!I$16</f>
        <v>922.69272609662971</v>
      </c>
      <c r="S292" s="28">
        <f>((Scenario_DT!J$11*(IF(Scenario_DT!J$18=1,1,1+$M292/Scenario_DT!$C$19)*(1+$N292)^MAX(0,Scenario_DT!J$18-3))*(Scenario_DT!J$12+$O292)-Scenario_DT!J$13)*(1-Scenario_DT!J$14)+Scenario_DT!J$13-Scenario_DT!J$15)*Scenario_DT!J$16</f>
        <v>1819.3846095516474</v>
      </c>
      <c r="T292" s="28">
        <f>((Scenario_DT!K$11*(IF(Scenario_DT!K$18=1,1,1+$M292/Scenario_DT!$C$19)*(1+$N292)^MAX(0,Scenario_DT!K$18-3))*(Scenario_DT!K$12+$O292)-Scenario_DT!K$13)*(1-Scenario_DT!K$14)+Scenario_DT!K$13-Scenario_DT!K$15)*Scenario_DT!K$16</f>
        <v>2082.976566121376</v>
      </c>
      <c r="U292" s="28">
        <f>((Scenario_DT!L$11*(IF(Scenario_DT!L$18=1,1,1+$M292/Scenario_DT!$C$19)*(1+$N292)^MAX(0,Scenario_DT!L$18-3))*(Scenario_DT!L$12+$O292)-Scenario_DT!L$13)*(1-Scenario_DT!L$14)+Scenario_DT!L$13-Scenario_DT!L$15)*Scenario_DT!L$16</f>
        <v>2477.995207264878</v>
      </c>
      <c r="V292" s="28">
        <f>((Scenario_DT!M$11*(IF(Scenario_DT!M$18=1,1,1+$M292/Scenario_DT!$C$19)*(1+$N292)^MAX(0,Scenario_DT!M$18-3))*(Scenario_DT!M$12+$O292)-Scenario_DT!M$13)*(1-Scenario_DT!M$14)+Scenario_DT!M$13-Scenario_DT!M$15)*Scenario_DT!M$16</f>
        <v>2595.750492508666</v>
      </c>
      <c r="W292" s="28">
        <f>((Scenario_DT!N$11*(IF(Scenario_DT!N$18=1,1,1+$M292/Scenario_DT!$C$19)*(1+$N292)^MAX(0,Scenario_DT!N$18-3))*(Scenario_DT!N$12+$O292)-Scenario_DT!N$13)*(1-Scenario_DT!N$14)+Scenario_DT!N$13-Scenario_DT!N$15)*Scenario_DT!N$16</f>
        <v>2719.0911216268787</v>
      </c>
      <c r="X292" s="28">
        <f>((Scenario_DT!O$11*(IF(Scenario_DT!O$18=1,1,1+$M292/Scenario_DT!$C$19)*(1+$N292)^MAX(0,Scenario_DT!O$18-3))*(Scenario_DT!O$12+$O292)-Scenario_DT!O$13)*(1-Scenario_DT!O$14)+Scenario_DT!O$13-Scenario_DT!O$15)*Scenario_DT!O$16</f>
        <v>2848.2841639314779</v>
      </c>
      <c r="Y292" s="28">
        <f>((Scenario_DT!P$11*(IF(Scenario_DT!P$18=1,1,1+$M292/Scenario_DT!$C$19)*(1+$N292)^MAX(0,Scenario_DT!P$18-3))*(Scenario_DT!P$12+$O292)-Scenario_DT!P$13)*(1-Scenario_DT!P$14)+Scenario_DT!P$13-Scenario_DT!P$15)*Scenario_DT!P$16</f>
        <v>2983.6094796772236</v>
      </c>
      <c r="Z292" s="28">
        <f>((Scenario_DT!Q$11*(IF(Scenario_DT!Q$18=1,1,1+$M292/Scenario_DT!$C$19)*(1+$N292)^MAX(0,Scenario_DT!Q$18-3))*(Scenario_DT!Q$12+$O292)-Scenario_DT!Q$13)*(1-Scenario_DT!Q$14)+Scenario_DT!Q$13-Scenario_DT!Q$15)*Scenario_DT!Q$16</f>
        <v>3125.3603328329714</v>
      </c>
      <c r="AA292" s="28">
        <f>((Scenario_DT!R$11*(IF(Scenario_DT!R$18=1,1,1+$M292/Scenario_DT!$C$19)*(1+$N292)^MAX(0,Scenario_DT!R$18-3))*(Scenario_DT!R$12+$O292)-Scenario_DT!R$13)*(1-Scenario_DT!R$14)+Scenario_DT!R$13-Scenario_DT!R$15)*Scenario_DT!R$16</f>
        <v>3273.8440332085484</v>
      </c>
      <c r="AB292" s="17">
        <f>(Scenario_DT!$R$11*(1+$M292/Scenario_DT!$C$19)*(1+$N292)^7*(Scenario_DT!$R$12+$O292)*(1+MIN(DCF_FCFF!$C$26+$Q292,(DCF_FCFF!$C$25+$P292)-0.02))*(1-DCF_FCFF!$C$27)*(1-DCF_FCFF!$C$28)/((DCF_FCFF!$C$25+$P292)-MIN(DCF_FCFF!$C$26+$Q292,(DCF_FCFF!$C$25+$P292)-0.02)))*(1+(DCF_FCFF!$C$25+$P292))^(-(Inputs!$C$9+9))</f>
        <v>33830.02807866189</v>
      </c>
      <c r="AC292" s="17">
        <f>SUMPRODUCT(R292:AA292*(1+(DCF_FCFF!$C$25+$P292))^(-Scenario_DT!$I$17:$R$17))+AB292</f>
        <v>50364.247068943769</v>
      </c>
      <c r="AD292" s="68">
        <f>((AC292-DCF_FCFF!$C$48)*(1-DCF_FCFF!$C$50)+DCF_FCFF!$C$57+DCF_FCFF!$C$58)/DCF_FCFF!$C$60</f>
        <v>386.99031912032672</v>
      </c>
      <c r="AE292" s="6"/>
      <c r="AF292" s="6"/>
      <c r="AG292" s="6"/>
    </row>
    <row r="293" spans="1:33" x14ac:dyDescent="0.3">
      <c r="A293" s="6"/>
      <c r="B293" s="72">
        <v>262</v>
      </c>
      <c r="C293" s="73">
        <v>0.92750485962505003</v>
      </c>
      <c r="D293" s="73">
        <v>0.59739452907384105</v>
      </c>
      <c r="E293" s="73">
        <v>0.66894765899158004</v>
      </c>
      <c r="F293" s="73">
        <v>5.2575990323055398E-2</v>
      </c>
      <c r="G293" s="73">
        <v>0.94551989102190703</v>
      </c>
      <c r="H293" s="15">
        <f t="shared" si="41"/>
        <v>1.457456970942707</v>
      </c>
      <c r="I293" s="15">
        <f t="shared" si="42"/>
        <v>0.24660886666182874</v>
      </c>
      <c r="J293" s="15">
        <f t="shared" si="43"/>
        <v>0.43700919170179703</v>
      </c>
      <c r="K293" s="15">
        <f t="shared" si="44"/>
        <v>-1.620373910813629</v>
      </c>
      <c r="L293" s="15">
        <f t="shared" si="45"/>
        <v>1.6028842210455043</v>
      </c>
      <c r="M293" s="18">
        <f t="shared" si="46"/>
        <v>2.914913941885414E-2</v>
      </c>
      <c r="N293" s="18">
        <f t="shared" si="47"/>
        <v>7.5383842303918917E-3</v>
      </c>
      <c r="O293" s="18">
        <f t="shared" si="48"/>
        <v>5.2441103004215641E-3</v>
      </c>
      <c r="P293" s="18">
        <f t="shared" si="49"/>
        <v>-9.7222434648817739E-3</v>
      </c>
      <c r="Q293" s="18">
        <f t="shared" si="50"/>
        <v>6.4115368841820173E-3</v>
      </c>
      <c r="R293" s="28">
        <f>((Scenario_DT!I$11*(IF(Scenario_DT!I$18=1,1,1+$M293/Scenario_DT!$C$19)*(1+$N293)^MAX(0,Scenario_DT!I$18-3))*(Scenario_DT!I$12+$O293)-Scenario_DT!I$13)*(1-Scenario_DT!I$14)+Scenario_DT!I$13-Scenario_DT!I$15)*Scenario_DT!I$16</f>
        <v>918.37816870540087</v>
      </c>
      <c r="S293" s="28">
        <f>((Scenario_DT!J$11*(IF(Scenario_DT!J$18=1,1,1+$M293/Scenario_DT!$C$19)*(1+$N293)^MAX(0,Scenario_DT!J$18-3))*(Scenario_DT!J$12+$O293)-Scenario_DT!J$13)*(1-Scenario_DT!J$14)+Scenario_DT!J$13-Scenario_DT!J$15)*Scenario_DT!J$16</f>
        <v>1918.5598860979148</v>
      </c>
      <c r="T293" s="28">
        <f>((Scenario_DT!K$11*(IF(Scenario_DT!K$18=1,1,1+$M293/Scenario_DT!$C$19)*(1+$N293)^MAX(0,Scenario_DT!K$18-3))*(Scenario_DT!K$12+$O293)-Scenario_DT!K$13)*(1-Scenario_DT!K$14)+Scenario_DT!K$13-Scenario_DT!K$15)*Scenario_DT!K$16</f>
        <v>2187.2835242203482</v>
      </c>
      <c r="U293" s="28">
        <f>((Scenario_DT!L$11*(IF(Scenario_DT!L$18=1,1,1+$M293/Scenario_DT!$C$19)*(1+$N293)^MAX(0,Scenario_DT!L$18-3))*(Scenario_DT!L$12+$O293)-Scenario_DT!L$13)*(1-Scenario_DT!L$14)+Scenario_DT!L$13-Scenario_DT!L$15)*Scenario_DT!L$16</f>
        <v>2613.6026443554729</v>
      </c>
      <c r="V293" s="28">
        <f>((Scenario_DT!M$11*(IF(Scenario_DT!M$18=1,1,1+$M293/Scenario_DT!$C$19)*(1+$N293)^MAX(0,Scenario_DT!M$18-3))*(Scenario_DT!M$12+$O293)-Scenario_DT!M$13)*(1-Scenario_DT!M$14)+Scenario_DT!M$13-Scenario_DT!M$15)*Scenario_DT!M$16</f>
        <v>2764.3823745810532</v>
      </c>
      <c r="W293" s="28">
        <f>((Scenario_DT!N$11*(IF(Scenario_DT!N$18=1,1,1+$M293/Scenario_DT!$C$19)*(1+$N293)^MAX(0,Scenario_DT!N$18-3))*(Scenario_DT!N$12+$O293)-Scenario_DT!N$13)*(1-Scenario_DT!N$14)+Scenario_DT!N$13-Scenario_DT!N$15)*Scenario_DT!N$16</f>
        <v>2923.8638913827649</v>
      </c>
      <c r="X293" s="28">
        <f>((Scenario_DT!O$11*(IF(Scenario_DT!O$18=1,1,1+$M293/Scenario_DT!$C$19)*(1+$N293)^MAX(0,Scenario_DT!O$18-3))*(Scenario_DT!O$12+$O293)-Scenario_DT!O$13)*(1-Scenario_DT!O$14)+Scenario_DT!O$13-Scenario_DT!O$15)*Scenario_DT!O$16</f>
        <v>3092.5523281729529</v>
      </c>
      <c r="Y293" s="28">
        <f>((Scenario_DT!P$11*(IF(Scenario_DT!P$18=1,1,1+$M293/Scenario_DT!$C$19)*(1+$N293)^MAX(0,Scenario_DT!P$18-3))*(Scenario_DT!P$12+$O293)-Scenario_DT!P$13)*(1-Scenario_DT!P$14)+Scenario_DT!P$13-Scenario_DT!P$15)*Scenario_DT!P$16</f>
        <v>3270.9821504319793</v>
      </c>
      <c r="Z293" s="28">
        <f>((Scenario_DT!Q$11*(IF(Scenario_DT!Q$18=1,1,1+$M293/Scenario_DT!$C$19)*(1+$N293)^MAX(0,Scenario_DT!Q$18-3))*(Scenario_DT!Q$12+$O293)-Scenario_DT!Q$13)*(1-Scenario_DT!Q$14)+Scenario_DT!Q$13-Scenario_DT!Q$15)*Scenario_DT!Q$16</f>
        <v>3459.7188581569553</v>
      </c>
      <c r="AA293" s="28">
        <f>((Scenario_DT!R$11*(IF(Scenario_DT!R$18=1,1,1+$M293/Scenario_DT!$C$19)*(1+$N293)^MAX(0,Scenario_DT!R$18-3))*(Scenario_DT!R$12+$O293)-Scenario_DT!R$13)*(1-Scenario_DT!R$14)+Scenario_DT!R$13-Scenario_DT!R$15)*Scenario_DT!R$16</f>
        <v>3659.3607870734568</v>
      </c>
      <c r="AB293" s="17">
        <f>(Scenario_DT!$R$11*(1+$M293/Scenario_DT!$C$19)*(1+$N293)^7*(Scenario_DT!$R$12+$O293)*(1+MIN(DCF_FCFF!$C$26+$Q293,(DCF_FCFF!$C$25+$P293)-0.02))*(1-DCF_FCFF!$C$27)*(1-DCF_FCFF!$C$28)/((DCF_FCFF!$C$25+$P293)-MIN(DCF_FCFF!$C$26+$Q293,(DCF_FCFF!$C$25+$P293)-0.02)))*(1+(DCF_FCFF!$C$25+$P293))^(-(Inputs!$C$9+9))</f>
        <v>49689.054646246645</v>
      </c>
      <c r="AC293" s="17">
        <f>SUMPRODUCT(R293:AA293*(1+(DCF_FCFF!$C$25+$P293))^(-Scenario_DT!$I$17:$R$17))+AB293</f>
        <v>67880.977442890071</v>
      </c>
      <c r="AD293" s="68">
        <f>((AC293-DCF_FCFF!$C$48)*(1-DCF_FCFF!$C$50)+DCF_FCFF!$C$57+DCF_FCFF!$C$58)/DCF_FCFF!$C$60</f>
        <v>555.12935838232511</v>
      </c>
      <c r="AE293" s="6"/>
      <c r="AF293" s="6"/>
      <c r="AG293" s="6"/>
    </row>
    <row r="294" spans="1:33" x14ac:dyDescent="0.3">
      <c r="A294" s="6"/>
      <c r="B294" s="72">
        <v>263</v>
      </c>
      <c r="C294" s="73">
        <v>0.39248473426494401</v>
      </c>
      <c r="D294" s="73">
        <v>0.92390040054542999</v>
      </c>
      <c r="E294" s="73">
        <v>0.578977524750243</v>
      </c>
      <c r="F294" s="73">
        <v>4.6187988433276103E-3</v>
      </c>
      <c r="G294" s="73">
        <v>3.8541999323435702E-2</v>
      </c>
      <c r="H294" s="15">
        <f t="shared" si="41"/>
        <v>-0.27284876972348132</v>
      </c>
      <c r="I294" s="15">
        <f t="shared" si="42"/>
        <v>1.4318065266334137</v>
      </c>
      <c r="J294" s="15">
        <f t="shared" si="43"/>
        <v>0.19927843082966143</v>
      </c>
      <c r="K294" s="15">
        <f t="shared" si="44"/>
        <v>-2.6031334944350126</v>
      </c>
      <c r="L294" s="15">
        <f t="shared" si="45"/>
        <v>-1.7678618697827695</v>
      </c>
      <c r="M294" s="18">
        <f t="shared" si="46"/>
        <v>-5.4569753944696264E-3</v>
      </c>
      <c r="N294" s="18">
        <f t="shared" si="47"/>
        <v>8.8284515240572483E-3</v>
      </c>
      <c r="O294" s="18">
        <f t="shared" si="48"/>
        <v>2.3913411699559373E-3</v>
      </c>
      <c r="P294" s="18">
        <f t="shared" si="49"/>
        <v>-1.5618800966610075E-2</v>
      </c>
      <c r="Q294" s="18">
        <f t="shared" si="50"/>
        <v>-7.0714474791310784E-3</v>
      </c>
      <c r="R294" s="28">
        <f>((Scenario_DT!I$11*(IF(Scenario_DT!I$18=1,1,1+$M294/Scenario_DT!$C$19)*(1+$N294)^MAX(0,Scenario_DT!I$18-3))*(Scenario_DT!I$12+$O294)-Scenario_DT!I$13)*(1-Scenario_DT!I$14)+Scenario_DT!I$13-Scenario_DT!I$15)*Scenario_DT!I$16</f>
        <v>914.35607123631246</v>
      </c>
      <c r="S294" s="28">
        <f>((Scenario_DT!J$11*(IF(Scenario_DT!J$18=1,1,1+$M294/Scenario_DT!$C$19)*(1+$N294)^MAX(0,Scenario_DT!J$18-3))*(Scenario_DT!J$12+$O294)-Scenario_DT!J$13)*(1-Scenario_DT!J$14)+Scenario_DT!J$13-Scenario_DT!J$15)*Scenario_DT!J$16</f>
        <v>1826.220971379551</v>
      </c>
      <c r="T294" s="28">
        <f>((Scenario_DT!K$11*(IF(Scenario_DT!K$18=1,1,1+$M294/Scenario_DT!$C$19)*(1+$N294)^MAX(0,Scenario_DT!K$18-3))*(Scenario_DT!K$12+$O294)-Scenario_DT!K$13)*(1-Scenario_DT!K$14)+Scenario_DT!K$13-Scenario_DT!K$15)*Scenario_DT!K$16</f>
        <v>2090.4134832059503</v>
      </c>
      <c r="U294" s="28">
        <f>((Scenario_DT!L$11*(IF(Scenario_DT!L$18=1,1,1+$M294/Scenario_DT!$C$19)*(1+$N294)^MAX(0,Scenario_DT!L$18-3))*(Scenario_DT!L$12+$O294)-Scenario_DT!L$13)*(1-Scenario_DT!L$14)+Scenario_DT!L$13-Scenario_DT!L$15)*Scenario_DT!L$16</f>
        <v>2513.2083182204879</v>
      </c>
      <c r="V294" s="28">
        <f>((Scenario_DT!M$11*(IF(Scenario_DT!M$18=1,1,1+$M294/Scenario_DT!$C$19)*(1+$N294)^MAX(0,Scenario_DT!M$18-3))*(Scenario_DT!M$12+$O294)-Scenario_DT!M$13)*(1-Scenario_DT!M$14)+Scenario_DT!M$13-Scenario_DT!M$15)*Scenario_DT!M$16</f>
        <v>2661.6008570467875</v>
      </c>
      <c r="W294" s="28">
        <f>((Scenario_DT!N$11*(IF(Scenario_DT!N$18=1,1,1+$M294/Scenario_DT!$C$19)*(1+$N294)^MAX(0,Scenario_DT!N$18-3))*(Scenario_DT!N$12+$O294)-Scenario_DT!N$13)*(1-Scenario_DT!N$14)+Scenario_DT!N$13-Scenario_DT!N$15)*Scenario_DT!N$16</f>
        <v>2818.7600558524155</v>
      </c>
      <c r="X294" s="28">
        <f>((Scenario_DT!O$11*(IF(Scenario_DT!O$18=1,1,1+$M294/Scenario_DT!$C$19)*(1+$N294)^MAX(0,Scenario_DT!O$18-3))*(Scenario_DT!O$12+$O294)-Scenario_DT!O$13)*(1-Scenario_DT!O$14)+Scenario_DT!O$13-Scenario_DT!O$15)*Scenario_DT!O$16</f>
        <v>2985.2068446023522</v>
      </c>
      <c r="Y294" s="28">
        <f>((Scenario_DT!P$11*(IF(Scenario_DT!P$18=1,1,1+$M294/Scenario_DT!$C$19)*(1+$N294)^MAX(0,Scenario_DT!P$18-3))*(Scenario_DT!P$12+$O294)-Scenario_DT!P$13)*(1-Scenario_DT!P$14)+Scenario_DT!P$13-Scenario_DT!P$15)*Scenario_DT!P$16</f>
        <v>3161.4931137648505</v>
      </c>
      <c r="Z294" s="28">
        <f>((Scenario_DT!Q$11*(IF(Scenario_DT!Q$18=1,1,1+$M294/Scenario_DT!$C$19)*(1+$N294)^MAX(0,Scenario_DT!Q$18-3))*(Scenario_DT!Q$12+$O294)-Scenario_DT!Q$13)*(1-Scenario_DT!Q$14)+Scenario_DT!Q$13-Scenario_DT!Q$15)*Scenario_DT!Q$16</f>
        <v>3348.2035533648814</v>
      </c>
      <c r="AA294" s="28">
        <f>((Scenario_DT!R$11*(IF(Scenario_DT!R$18=1,1,1+$M294/Scenario_DT!$C$19)*(1+$N294)^MAX(0,Scenario_DT!R$18-3))*(Scenario_DT!R$12+$O294)-Scenario_DT!R$13)*(1-Scenario_DT!R$14)+Scenario_DT!R$13-Scenario_DT!R$15)*Scenario_DT!R$16</f>
        <v>3545.9576012187804</v>
      </c>
      <c r="AB294" s="17">
        <f>(Scenario_DT!$R$11*(1+$M294/Scenario_DT!$C$19)*(1+$N294)^7*(Scenario_DT!$R$12+$O294)*(1+MIN(DCF_FCFF!$C$26+$Q294,(DCF_FCFF!$C$25+$P294)-0.02))*(1-DCF_FCFF!$C$27)*(1-DCF_FCFF!$C$28)/((DCF_FCFF!$C$25+$P294)-MIN(DCF_FCFF!$C$26+$Q294,(DCF_FCFF!$C$25+$P294)-0.02)))*(1+(DCF_FCFF!$C$25+$P294))^(-(Inputs!$C$9+9))</f>
        <v>40992.621134883004</v>
      </c>
      <c r="AC294" s="17">
        <f>SUMPRODUCT(R294:AA294*(1+(DCF_FCFF!$C$25+$P294))^(-Scenario_DT!$I$17:$R$17))+AB294</f>
        <v>58998.64721343141</v>
      </c>
      <c r="AD294" s="68">
        <f>((AC294-DCF_FCFF!$C$48)*(1-DCF_FCFF!$C$50)+DCF_FCFF!$C$57+DCF_FCFF!$C$58)/DCF_FCFF!$C$60</f>
        <v>469.86992700977231</v>
      </c>
      <c r="AE294" s="6"/>
      <c r="AF294" s="6"/>
      <c r="AG294" s="6"/>
    </row>
    <row r="295" spans="1:33" x14ac:dyDescent="0.3">
      <c r="A295" s="6"/>
      <c r="B295" s="72">
        <v>264</v>
      </c>
      <c r="C295" s="73">
        <v>0.68041880566992197</v>
      </c>
      <c r="D295" s="73">
        <v>0.56266801383193299</v>
      </c>
      <c r="E295" s="73">
        <v>2.6532437206074299E-2</v>
      </c>
      <c r="F295" s="73">
        <v>0.743459961222385</v>
      </c>
      <c r="G295" s="73">
        <v>0.85214533706918205</v>
      </c>
      <c r="H295" s="15">
        <f t="shared" si="41"/>
        <v>0.46887024116558312</v>
      </c>
      <c r="I295" s="15">
        <f t="shared" si="42"/>
        <v>0.15773709052193491</v>
      </c>
      <c r="J295" s="15">
        <f t="shared" si="43"/>
        <v>-1.9343926097247703</v>
      </c>
      <c r="K295" s="15">
        <f t="shared" si="44"/>
        <v>0.65404924790820618</v>
      </c>
      <c r="L295" s="15">
        <f t="shared" si="45"/>
        <v>1.0456788608124128</v>
      </c>
      <c r="M295" s="18">
        <f t="shared" si="46"/>
        <v>9.3774048233116625E-3</v>
      </c>
      <c r="N295" s="18">
        <f t="shared" si="47"/>
        <v>2.9683155847506628E-3</v>
      </c>
      <c r="O295" s="18">
        <f t="shared" si="48"/>
        <v>-2.3212711316697245E-2</v>
      </c>
      <c r="P295" s="18">
        <f t="shared" si="49"/>
        <v>3.9242954874492367E-3</v>
      </c>
      <c r="Q295" s="18">
        <f t="shared" si="50"/>
        <v>4.1827154432496514E-3</v>
      </c>
      <c r="R295" s="28">
        <f>((Scenario_DT!I$11*(IF(Scenario_DT!I$18=1,1,1+$M295/Scenario_DT!$C$19)*(1+$N295)^MAX(0,Scenario_DT!I$18-3))*(Scenario_DT!I$12+$O295)-Scenario_DT!I$13)*(1-Scenario_DT!I$14)+Scenario_DT!I$13-Scenario_DT!I$15)*Scenario_DT!I$16</f>
        <v>878.2571126472003</v>
      </c>
      <c r="S295" s="28">
        <f>((Scenario_DT!J$11*(IF(Scenario_DT!J$18=1,1,1+$M295/Scenario_DT!$C$19)*(1+$N295)^MAX(0,Scenario_DT!J$18-3))*(Scenario_DT!J$12+$O295)-Scenario_DT!J$13)*(1-Scenario_DT!J$14)+Scenario_DT!J$13-Scenario_DT!J$15)*Scenario_DT!J$16</f>
        <v>1781.5216558160914</v>
      </c>
      <c r="T295" s="28">
        <f>((Scenario_DT!K$11*(IF(Scenario_DT!K$18=1,1,1+$M295/Scenario_DT!$C$19)*(1+$N295)^MAX(0,Scenario_DT!K$18-3))*(Scenario_DT!K$12+$O295)-Scenario_DT!K$13)*(1-Scenario_DT!K$14)+Scenario_DT!K$13-Scenario_DT!K$15)*Scenario_DT!K$16</f>
        <v>2044.5947455539854</v>
      </c>
      <c r="U295" s="28">
        <f>((Scenario_DT!L$11*(IF(Scenario_DT!L$18=1,1,1+$M295/Scenario_DT!$C$19)*(1+$N295)^MAX(0,Scenario_DT!L$18-3))*(Scenario_DT!L$12+$O295)-Scenario_DT!L$13)*(1-Scenario_DT!L$14)+Scenario_DT!L$13-Scenario_DT!L$15)*Scenario_DT!L$16</f>
        <v>2449.7177479728998</v>
      </c>
      <c r="V295" s="28">
        <f>((Scenario_DT!M$11*(IF(Scenario_DT!M$18=1,1,1+$M295/Scenario_DT!$C$19)*(1+$N295)^MAX(0,Scenario_DT!M$18-3))*(Scenario_DT!M$12+$O295)-Scenario_DT!M$13)*(1-Scenario_DT!M$14)+Scenario_DT!M$13-Scenario_DT!M$15)*Scenario_DT!M$16</f>
        <v>2579.1699121856332</v>
      </c>
      <c r="W295" s="28">
        <f>((Scenario_DT!N$11*(IF(Scenario_DT!N$18=1,1,1+$M295/Scenario_DT!$C$19)*(1+$N295)^MAX(0,Scenario_DT!N$18-3))*(Scenario_DT!N$12+$O295)-Scenario_DT!N$13)*(1-Scenario_DT!N$14)+Scenario_DT!N$13-Scenario_DT!N$15)*Scenario_DT!N$16</f>
        <v>2715.459974377467</v>
      </c>
      <c r="X295" s="28">
        <f>((Scenario_DT!O$11*(IF(Scenario_DT!O$18=1,1,1+$M295/Scenario_DT!$C$19)*(1+$N295)^MAX(0,Scenario_DT!O$18-3))*(Scenario_DT!O$12+$O295)-Scenario_DT!O$13)*(1-Scenario_DT!O$14)+Scenario_DT!O$13-Scenario_DT!O$15)*Scenario_DT!O$16</f>
        <v>2858.9517260031075</v>
      </c>
      <c r="Y295" s="28">
        <f>((Scenario_DT!P$11*(IF(Scenario_DT!P$18=1,1,1+$M295/Scenario_DT!$C$19)*(1+$N295)^MAX(0,Scenario_DT!P$18-3))*(Scenario_DT!P$12+$O295)-Scenario_DT!P$13)*(1-Scenario_DT!P$14)+Scenario_DT!P$13-Scenario_DT!P$15)*Scenario_DT!P$16</f>
        <v>3010.0283309276942</v>
      </c>
      <c r="Z295" s="28">
        <f>((Scenario_DT!Q$11*(IF(Scenario_DT!Q$18=1,1,1+$M295/Scenario_DT!$C$19)*(1+$N295)^MAX(0,Scenario_DT!Q$18-3))*(Scenario_DT!Q$12+$O295)-Scenario_DT!Q$13)*(1-Scenario_DT!Q$14)+Scenario_DT!Q$13-Scenario_DT!Q$15)*Scenario_DT!Q$16</f>
        <v>3169.0933568407554</v>
      </c>
      <c r="AA295" s="28">
        <f>((Scenario_DT!R$11*(IF(Scenario_DT!R$18=1,1,1+$M295/Scenario_DT!$C$19)*(1+$N295)^MAX(0,Scenario_DT!R$18-3))*(Scenario_DT!R$12+$O295)-Scenario_DT!R$13)*(1-Scenario_DT!R$14)+Scenario_DT!R$13-Scenario_DT!R$15)*Scenario_DT!R$16</f>
        <v>3336.57186156536</v>
      </c>
      <c r="AB295" s="17">
        <f>(Scenario_DT!$R$11*(1+$M295/Scenario_DT!$C$19)*(1+$N295)^7*(Scenario_DT!$R$12+$O295)*(1+MIN(DCF_FCFF!$C$26+$Q295,(DCF_FCFF!$C$25+$P295)-0.02))*(1-DCF_FCFF!$C$27)*(1-DCF_FCFF!$C$28)/((DCF_FCFF!$C$25+$P295)-MIN(DCF_FCFF!$C$26+$Q295,(DCF_FCFF!$C$25+$P295)-0.02)))*(1+(DCF_FCFF!$C$25+$P295))^(-(Inputs!$C$9+9))</f>
        <v>27453.179074519092</v>
      </c>
      <c r="AC295" s="17">
        <f>SUMPRODUCT(R295:AA295*(1+(DCF_FCFF!$C$25+$P295))^(-Scenario_DT!$I$17:$R$17))+AB295</f>
        <v>43375.042127525368</v>
      </c>
      <c r="AD295" s="68">
        <f>((AC295-DCF_FCFF!$C$48)*(1-DCF_FCFF!$C$50)+DCF_FCFF!$C$57+DCF_FCFF!$C$58)/DCF_FCFF!$C$60</f>
        <v>319.90255907789401</v>
      </c>
      <c r="AE295" s="6"/>
      <c r="AF295" s="6"/>
      <c r="AG295" s="6"/>
    </row>
    <row r="296" spans="1:33" x14ac:dyDescent="0.3">
      <c r="A296" s="6"/>
      <c r="B296" s="72">
        <v>265</v>
      </c>
      <c r="C296" s="73">
        <v>0.496417482439308</v>
      </c>
      <c r="D296" s="73">
        <v>0.46575744035725503</v>
      </c>
      <c r="E296" s="73">
        <v>5.4731088346274799E-3</v>
      </c>
      <c r="F296" s="73">
        <v>0.78664971249359905</v>
      </c>
      <c r="G296" s="73">
        <v>0.33071606674610499</v>
      </c>
      <c r="H296" s="15">
        <f t="shared" si="41"/>
        <v>-8.9801605088031672E-3</v>
      </c>
      <c r="I296" s="15">
        <f t="shared" si="42"/>
        <v>-8.5939035153827656E-2</v>
      </c>
      <c r="J296" s="15">
        <f t="shared" si="43"/>
        <v>-2.544411083086481</v>
      </c>
      <c r="K296" s="15">
        <f t="shared" si="44"/>
        <v>0.79485032150728652</v>
      </c>
      <c r="L296" s="15">
        <f t="shared" si="45"/>
        <v>-0.4379367512046704</v>
      </c>
      <c r="M296" s="18">
        <f t="shared" si="46"/>
        <v>-1.7960321017606334E-4</v>
      </c>
      <c r="N296" s="18">
        <f t="shared" si="47"/>
        <v>-6.313237429947221E-4</v>
      </c>
      <c r="O296" s="18">
        <f t="shared" si="48"/>
        <v>-3.0532932997037774E-2</v>
      </c>
      <c r="P296" s="18">
        <f t="shared" si="49"/>
        <v>4.7691019290437191E-3</v>
      </c>
      <c r="Q296" s="18">
        <f t="shared" si="50"/>
        <v>-1.7517470048186816E-3</v>
      </c>
      <c r="R296" s="28">
        <f>((Scenario_DT!I$11*(IF(Scenario_DT!I$18=1,1,1+$M296/Scenario_DT!$C$19)*(1+$N296)^MAX(0,Scenario_DT!I$18-3))*(Scenario_DT!I$12+$O296)-Scenario_DT!I$13)*(1-Scenario_DT!I$14)+Scenario_DT!I$13-Scenario_DT!I$15)*Scenario_DT!I$16</f>
        <v>867.93638785414316</v>
      </c>
      <c r="S296" s="28">
        <f>((Scenario_DT!J$11*(IF(Scenario_DT!J$18=1,1,1+$M296/Scenario_DT!$C$19)*(1+$N296)^MAX(0,Scenario_DT!J$18-3))*(Scenario_DT!J$12+$O296)-Scenario_DT!J$13)*(1-Scenario_DT!J$14)+Scenario_DT!J$13-Scenario_DT!J$15)*Scenario_DT!J$16</f>
        <v>1736.608573146676</v>
      </c>
      <c r="T296" s="28">
        <f>((Scenario_DT!K$11*(IF(Scenario_DT!K$18=1,1,1+$M296/Scenario_DT!$C$19)*(1+$N296)^MAX(0,Scenario_DT!K$18-3))*(Scenario_DT!K$12+$O296)-Scenario_DT!K$13)*(1-Scenario_DT!K$14)+Scenario_DT!K$13-Scenario_DT!K$15)*Scenario_DT!K$16</f>
        <v>1997.7251213158693</v>
      </c>
      <c r="U296" s="28">
        <f>((Scenario_DT!L$11*(IF(Scenario_DT!L$18=1,1,1+$M296/Scenario_DT!$C$19)*(1+$N296)^MAX(0,Scenario_DT!L$18-3))*(Scenario_DT!L$12+$O296)-Scenario_DT!L$13)*(1-Scenario_DT!L$14)+Scenario_DT!L$13-Scenario_DT!L$15)*Scenario_DT!L$16</f>
        <v>2391.1315089589916</v>
      </c>
      <c r="V296" s="28">
        <f>((Scenario_DT!M$11*(IF(Scenario_DT!M$18=1,1,1+$M296/Scenario_DT!$C$19)*(1+$N296)^MAX(0,Scenario_DT!M$18-3))*(Scenario_DT!M$12+$O296)-Scenario_DT!M$13)*(1-Scenario_DT!M$14)+Scenario_DT!M$13-Scenario_DT!M$15)*Scenario_DT!M$16</f>
        <v>2508.3704114305619</v>
      </c>
      <c r="W296" s="28">
        <f>((Scenario_DT!N$11*(IF(Scenario_DT!N$18=1,1,1+$M296/Scenario_DT!$C$19)*(1+$N296)^MAX(0,Scenario_DT!N$18-3))*(Scenario_DT!N$12+$O296)-Scenario_DT!N$13)*(1-Scenario_DT!N$14)+Scenario_DT!N$13-Scenario_DT!N$15)*Scenario_DT!N$16</f>
        <v>2631.349448921897</v>
      </c>
      <c r="X296" s="28">
        <f>((Scenario_DT!O$11*(IF(Scenario_DT!O$18=1,1,1+$M296/Scenario_DT!$C$19)*(1+$N296)^MAX(0,Scenario_DT!O$18-3))*(Scenario_DT!O$12+$O296)-Scenario_DT!O$13)*(1-Scenario_DT!O$14)+Scenario_DT!O$13-Scenario_DT!O$15)*Scenario_DT!O$16</f>
        <v>2760.3519492470632</v>
      </c>
      <c r="Y296" s="28">
        <f>((Scenario_DT!P$11*(IF(Scenario_DT!P$18=1,1,1+$M296/Scenario_DT!$C$19)*(1+$N296)^MAX(0,Scenario_DT!P$18-3))*(Scenario_DT!P$12+$O296)-Scenario_DT!P$13)*(1-Scenario_DT!P$14)+Scenario_DT!P$13-Scenario_DT!P$15)*Scenario_DT!P$16</f>
        <v>2895.6752456476656</v>
      </c>
      <c r="Z296" s="28">
        <f>((Scenario_DT!Q$11*(IF(Scenario_DT!Q$18=1,1,1+$M296/Scenario_DT!$C$19)*(1+$N296)^MAX(0,Scenario_DT!Q$18-3))*(Scenario_DT!Q$12+$O296)-Scenario_DT!Q$13)*(1-Scenario_DT!Q$14)+Scenario_DT!Q$13-Scenario_DT!Q$15)*Scenario_DT!Q$16</f>
        <v>3037.6313692038807</v>
      </c>
      <c r="AA296" s="28">
        <f>((Scenario_DT!R$11*(IF(Scenario_DT!R$18=1,1,1+$M296/Scenario_DT!$C$19)*(1+$N296)^MAX(0,Scenario_DT!R$18-3))*(Scenario_DT!R$12+$O296)-Scenario_DT!R$13)*(1-Scenario_DT!R$14)+Scenario_DT!R$13-Scenario_DT!R$15)*Scenario_DT!R$16</f>
        <v>3186.5477754734306</v>
      </c>
      <c r="AB296" s="17">
        <f>(Scenario_DT!$R$11*(1+$M296/Scenario_DT!$C$19)*(1+$N296)^7*(Scenario_DT!$R$12+$O296)*(1+MIN(DCF_FCFF!$C$26+$Q296,(DCF_FCFF!$C$25+$P296)-0.02))*(1-DCF_FCFF!$C$27)*(1-DCF_FCFF!$C$28)/((DCF_FCFF!$C$25+$P296)-MIN(DCF_FCFF!$C$26+$Q296,(DCF_FCFF!$C$25+$P296)-0.02)))*(1+(DCF_FCFF!$C$25+$P296))^(-(Inputs!$C$9+9))</f>
        <v>22806.49411811426</v>
      </c>
      <c r="AC296" s="17">
        <f>SUMPRODUCT(R296:AA296*(1+(DCF_FCFF!$C$25+$P296))^(-Scenario_DT!$I$17:$R$17))+AB296</f>
        <v>38185.8772090575</v>
      </c>
      <c r="AD296" s="68">
        <f>((AC296-DCF_FCFF!$C$48)*(1-DCF_FCFF!$C$50)+DCF_FCFF!$C$57+DCF_FCFF!$C$58)/DCF_FCFF!$C$60</f>
        <v>270.09296645774515</v>
      </c>
      <c r="AE296" s="6"/>
      <c r="AF296" s="6"/>
      <c r="AG296" s="6"/>
    </row>
    <row r="297" spans="1:33" x14ac:dyDescent="0.3">
      <c r="A297" s="6"/>
      <c r="B297" s="72">
        <v>266</v>
      </c>
      <c r="C297" s="73">
        <v>0.87876361978254003</v>
      </c>
      <c r="D297" s="73">
        <v>0.37306058755805299</v>
      </c>
      <c r="E297" s="73">
        <v>0.565077910630706</v>
      </c>
      <c r="F297" s="73">
        <v>0.27034178819932803</v>
      </c>
      <c r="G297" s="73">
        <v>0.16058831258491901</v>
      </c>
      <c r="H297" s="15">
        <f t="shared" si="41"/>
        <v>1.168828437640749</v>
      </c>
      <c r="I297" s="15">
        <f t="shared" si="42"/>
        <v>-0.32375810689912909</v>
      </c>
      <c r="J297" s="15">
        <f t="shared" si="43"/>
        <v>0.16385641539450063</v>
      </c>
      <c r="K297" s="15">
        <f t="shared" si="44"/>
        <v>-0.61177961832641559</v>
      </c>
      <c r="L297" s="15">
        <f t="shared" si="45"/>
        <v>-0.99204284571105872</v>
      </c>
      <c r="M297" s="18">
        <f t="shared" si="46"/>
        <v>2.3376568752814981E-2</v>
      </c>
      <c r="N297" s="18">
        <f t="shared" si="47"/>
        <v>2.4322517885165661E-3</v>
      </c>
      <c r="O297" s="18">
        <f t="shared" si="48"/>
        <v>1.9662769847340078E-3</v>
      </c>
      <c r="P297" s="18">
        <f t="shared" si="49"/>
        <v>-3.6706777099584937E-3</v>
      </c>
      <c r="Q297" s="18">
        <f t="shared" si="50"/>
        <v>-3.968171382844235E-3</v>
      </c>
      <c r="R297" s="28">
        <f>((Scenario_DT!I$11*(IF(Scenario_DT!I$18=1,1,1+$M297/Scenario_DT!$C$19)*(1+$N297)^MAX(0,Scenario_DT!I$18-3))*(Scenario_DT!I$12+$O297)-Scenario_DT!I$13)*(1-Scenario_DT!I$14)+Scenario_DT!I$13-Scenario_DT!I$15)*Scenario_DT!I$16</f>
        <v>913.75677647904536</v>
      </c>
      <c r="S297" s="28">
        <f>((Scenario_DT!J$11*(IF(Scenario_DT!J$18=1,1,1+$M297/Scenario_DT!$C$19)*(1+$N297)^MAX(0,Scenario_DT!J$18-3))*(Scenario_DT!J$12+$O297)-Scenario_DT!J$13)*(1-Scenario_DT!J$14)+Scenario_DT!J$13-Scenario_DT!J$15)*Scenario_DT!J$16</f>
        <v>1894.1875746628689</v>
      </c>
      <c r="T297" s="28">
        <f>((Scenario_DT!K$11*(IF(Scenario_DT!K$18=1,1,1+$M297/Scenario_DT!$C$19)*(1+$N297)^MAX(0,Scenario_DT!K$18-3))*(Scenario_DT!K$12+$O297)-Scenario_DT!K$13)*(1-Scenario_DT!K$14)+Scenario_DT!K$13-Scenario_DT!K$15)*Scenario_DT!K$16</f>
        <v>2161.8295464822404</v>
      </c>
      <c r="U297" s="28">
        <f>((Scenario_DT!L$11*(IF(Scenario_DT!L$18=1,1,1+$M297/Scenario_DT!$C$19)*(1+$N297)^MAX(0,Scenario_DT!L$18-3))*(Scenario_DT!L$12+$O297)-Scenario_DT!L$13)*(1-Scenario_DT!L$14)+Scenario_DT!L$13-Scenario_DT!L$15)*Scenario_DT!L$16</f>
        <v>2573.1793885386192</v>
      </c>
      <c r="V297" s="28">
        <f>((Scenario_DT!M$11*(IF(Scenario_DT!M$18=1,1,1+$M297/Scenario_DT!$C$19)*(1+$N297)^MAX(0,Scenario_DT!M$18-3))*(Scenario_DT!M$12+$O297)-Scenario_DT!M$13)*(1-Scenario_DT!M$14)+Scenario_DT!M$13-Scenario_DT!M$15)*Scenario_DT!M$16</f>
        <v>2707.7315755075501</v>
      </c>
      <c r="W297" s="28">
        <f>((Scenario_DT!N$11*(IF(Scenario_DT!N$18=1,1,1+$M297/Scenario_DT!$C$19)*(1+$N297)^MAX(0,Scenario_DT!N$18-3))*(Scenario_DT!N$12+$O297)-Scenario_DT!N$13)*(1-Scenario_DT!N$14)+Scenario_DT!N$13-Scenario_DT!N$15)*Scenario_DT!N$16</f>
        <v>2849.3159410256926</v>
      </c>
      <c r="X297" s="28">
        <f>((Scenario_DT!O$11*(IF(Scenario_DT!O$18=1,1,1+$M297/Scenario_DT!$C$19)*(1+$N297)^MAX(0,Scenario_DT!O$18-3))*(Scenario_DT!O$12+$O297)-Scenario_DT!O$13)*(1-Scenario_DT!O$14)+Scenario_DT!O$13-Scenario_DT!O$15)*Scenario_DT!O$16</f>
        <v>2998.3025696313789</v>
      </c>
      <c r="Y297" s="28">
        <f>((Scenario_DT!P$11*(IF(Scenario_DT!P$18=1,1,1+$M297/Scenario_DT!$C$19)*(1+$N297)^MAX(0,Scenario_DT!P$18-3))*(Scenario_DT!P$12+$O297)-Scenario_DT!P$13)*(1-Scenario_DT!P$14)+Scenario_DT!P$13-Scenario_DT!P$15)*Scenario_DT!P$16</f>
        <v>3155.0810409351084</v>
      </c>
      <c r="Z297" s="28">
        <f>((Scenario_DT!Q$11*(IF(Scenario_DT!Q$18=1,1,1+$M297/Scenario_DT!$C$19)*(1+$N297)^MAX(0,Scenario_DT!Q$18-3))*(Scenario_DT!Q$12+$O297)-Scenario_DT!Q$13)*(1-Scenario_DT!Q$14)+Scenario_DT!Q$13-Scenario_DT!Q$15)*Scenario_DT!Q$16</f>
        <v>3320.0614564281445</v>
      </c>
      <c r="AA297" s="28">
        <f>((Scenario_DT!R$11*(IF(Scenario_DT!R$18=1,1,1+$M297/Scenario_DT!$C$19)*(1+$N297)^MAX(0,Scenario_DT!R$18-3))*(Scenario_DT!R$12+$O297)-Scenario_DT!R$13)*(1-Scenario_DT!R$14)+Scenario_DT!R$13-Scenario_DT!R$15)*Scenario_DT!R$16</f>
        <v>3493.6755203572939</v>
      </c>
      <c r="AB297" s="17">
        <f>(Scenario_DT!$R$11*(1+$M297/Scenario_DT!$C$19)*(1+$N297)^7*(Scenario_DT!$R$12+$O297)*(1+MIN(DCF_FCFF!$C$26+$Q297,(DCF_FCFF!$C$25+$P297)-0.02))*(1-DCF_FCFF!$C$27)*(1-DCF_FCFF!$C$28)/((DCF_FCFF!$C$25+$P297)-MIN(DCF_FCFF!$C$26+$Q297,(DCF_FCFF!$C$25+$P297)-0.02)))*(1+(DCF_FCFF!$C$25+$P297))^(-(Inputs!$C$9+9))</f>
        <v>30120.775778596231</v>
      </c>
      <c r="AC297" s="17">
        <f>SUMPRODUCT(R297:AA297*(1+(DCF_FCFF!$C$25+$P297))^(-Scenario_DT!$I$17:$R$17))+AB297</f>
        <v>47398.367750359408</v>
      </c>
      <c r="AD297" s="68">
        <f>((AC297-DCF_FCFF!$C$48)*(1-DCF_FCFF!$C$50)+DCF_FCFF!$C$57+DCF_FCFF!$C$58)/DCF_FCFF!$C$60</f>
        <v>358.52153022262684</v>
      </c>
      <c r="AE297" s="6"/>
      <c r="AF297" s="6"/>
      <c r="AG297" s="6"/>
    </row>
    <row r="298" spans="1:33" x14ac:dyDescent="0.3">
      <c r="A298" s="6"/>
      <c r="B298" s="72">
        <v>267</v>
      </c>
      <c r="C298" s="73">
        <v>0.77490790338132798</v>
      </c>
      <c r="D298" s="73">
        <v>0.49659047884628199</v>
      </c>
      <c r="E298" s="73">
        <v>0.53648792375225096</v>
      </c>
      <c r="F298" s="73">
        <v>0.96541595348173603</v>
      </c>
      <c r="G298" s="73">
        <v>0.963579912222154</v>
      </c>
      <c r="H298" s="15">
        <f t="shared" si="41"/>
        <v>0.75510798368858101</v>
      </c>
      <c r="I298" s="15">
        <f t="shared" si="42"/>
        <v>-8.5465061691329322E-3</v>
      </c>
      <c r="J298" s="15">
        <f t="shared" si="43"/>
        <v>9.1589552450512132E-2</v>
      </c>
      <c r="K298" s="15">
        <f t="shared" si="44"/>
        <v>1.8173202370416786</v>
      </c>
      <c r="L298" s="15">
        <f t="shared" si="45"/>
        <v>1.7938308233480109</v>
      </c>
      <c r="M298" s="18">
        <f t="shared" si="46"/>
        <v>1.5102159673771621E-2</v>
      </c>
      <c r="N298" s="18">
        <f t="shared" si="47"/>
        <v>2.9612200031057675E-3</v>
      </c>
      <c r="O298" s="18">
        <f t="shared" si="48"/>
        <v>1.0990746294061457E-3</v>
      </c>
      <c r="P298" s="18">
        <f t="shared" si="49"/>
        <v>1.0903921422250072E-2</v>
      </c>
      <c r="Q298" s="18">
        <f t="shared" si="50"/>
        <v>7.1753232933920441E-3</v>
      </c>
      <c r="R298" s="28">
        <f>((Scenario_DT!I$11*(IF(Scenario_DT!I$18=1,1,1+$M298/Scenario_DT!$C$19)*(1+$N298)^MAX(0,Scenario_DT!I$18-3))*(Scenario_DT!I$12+$O298)-Scenario_DT!I$13)*(1-Scenario_DT!I$14)+Scenario_DT!I$13-Scenario_DT!I$15)*Scenario_DT!I$16</f>
        <v>912.53411448326631</v>
      </c>
      <c r="S298" s="28">
        <f>((Scenario_DT!J$11*(IF(Scenario_DT!J$18=1,1,1+$M298/Scenario_DT!$C$19)*(1+$N298)^MAX(0,Scenario_DT!J$18-3))*(Scenario_DT!J$12+$O298)-Scenario_DT!J$13)*(1-Scenario_DT!J$14)+Scenario_DT!J$13-Scenario_DT!J$15)*Scenario_DT!J$16</f>
        <v>1871.5679113320894</v>
      </c>
      <c r="T298" s="28">
        <f>((Scenario_DT!K$11*(IF(Scenario_DT!K$18=1,1,1+$M298/Scenario_DT!$C$19)*(1+$N298)^MAX(0,Scenario_DT!K$18-3))*(Scenario_DT!K$12+$O298)-Scenario_DT!K$13)*(1-Scenario_DT!K$14)+Scenario_DT!K$13-Scenario_DT!K$15)*Scenario_DT!K$16</f>
        <v>2138.1068190790284</v>
      </c>
      <c r="U298" s="28">
        <f>((Scenario_DT!L$11*(IF(Scenario_DT!L$18=1,1,1+$M298/Scenario_DT!$C$19)*(1+$N298)^MAX(0,Scenario_DT!L$18-3))*(Scenario_DT!L$12+$O298)-Scenario_DT!L$13)*(1-Scenario_DT!L$14)+Scenario_DT!L$13-Scenario_DT!L$15)*Scenario_DT!L$16</f>
        <v>2549.2832857677722</v>
      </c>
      <c r="V298" s="28">
        <f>((Scenario_DT!M$11*(IF(Scenario_DT!M$18=1,1,1+$M298/Scenario_DT!$C$19)*(1+$N298)^MAX(0,Scenario_DT!M$18-3))*(Scenario_DT!M$12+$O298)-Scenario_DT!M$13)*(1-Scenario_DT!M$14)+Scenario_DT!M$13-Scenario_DT!M$15)*Scenario_DT!M$16</f>
        <v>2684.0049271006533</v>
      </c>
      <c r="W298" s="28">
        <f>((Scenario_DT!N$11*(IF(Scenario_DT!N$18=1,1,1+$M298/Scenario_DT!$C$19)*(1+$N298)^MAX(0,Scenario_DT!N$18-3))*(Scenario_DT!N$12+$O298)-Scenario_DT!N$13)*(1-Scenario_DT!N$14)+Scenario_DT!N$13-Scenario_DT!N$15)*Scenario_DT!N$16</f>
        <v>2825.8433484273196</v>
      </c>
      <c r="X298" s="28">
        <f>((Scenario_DT!O$11*(IF(Scenario_DT!O$18=1,1,1+$M298/Scenario_DT!$C$19)*(1+$N298)^MAX(0,Scenario_DT!O$18-3))*(Scenario_DT!O$12+$O298)-Scenario_DT!O$13)*(1-Scenario_DT!O$14)+Scenario_DT!O$13-Scenario_DT!O$15)*Scenario_DT!O$16</f>
        <v>2975.1771005771161</v>
      </c>
      <c r="Y298" s="28">
        <f>((Scenario_DT!P$11*(IF(Scenario_DT!P$18=1,1,1+$M298/Scenario_DT!$C$19)*(1+$N298)^MAX(0,Scenario_DT!P$18-3))*(Scenario_DT!P$12+$O298)-Scenario_DT!P$13)*(1-Scenario_DT!P$14)+Scenario_DT!P$13-Scenario_DT!P$15)*Scenario_DT!P$16</f>
        <v>3132.4048878955687</v>
      </c>
      <c r="Z298" s="28">
        <f>((Scenario_DT!Q$11*(IF(Scenario_DT!Q$18=1,1,1+$M298/Scenario_DT!$C$19)*(1+$N298)^MAX(0,Scenario_DT!Q$18-3))*(Scenario_DT!Q$12+$O298)-Scenario_DT!Q$13)*(1-Scenario_DT!Q$14)+Scenario_DT!Q$13-Scenario_DT!Q$15)*Scenario_DT!Q$16</f>
        <v>3297.9466409960091</v>
      </c>
      <c r="AA298" s="28">
        <f>((Scenario_DT!R$11*(IF(Scenario_DT!R$18=1,1,1+$M298/Scenario_DT!$C$19)*(1+$N298)^MAX(0,Scenario_DT!R$18-3))*(Scenario_DT!R$12+$O298)-Scenario_DT!R$13)*(1-Scenario_DT!R$14)+Scenario_DT!R$13-Scenario_DT!R$15)*Scenario_DT!R$16</f>
        <v>3472.2446465940666</v>
      </c>
      <c r="AB298" s="17">
        <f>(Scenario_DT!$R$11*(1+$M298/Scenario_DT!$C$19)*(1+$N298)^7*(Scenario_DT!$R$12+$O298)*(1+MIN(DCF_FCFF!$C$26+$Q298,(DCF_FCFF!$C$25+$P298)-0.02))*(1-DCF_FCFF!$C$27)*(1-DCF_FCFF!$C$28)/((DCF_FCFF!$C$25+$P298)-MIN(DCF_FCFF!$C$26+$Q298,(DCF_FCFF!$C$25+$P298)-0.02)))*(1+(DCF_FCFF!$C$25+$P298))^(-(Inputs!$C$9+9))</f>
        <v>24981.656731870458</v>
      </c>
      <c r="AC298" s="17">
        <f>SUMPRODUCT(R298:AA298*(1+(DCF_FCFF!$C$25+$P298))^(-Scenario_DT!$I$17:$R$17))+AB298</f>
        <v>41098.251156612292</v>
      </c>
      <c r="AD298" s="68">
        <f>((AC298-DCF_FCFF!$C$48)*(1-DCF_FCFF!$C$50)+DCF_FCFF!$C$57+DCF_FCFF!$C$58)/DCF_FCFF!$C$60</f>
        <v>298.0481696868747</v>
      </c>
      <c r="AE298" s="6"/>
      <c r="AF298" s="6"/>
      <c r="AG298" s="6"/>
    </row>
    <row r="299" spans="1:33" x14ac:dyDescent="0.3">
      <c r="A299" s="6"/>
      <c r="B299" s="72">
        <v>268</v>
      </c>
      <c r="C299" s="73">
        <v>0.85564212170240395</v>
      </c>
      <c r="D299" s="73">
        <v>0.18760929276503399</v>
      </c>
      <c r="E299" s="73">
        <v>0.59427269430158003</v>
      </c>
      <c r="F299" s="73">
        <v>0.87814742465553697</v>
      </c>
      <c r="G299" s="73">
        <v>0.374463936448938</v>
      </c>
      <c r="H299" s="15">
        <f t="shared" si="41"/>
        <v>1.0609431087203061</v>
      </c>
      <c r="I299" s="15">
        <f t="shared" si="42"/>
        <v>-0.88674057930949779</v>
      </c>
      <c r="J299" s="15">
        <f t="shared" si="43"/>
        <v>0.23854990794541689</v>
      </c>
      <c r="K299" s="15">
        <f t="shared" si="44"/>
        <v>1.1657756845312401</v>
      </c>
      <c r="L299" s="15">
        <f t="shared" si="45"/>
        <v>-0.320053370372821</v>
      </c>
      <c r="M299" s="18">
        <f t="shared" si="46"/>
        <v>2.1218862174406123E-2</v>
      </c>
      <c r="N299" s="18">
        <f t="shared" si="47"/>
        <v>-1.8997465111072148E-3</v>
      </c>
      <c r="O299" s="18">
        <f t="shared" si="48"/>
        <v>2.8625988953450026E-3</v>
      </c>
      <c r="P299" s="18">
        <f t="shared" si="49"/>
        <v>6.9946541071874407E-3</v>
      </c>
      <c r="Q299" s="18">
        <f t="shared" si="50"/>
        <v>-1.280213481491284E-3</v>
      </c>
      <c r="R299" s="28">
        <f>((Scenario_DT!I$11*(IF(Scenario_DT!I$18=1,1,1+$M299/Scenario_DT!$C$19)*(1+$N299)^MAX(0,Scenario_DT!I$18-3))*(Scenario_DT!I$12+$O299)-Scenario_DT!I$13)*(1-Scenario_DT!I$14)+Scenario_DT!I$13-Scenario_DT!I$15)*Scenario_DT!I$16</f>
        <v>915.02049391403045</v>
      </c>
      <c r="S299" s="28">
        <f>((Scenario_DT!J$11*(IF(Scenario_DT!J$18=1,1,1+$M299/Scenario_DT!$C$19)*(1+$N299)^MAX(0,Scenario_DT!J$18-3))*(Scenario_DT!J$12+$O299)-Scenario_DT!J$13)*(1-Scenario_DT!J$14)+Scenario_DT!J$13-Scenario_DT!J$15)*Scenario_DT!J$16</f>
        <v>1891.8514870648551</v>
      </c>
      <c r="T299" s="28">
        <f>((Scenario_DT!K$11*(IF(Scenario_DT!K$18=1,1,1+$M299/Scenario_DT!$C$19)*(1+$N299)^MAX(0,Scenario_DT!K$18-3))*(Scenario_DT!K$12+$O299)-Scenario_DT!K$13)*(1-Scenario_DT!K$14)+Scenario_DT!K$13-Scenario_DT!K$15)*Scenario_DT!K$16</f>
        <v>2159.3352282524693</v>
      </c>
      <c r="U299" s="28">
        <f>((Scenario_DT!L$11*(IF(Scenario_DT!L$18=1,1,1+$M299/Scenario_DT!$C$19)*(1+$N299)^MAX(0,Scenario_DT!L$18-3))*(Scenario_DT!L$12+$O299)-Scenario_DT!L$13)*(1-Scenario_DT!L$14)+Scenario_DT!L$13-Scenario_DT!L$15)*Scenario_DT!L$16</f>
        <v>2559.3431232856487</v>
      </c>
      <c r="V299" s="28">
        <f>((Scenario_DT!M$11*(IF(Scenario_DT!M$18=1,1,1+$M299/Scenario_DT!$C$19)*(1+$N299)^MAX(0,Scenario_DT!M$18-3))*(Scenario_DT!M$12+$O299)-Scenario_DT!M$13)*(1-Scenario_DT!M$14)+Scenario_DT!M$13-Scenario_DT!M$15)*Scenario_DT!M$16</f>
        <v>2681.4499804395464</v>
      </c>
      <c r="W299" s="28">
        <f>((Scenario_DT!N$11*(IF(Scenario_DT!N$18=1,1,1+$M299/Scenario_DT!$C$19)*(1+$N299)^MAX(0,Scenario_DT!N$18-3))*(Scenario_DT!N$12+$O299)-Scenario_DT!N$13)*(1-Scenario_DT!N$14)+Scenario_DT!N$13-Scenario_DT!N$15)*Scenario_DT!N$16</f>
        <v>2809.3724315884083</v>
      </c>
      <c r="X299" s="28">
        <f>((Scenario_DT!O$11*(IF(Scenario_DT!O$18=1,1,1+$M299/Scenario_DT!$C$19)*(1+$N299)^MAX(0,Scenario_DT!O$18-3))*(Scenario_DT!O$12+$O299)-Scenario_DT!O$13)*(1-Scenario_DT!O$14)+Scenario_DT!O$13-Scenario_DT!O$15)*Scenario_DT!O$16</f>
        <v>2943.3896204383082</v>
      </c>
      <c r="Y299" s="28">
        <f>((Scenario_DT!P$11*(IF(Scenario_DT!P$18=1,1,1+$M299/Scenario_DT!$C$19)*(1+$N299)^MAX(0,Scenario_DT!P$18-3))*(Scenario_DT!P$12+$O299)-Scenario_DT!P$13)*(1-Scenario_DT!P$14)+Scenario_DT!P$13-Scenario_DT!P$15)*Scenario_DT!P$16</f>
        <v>3083.7941101117062</v>
      </c>
      <c r="Z299" s="28">
        <f>((Scenario_DT!Q$11*(IF(Scenario_DT!Q$18=1,1,1+$M299/Scenario_DT!$C$19)*(1+$N299)^MAX(0,Scenario_DT!Q$18-3))*(Scenario_DT!Q$12+$O299)-Scenario_DT!Q$13)*(1-Scenario_DT!Q$14)+Scenario_DT!Q$13-Scenario_DT!Q$15)*Scenario_DT!Q$16</f>
        <v>3230.8925284245765</v>
      </c>
      <c r="AA299" s="28">
        <f>((Scenario_DT!R$11*(IF(Scenario_DT!R$18=1,1,1+$M299/Scenario_DT!$C$19)*(1+$N299)^MAX(0,Scenario_DT!R$18-3))*(Scenario_DT!R$12+$O299)-Scenario_DT!R$13)*(1-Scenario_DT!R$14)+Scenario_DT!R$13-Scenario_DT!R$15)*Scenario_DT!R$16</f>
        <v>3385.0062441912855</v>
      </c>
      <c r="AB299" s="17">
        <f>(Scenario_DT!$R$11*(1+$M299/Scenario_DT!$C$19)*(1+$N299)^7*(Scenario_DT!$R$12+$O299)*(1+MIN(DCF_FCFF!$C$26+$Q299,(DCF_FCFF!$C$25+$P299)-0.02))*(1-DCF_FCFF!$C$27)*(1-DCF_FCFF!$C$28)/((DCF_FCFF!$C$25+$P299)-MIN(DCF_FCFF!$C$26+$Q299,(DCF_FCFF!$C$25+$P299)-0.02)))*(1+(DCF_FCFF!$C$25+$P299))^(-(Inputs!$C$9+9))</f>
        <v>23053.643506706117</v>
      </c>
      <c r="AC299" s="17">
        <f>SUMPRODUCT(R299:AA299*(1+(DCF_FCFF!$C$25+$P299))^(-Scenario_DT!$I$17:$R$17))+AB299</f>
        <v>39354.75668202393</v>
      </c>
      <c r="AD299" s="68">
        <f>((AC299-DCF_FCFF!$C$48)*(1-DCF_FCFF!$C$50)+DCF_FCFF!$C$57+DCF_FCFF!$C$58)/DCF_FCFF!$C$60</f>
        <v>281.31276989149347</v>
      </c>
      <c r="AE299" s="6"/>
      <c r="AF299" s="6"/>
      <c r="AG299" s="6"/>
    </row>
    <row r="300" spans="1:33" x14ac:dyDescent="0.3">
      <c r="A300" s="6"/>
      <c r="B300" s="72">
        <v>269</v>
      </c>
      <c r="C300" s="73">
        <v>0.101106165935585</v>
      </c>
      <c r="D300" s="73">
        <v>0.81096290223992196</v>
      </c>
      <c r="E300" s="73">
        <v>0.48176355136217203</v>
      </c>
      <c r="F300" s="73">
        <v>0.564392680359179</v>
      </c>
      <c r="G300" s="73">
        <v>0.98214429631784395</v>
      </c>
      <c r="H300" s="15">
        <f t="shared" si="41"/>
        <v>-1.2752738450368071</v>
      </c>
      <c r="I300" s="15">
        <f t="shared" si="42"/>
        <v>0.88145020281343422</v>
      </c>
      <c r="J300" s="15">
        <f t="shared" si="43"/>
        <v>-4.5727929302116117E-2</v>
      </c>
      <c r="K300" s="15">
        <f t="shared" si="44"/>
        <v>0.16211583161935172</v>
      </c>
      <c r="L300" s="15">
        <f t="shared" si="45"/>
        <v>2.1001982260649164</v>
      </c>
      <c r="M300" s="18">
        <f t="shared" si="46"/>
        <v>-2.5505476900736141E-2</v>
      </c>
      <c r="N300" s="18">
        <f t="shared" si="47"/>
        <v>1.0057707623118094E-3</v>
      </c>
      <c r="O300" s="18">
        <f t="shared" si="48"/>
        <v>-5.487351516253934E-4</v>
      </c>
      <c r="P300" s="18">
        <f t="shared" si="49"/>
        <v>9.7269498971611036E-4</v>
      </c>
      <c r="Q300" s="18">
        <f t="shared" si="50"/>
        <v>8.4007929042596661E-3</v>
      </c>
      <c r="R300" s="28">
        <f>((Scenario_DT!I$11*(IF(Scenario_DT!I$18=1,1,1+$M300/Scenario_DT!$C$19)*(1+$N300)^MAX(0,Scenario_DT!I$18-3))*(Scenario_DT!I$12+$O300)-Scenario_DT!I$13)*(1-Scenario_DT!I$14)+Scenario_DT!I$13-Scenario_DT!I$15)*Scenario_DT!I$16</f>
        <v>910.21088002344038</v>
      </c>
      <c r="S300" s="28">
        <f>((Scenario_DT!J$11*(IF(Scenario_DT!J$18=1,1,1+$M300/Scenario_DT!$C$19)*(1+$N300)^MAX(0,Scenario_DT!J$18-3))*(Scenario_DT!J$12+$O300)-Scenario_DT!J$13)*(1-Scenario_DT!J$14)+Scenario_DT!J$13-Scenario_DT!J$15)*Scenario_DT!J$16</f>
        <v>1769.1319737282715</v>
      </c>
      <c r="T300" s="28">
        <f>((Scenario_DT!K$11*(IF(Scenario_DT!K$18=1,1,1+$M300/Scenario_DT!$C$19)*(1+$N300)^MAX(0,Scenario_DT!K$18-3))*(Scenario_DT!K$12+$O300)-Scenario_DT!K$13)*(1-Scenario_DT!K$14)+Scenario_DT!K$13-Scenario_DT!K$15)*Scenario_DT!K$16</f>
        <v>2030.568891239584</v>
      </c>
      <c r="U300" s="28">
        <f>((Scenario_DT!L$11*(IF(Scenario_DT!L$18=1,1,1+$M300/Scenario_DT!$C$19)*(1+$N300)^MAX(0,Scenario_DT!L$18-3))*(Scenario_DT!L$12+$O300)-Scenario_DT!L$13)*(1-Scenario_DT!L$14)+Scenario_DT!L$13-Scenario_DT!L$15)*Scenario_DT!L$16</f>
        <v>2429.9839677098871</v>
      </c>
      <c r="V300" s="28">
        <f>((Scenario_DT!M$11*(IF(Scenario_DT!M$18=1,1,1+$M300/Scenario_DT!$C$19)*(1+$N300)^MAX(0,Scenario_DT!M$18-3))*(Scenario_DT!M$12+$O300)-Scenario_DT!M$13)*(1-Scenario_DT!M$14)+Scenario_DT!M$13-Scenario_DT!M$15)*Scenario_DT!M$16</f>
        <v>2553.3457643478855</v>
      </c>
      <c r="W300" s="28">
        <f>((Scenario_DT!N$11*(IF(Scenario_DT!N$18=1,1,1+$M300/Scenario_DT!$C$19)*(1+$N300)^MAX(0,Scenario_DT!N$18-3))*(Scenario_DT!N$12+$O300)-Scenario_DT!N$13)*(1-Scenario_DT!N$14)+Scenario_DT!N$13-Scenario_DT!N$15)*Scenario_DT!N$16</f>
        <v>2682.9645250287272</v>
      </c>
      <c r="X300" s="28">
        <f>((Scenario_DT!O$11*(IF(Scenario_DT!O$18=1,1,1+$M300/Scenario_DT!$C$19)*(1+$N300)^MAX(0,Scenario_DT!O$18-3))*(Scenario_DT!O$12+$O300)-Scenario_DT!O$13)*(1-Scenario_DT!O$14)+Scenario_DT!O$13-Scenario_DT!O$15)*Scenario_DT!O$16</f>
        <v>2819.1600403543271</v>
      </c>
      <c r="Y300" s="28">
        <f>((Scenario_DT!P$11*(IF(Scenario_DT!P$18=1,1,1+$M300/Scenario_DT!$C$19)*(1+$N300)^MAX(0,Scenario_DT!P$18-3))*(Scenario_DT!P$12+$O300)-Scenario_DT!P$13)*(1-Scenario_DT!P$14)+Scenario_DT!P$13-Scenario_DT!P$15)*Scenario_DT!P$16</f>
        <v>2962.2684650981587</v>
      </c>
      <c r="Z300" s="28">
        <f>((Scenario_DT!Q$11*(IF(Scenario_DT!Q$18=1,1,1+$M300/Scenario_DT!$C$19)*(1+$N300)^MAX(0,Scenario_DT!Q$18-3))*(Scenario_DT!Q$12+$O300)-Scenario_DT!Q$13)*(1-Scenario_DT!Q$14)+Scenario_DT!Q$13-Scenario_DT!Q$15)*Scenario_DT!Q$16</f>
        <v>3112.6431555698259</v>
      </c>
      <c r="AA300" s="28">
        <f>((Scenario_DT!R$11*(IF(Scenario_DT!R$18=1,1,1+$M300/Scenario_DT!$C$19)*(1+$N300)^MAX(0,Scenario_DT!R$18-3))*(Scenario_DT!R$12+$O300)-Scenario_DT!R$13)*(1-Scenario_DT!R$14)+Scenario_DT!R$13-Scenario_DT!R$15)*Scenario_DT!R$16</f>
        <v>3270.6555498183484</v>
      </c>
      <c r="AB300" s="17">
        <f>(Scenario_DT!$R$11*(1+$M300/Scenario_DT!$C$19)*(1+$N300)^7*(Scenario_DT!$R$12+$O300)*(1+MIN(DCF_FCFF!$C$26+$Q300,(DCF_FCFF!$C$25+$P300)-0.02))*(1-DCF_FCFF!$C$27)*(1-DCF_FCFF!$C$28)/((DCF_FCFF!$C$25+$P300)-MIN(DCF_FCFF!$C$26+$Q300,(DCF_FCFF!$C$25+$P300)-0.02)))*(1+(DCF_FCFF!$C$25+$P300))^(-(Inputs!$C$9+9))</f>
        <v>32350.247678565076</v>
      </c>
      <c r="AC300" s="17">
        <f>SUMPRODUCT(R300:AA300*(1+(DCF_FCFF!$C$25+$P300))^(-Scenario_DT!$I$17:$R$17))+AB300</f>
        <v>48317.641625181655</v>
      </c>
      <c r="AD300" s="68">
        <f>((AC300-DCF_FCFF!$C$48)*(1-DCF_FCFF!$C$50)+DCF_FCFF!$C$57+DCF_FCFF!$C$58)/DCF_FCFF!$C$60</f>
        <v>367.34542731024555</v>
      </c>
      <c r="AE300" s="6"/>
      <c r="AF300" s="6"/>
      <c r="AG300" s="6"/>
    </row>
    <row r="301" spans="1:33" x14ac:dyDescent="0.3">
      <c r="A301" s="6"/>
      <c r="B301" s="72">
        <v>270</v>
      </c>
      <c r="C301" s="73">
        <v>0.607211430494072</v>
      </c>
      <c r="D301" s="73">
        <v>0.42497938566610099</v>
      </c>
      <c r="E301" s="73">
        <v>0.36998436784719801</v>
      </c>
      <c r="F301" s="73">
        <v>0.41761929265404601</v>
      </c>
      <c r="G301" s="73">
        <v>0.118399083178669</v>
      </c>
      <c r="H301" s="15">
        <f t="shared" si="41"/>
        <v>0.27205836935303179</v>
      </c>
      <c r="I301" s="15">
        <f t="shared" si="42"/>
        <v>-0.18917103137166061</v>
      </c>
      <c r="J301" s="15">
        <f t="shared" si="43"/>
        <v>-0.33189474882626108</v>
      </c>
      <c r="K301" s="15">
        <f t="shared" si="44"/>
        <v>-0.20798768209748106</v>
      </c>
      <c r="L301" s="15">
        <f t="shared" si="45"/>
        <v>-1.1830277080795302</v>
      </c>
      <c r="M301" s="18">
        <f t="shared" si="46"/>
        <v>5.4411673870606364E-3</v>
      </c>
      <c r="N301" s="18">
        <f t="shared" si="47"/>
        <v>-2.2238187321156145E-4</v>
      </c>
      <c r="O301" s="18">
        <f t="shared" si="48"/>
        <v>-3.9827369859151331E-3</v>
      </c>
      <c r="P301" s="18">
        <f t="shared" si="49"/>
        <v>-1.2479260925848863E-3</v>
      </c>
      <c r="Q301" s="18">
        <f t="shared" si="50"/>
        <v>-4.732110832318121E-3</v>
      </c>
      <c r="R301" s="28">
        <f>((Scenario_DT!I$11*(IF(Scenario_DT!I$18=1,1,1+$M301/Scenario_DT!$C$19)*(1+$N301)^MAX(0,Scenario_DT!I$18-3))*(Scenario_DT!I$12+$O301)-Scenario_DT!I$13)*(1-Scenario_DT!I$14)+Scenario_DT!I$13-Scenario_DT!I$15)*Scenario_DT!I$16</f>
        <v>905.36930699215611</v>
      </c>
      <c r="S301" s="28">
        <f>((Scenario_DT!J$11*(IF(Scenario_DT!J$18=1,1,1+$M301/Scenario_DT!$C$19)*(1+$N301)^MAX(0,Scenario_DT!J$18-3))*(Scenario_DT!J$12+$O301)-Scenario_DT!J$13)*(1-Scenario_DT!J$14)+Scenario_DT!J$13-Scenario_DT!J$15)*Scenario_DT!J$16</f>
        <v>1832.4983811859247</v>
      </c>
      <c r="T301" s="28">
        <f>((Scenario_DT!K$11*(IF(Scenario_DT!K$18=1,1,1+$M301/Scenario_DT!$C$19)*(1+$N301)^MAX(0,Scenario_DT!K$18-3))*(Scenario_DT!K$12+$O301)-Scenario_DT!K$13)*(1-Scenario_DT!K$14)+Scenario_DT!K$13-Scenario_DT!K$15)*Scenario_DT!K$16</f>
        <v>2097.2894940073929</v>
      </c>
      <c r="U301" s="28">
        <f>((Scenario_DT!L$11*(IF(Scenario_DT!L$18=1,1,1+$M301/Scenario_DT!$C$19)*(1+$N301)^MAX(0,Scenario_DT!L$18-3))*(Scenario_DT!L$12+$O301)-Scenario_DT!L$13)*(1-Scenario_DT!L$14)+Scenario_DT!L$13-Scenario_DT!L$15)*Scenario_DT!L$16</f>
        <v>2497.8085201710851</v>
      </c>
      <c r="V301" s="28">
        <f>((Scenario_DT!M$11*(IF(Scenario_DT!M$18=1,1,1+$M301/Scenario_DT!$C$19)*(1+$N301)^MAX(0,Scenario_DT!M$18-3))*(Scenario_DT!M$12+$O301)-Scenario_DT!M$13)*(1-Scenario_DT!M$14)+Scenario_DT!M$13-Scenario_DT!M$15)*Scenario_DT!M$16</f>
        <v>2621.3903353846476</v>
      </c>
      <c r="W301" s="28">
        <f>((Scenario_DT!N$11*(IF(Scenario_DT!N$18=1,1,1+$M301/Scenario_DT!$C$19)*(1+$N301)^MAX(0,Scenario_DT!N$18-3))*(Scenario_DT!N$12+$O301)-Scenario_DT!N$13)*(1-Scenario_DT!N$14)+Scenario_DT!N$13-Scenario_DT!N$15)*Scenario_DT!N$16</f>
        <v>2751.0789633379432</v>
      </c>
      <c r="X301" s="28">
        <f>((Scenario_DT!O$11*(IF(Scenario_DT!O$18=1,1,1+$M301/Scenario_DT!$C$19)*(1+$N301)^MAX(0,Scenario_DT!O$18-3))*(Scenario_DT!O$12+$O301)-Scenario_DT!O$13)*(1-Scenario_DT!O$14)+Scenario_DT!O$13-Scenario_DT!O$15)*Scenario_DT!O$16</f>
        <v>2887.1784969532787</v>
      </c>
      <c r="Y301" s="28">
        <f>((Scenario_DT!P$11*(IF(Scenario_DT!P$18=1,1,1+$M301/Scenario_DT!$C$19)*(1+$N301)^MAX(0,Scenario_DT!P$18-3))*(Scenario_DT!P$12+$O301)-Scenario_DT!P$13)*(1-Scenario_DT!P$14)+Scenario_DT!P$13-Scenario_DT!P$15)*Scenario_DT!P$16</f>
        <v>3030.0081921609458</v>
      </c>
      <c r="Z301" s="28">
        <f>((Scenario_DT!Q$11*(IF(Scenario_DT!Q$18=1,1,1+$M301/Scenario_DT!$C$19)*(1+$N301)^MAX(0,Scenario_DT!Q$18-3))*(Scenario_DT!Q$12+$O301)-Scenario_DT!Q$13)*(1-Scenario_DT!Q$14)+Scenario_DT!Q$13-Scenario_DT!Q$15)*Scenario_DT!Q$16</f>
        <v>3179.903224045348</v>
      </c>
      <c r="AA301" s="28">
        <f>((Scenario_DT!R$11*(IF(Scenario_DT!R$18=1,1,1+$M301/Scenario_DT!$C$19)*(1+$N301)^MAX(0,Scenario_DT!R$18-3))*(Scenario_DT!R$12+$O301)-Scenario_DT!R$13)*(1-Scenario_DT!R$14)+Scenario_DT!R$13-Scenario_DT!R$15)*Scenario_DT!R$16</f>
        <v>3337.215480693199</v>
      </c>
      <c r="AB301" s="17">
        <f>(Scenario_DT!$R$11*(1+$M301/Scenario_DT!$C$19)*(1+$N301)^7*(Scenario_DT!$R$12+$O301)*(1+MIN(DCF_FCFF!$C$26+$Q301,(DCF_FCFF!$C$25+$P301)-0.02))*(1-DCF_FCFF!$C$27)*(1-DCF_FCFF!$C$28)/((DCF_FCFF!$C$25+$P301)-MIN(DCF_FCFF!$C$26+$Q301,(DCF_FCFF!$C$25+$P301)-0.02)))*(1+(DCF_FCFF!$C$25+$P301))^(-(Inputs!$C$9+9))</f>
        <v>26495.64064747834</v>
      </c>
      <c r="AC301" s="17">
        <f>SUMPRODUCT(R301:AA301*(1+(DCF_FCFF!$C$25+$P301))^(-Scenario_DT!$I$17:$R$17))+AB301</f>
        <v>43012.461069370023</v>
      </c>
      <c r="AD301" s="68">
        <f>((AC301-DCF_FCFF!$C$48)*(1-DCF_FCFF!$C$50)+DCF_FCFF!$C$57+DCF_FCFF!$C$58)/DCF_FCFF!$C$60</f>
        <v>316.42222744799614</v>
      </c>
      <c r="AE301" s="6"/>
      <c r="AF301" s="6"/>
      <c r="AG301" s="6"/>
    </row>
    <row r="302" spans="1:33" x14ac:dyDescent="0.3">
      <c r="A302" s="6"/>
      <c r="B302" s="72">
        <v>271</v>
      </c>
      <c r="C302" s="73">
        <v>0.79475055841757203</v>
      </c>
      <c r="D302" s="73">
        <v>0.837716858187041</v>
      </c>
      <c r="E302" s="73">
        <v>0.28439713457340898</v>
      </c>
      <c r="F302" s="73">
        <v>0.30379661840994399</v>
      </c>
      <c r="G302" s="73">
        <v>0.87433425633481299</v>
      </c>
      <c r="H302" s="15">
        <f t="shared" si="41"/>
        <v>0.82301602041415811</v>
      </c>
      <c r="I302" s="15">
        <f t="shared" si="42"/>
        <v>0.98511765204321167</v>
      </c>
      <c r="J302" s="15">
        <f t="shared" si="43"/>
        <v>-0.56982813773510044</v>
      </c>
      <c r="K302" s="15">
        <f t="shared" si="44"/>
        <v>-0.51351197431358075</v>
      </c>
      <c r="L302" s="15">
        <f t="shared" si="45"/>
        <v>1.1471213109036662</v>
      </c>
      <c r="M302" s="18">
        <f t="shared" si="46"/>
        <v>1.6460320408283161E-2</v>
      </c>
      <c r="N302" s="18">
        <f t="shared" si="47"/>
        <v>1.0117159380743836E-2</v>
      </c>
      <c r="O302" s="18">
        <f t="shared" si="48"/>
        <v>-6.8379376528212056E-3</v>
      </c>
      <c r="P302" s="18">
        <f t="shared" si="49"/>
        <v>-3.0810718458814845E-3</v>
      </c>
      <c r="Q302" s="18">
        <f t="shared" si="50"/>
        <v>4.5884852436146647E-3</v>
      </c>
      <c r="R302" s="28">
        <f>((Scenario_DT!I$11*(IF(Scenario_DT!I$18=1,1,1+$M302/Scenario_DT!$C$19)*(1+$N302)^MAX(0,Scenario_DT!I$18-3))*(Scenario_DT!I$12+$O302)-Scenario_DT!I$13)*(1-Scenario_DT!I$14)+Scenario_DT!I$13-Scenario_DT!I$15)*Scenario_DT!I$16</f>
        <v>901.3437813183599</v>
      </c>
      <c r="S302" s="28">
        <f>((Scenario_DT!J$11*(IF(Scenario_DT!J$18=1,1,1+$M302/Scenario_DT!$C$19)*(1+$N302)^MAX(0,Scenario_DT!J$18-3))*(Scenario_DT!J$12+$O302)-Scenario_DT!J$13)*(1-Scenario_DT!J$14)+Scenario_DT!J$13-Scenario_DT!J$15)*Scenario_DT!J$16</f>
        <v>1849.7297070342393</v>
      </c>
      <c r="T302" s="28">
        <f>((Scenario_DT!K$11*(IF(Scenario_DT!K$18=1,1,1+$M302/Scenario_DT!$C$19)*(1+$N302)^MAX(0,Scenario_DT!K$18-3))*(Scenario_DT!K$12+$O302)-Scenario_DT!K$13)*(1-Scenario_DT!K$14)+Scenario_DT!K$13-Scenario_DT!K$15)*Scenario_DT!K$16</f>
        <v>2115.521465038129</v>
      </c>
      <c r="U302" s="28">
        <f>((Scenario_DT!L$11*(IF(Scenario_DT!L$18=1,1,1+$M302/Scenario_DT!$C$19)*(1+$N302)^MAX(0,Scenario_DT!L$18-3))*(Scenario_DT!L$12+$O302)-Scenario_DT!L$13)*(1-Scenario_DT!L$14)+Scenario_DT!L$13-Scenario_DT!L$15)*Scenario_DT!L$16</f>
        <v>2543.3691151688449</v>
      </c>
      <c r="V302" s="28">
        <f>((Scenario_DT!M$11*(IF(Scenario_DT!M$18=1,1,1+$M302/Scenario_DT!$C$19)*(1+$N302)^MAX(0,Scenario_DT!M$18-3))*(Scenario_DT!M$12+$O302)-Scenario_DT!M$13)*(1-Scenario_DT!M$14)+Scenario_DT!M$13-Scenario_DT!M$15)*Scenario_DT!M$16</f>
        <v>2697.0136575114075</v>
      </c>
      <c r="W302" s="28">
        <f>((Scenario_DT!N$11*(IF(Scenario_DT!N$18=1,1,1+$M302/Scenario_DT!$C$19)*(1+$N302)^MAX(0,Scenario_DT!N$18-3))*(Scenario_DT!N$12+$O302)-Scenario_DT!N$13)*(1-Scenario_DT!N$14)+Scenario_DT!N$13-Scenario_DT!N$15)*Scenario_DT!N$16</f>
        <v>2859.9461664000883</v>
      </c>
      <c r="X302" s="28">
        <f>((Scenario_DT!O$11*(IF(Scenario_DT!O$18=1,1,1+$M302/Scenario_DT!$C$19)*(1+$N302)^MAX(0,Scenario_DT!O$18-3))*(Scenario_DT!O$12+$O302)-Scenario_DT!O$13)*(1-Scenario_DT!O$14)+Scenario_DT!O$13-Scenario_DT!O$15)*Scenario_DT!O$16</f>
        <v>3032.7312016799342</v>
      </c>
      <c r="Y302" s="28">
        <f>((Scenario_DT!P$11*(IF(Scenario_DT!P$18=1,1,1+$M302/Scenario_DT!$C$19)*(1+$N302)^MAX(0,Scenario_DT!P$18-3))*(Scenario_DT!P$12+$O302)-Scenario_DT!P$13)*(1-Scenario_DT!P$14)+Scenario_DT!P$13-Scenario_DT!P$15)*Scenario_DT!P$16</f>
        <v>3215.9676414954233</v>
      </c>
      <c r="Z302" s="28">
        <f>((Scenario_DT!Q$11*(IF(Scenario_DT!Q$18=1,1,1+$M302/Scenario_DT!$C$19)*(1+$N302)^MAX(0,Scenario_DT!Q$18-3))*(Scenario_DT!Q$12+$O302)-Scenario_DT!Q$13)*(1-Scenario_DT!Q$14)+Scenario_DT!Q$13-Scenario_DT!Q$15)*Scenario_DT!Q$16</f>
        <v>3410.2907671524522</v>
      </c>
      <c r="AA302" s="28">
        <f>((Scenario_DT!R$11*(IF(Scenario_DT!R$18=1,1,1+$M302/Scenario_DT!$C$19)*(1+$N302)^MAX(0,Scenario_DT!R$18-3))*(Scenario_DT!R$12+$O302)-Scenario_DT!R$13)*(1-Scenario_DT!R$14)+Scenario_DT!R$13-Scenario_DT!R$15)*Scenario_DT!R$16</f>
        <v>3616.3744745672911</v>
      </c>
      <c r="AB302" s="17">
        <f>(Scenario_DT!$R$11*(1+$M302/Scenario_DT!$C$19)*(1+$N302)^7*(Scenario_DT!$R$12+$O302)*(1+MIN(DCF_FCFF!$C$26+$Q302,(DCF_FCFF!$C$25+$P302)-0.02))*(1-DCF_FCFF!$C$27)*(1-DCF_FCFF!$C$28)/((DCF_FCFF!$C$25+$P302)-MIN(DCF_FCFF!$C$26+$Q302,(DCF_FCFF!$C$25+$P302)-0.02)))*(1+(DCF_FCFF!$C$25+$P302))^(-(Inputs!$C$9+9))</f>
        <v>37096.514535117931</v>
      </c>
      <c r="AC302" s="17">
        <f>SUMPRODUCT(R302:AA302*(1+(DCF_FCFF!$C$25+$P302))^(-Scenario_DT!$I$17:$R$17))+AB302</f>
        <v>54373.329696487825</v>
      </c>
      <c r="AD302" s="68">
        <f>((AC302-DCF_FCFF!$C$48)*(1-DCF_FCFF!$C$50)+DCF_FCFF!$C$57+DCF_FCFF!$C$58)/DCF_FCFF!$C$60</f>
        <v>425.47257505091011</v>
      </c>
      <c r="AE302" s="6"/>
      <c r="AF302" s="6"/>
      <c r="AG302" s="6"/>
    </row>
    <row r="303" spans="1:33" x14ac:dyDescent="0.3">
      <c r="A303" s="6"/>
      <c r="B303" s="72">
        <v>272</v>
      </c>
      <c r="C303" s="73">
        <v>2.3970355527955501E-2</v>
      </c>
      <c r="D303" s="73">
        <v>0.52045744376722802</v>
      </c>
      <c r="E303" s="73">
        <v>0.46367571468150098</v>
      </c>
      <c r="F303" s="73">
        <v>0.69012676957845998</v>
      </c>
      <c r="G303" s="73">
        <v>0.163391700149455</v>
      </c>
      <c r="H303" s="15">
        <f t="shared" si="41"/>
        <v>-1.977893600472852</v>
      </c>
      <c r="I303" s="15">
        <f t="shared" si="42"/>
        <v>5.1301701280784782E-2</v>
      </c>
      <c r="J303" s="15">
        <f t="shared" si="43"/>
        <v>-9.1177655440063288E-2</v>
      </c>
      <c r="K303" s="15">
        <f t="shared" si="44"/>
        <v>0.49620971017064591</v>
      </c>
      <c r="L303" s="15">
        <f t="shared" si="45"/>
        <v>-0.98061344759837255</v>
      </c>
      <c r="M303" s="18">
        <f t="shared" si="46"/>
        <v>-3.955787200945704E-2</v>
      </c>
      <c r="N303" s="18">
        <f t="shared" si="47"/>
        <v>-7.5561457893592457E-3</v>
      </c>
      <c r="O303" s="18">
        <f t="shared" si="48"/>
        <v>-1.0941318652807595E-3</v>
      </c>
      <c r="P303" s="18">
        <f t="shared" si="49"/>
        <v>2.9772582610238757E-3</v>
      </c>
      <c r="Q303" s="18">
        <f t="shared" si="50"/>
        <v>-3.9224537903934905E-3</v>
      </c>
      <c r="R303" s="28">
        <f>((Scenario_DT!I$11*(IF(Scenario_DT!I$18=1,1,1+$M303/Scenario_DT!$C$19)*(1+$N303)^MAX(0,Scenario_DT!I$18-3))*(Scenario_DT!I$12+$O303)-Scenario_DT!I$13)*(1-Scenario_DT!I$14)+Scenario_DT!I$13-Scenario_DT!I$15)*Scenario_DT!I$16</f>
        <v>909.44192935084072</v>
      </c>
      <c r="S303" s="28">
        <f>((Scenario_DT!J$11*(IF(Scenario_DT!J$18=1,1,1+$M303/Scenario_DT!$C$19)*(1+$N303)^MAX(0,Scenario_DT!J$18-3))*(Scenario_DT!J$12+$O303)-Scenario_DT!J$13)*(1-Scenario_DT!J$14)+Scenario_DT!J$13-Scenario_DT!J$15)*Scenario_DT!J$16</f>
        <v>1733.8606040653813</v>
      </c>
      <c r="T303" s="28">
        <f>((Scenario_DT!K$11*(IF(Scenario_DT!K$18=1,1,1+$M303/Scenario_DT!$C$19)*(1+$N303)^MAX(0,Scenario_DT!K$18-3))*(Scenario_DT!K$12+$O303)-Scenario_DT!K$13)*(1-Scenario_DT!K$14)+Scenario_DT!K$13-Scenario_DT!K$15)*Scenario_DT!K$16</f>
        <v>1993.5383886587924</v>
      </c>
      <c r="U303" s="28">
        <f>((Scenario_DT!L$11*(IF(Scenario_DT!L$18=1,1,1+$M303/Scenario_DT!$C$19)*(1+$N303)^MAX(0,Scenario_DT!L$18-3))*(Scenario_DT!L$12+$O303)-Scenario_DT!L$13)*(1-Scenario_DT!L$14)+Scenario_DT!L$13-Scenario_DT!L$15)*Scenario_DT!L$16</f>
        <v>2370.0341726091665</v>
      </c>
      <c r="V303" s="28">
        <f>((Scenario_DT!M$11*(IF(Scenario_DT!M$18=1,1,1+$M303/Scenario_DT!$C$19)*(1+$N303)^MAX(0,Scenario_DT!M$18-3))*(Scenario_DT!M$12+$O303)-Scenario_DT!M$13)*(1-Scenario_DT!M$14)+Scenario_DT!M$13-Scenario_DT!M$15)*Scenario_DT!M$16</f>
        <v>2468.8768270277719</v>
      </c>
      <c r="W303" s="28">
        <f>((Scenario_DT!N$11*(IF(Scenario_DT!N$18=1,1,1+$M303/Scenario_DT!$C$19)*(1+$N303)^MAX(0,Scenario_DT!N$18-3))*(Scenario_DT!N$12+$O303)-Scenario_DT!N$13)*(1-Scenario_DT!N$14)+Scenario_DT!N$13-Scenario_DT!N$15)*Scenario_DT!N$16</f>
        <v>2571.8219270917739</v>
      </c>
      <c r="X303" s="28">
        <f>((Scenario_DT!O$11*(IF(Scenario_DT!O$18=1,1,1+$M303/Scenario_DT!$C$19)*(1+$N303)^MAX(0,Scenario_DT!O$18-3))*(Scenario_DT!O$12+$O303)-Scenario_DT!O$13)*(1-Scenario_DT!O$14)+Scenario_DT!O$13-Scenario_DT!O$15)*Scenario_DT!O$16</f>
        <v>2679.0412905256403</v>
      </c>
      <c r="Y303" s="28">
        <f>((Scenario_DT!P$11*(IF(Scenario_DT!P$18=1,1,1+$M303/Scenario_DT!$C$19)*(1+$N303)^MAX(0,Scenario_DT!P$18-3))*(Scenario_DT!P$12+$O303)-Scenario_DT!P$13)*(1-Scenario_DT!P$14)+Scenario_DT!P$13-Scenario_DT!P$15)*Scenario_DT!P$16</f>
        <v>2790.7139469958252</v>
      </c>
      <c r="Z303" s="28">
        <f>((Scenario_DT!Q$11*(IF(Scenario_DT!Q$18=1,1,1+$M303/Scenario_DT!$C$19)*(1+$N303)^MAX(0,Scenario_DT!Q$18-3))*(Scenario_DT!Q$12+$O303)-Scenario_DT!Q$13)*(1-Scenario_DT!Q$14)+Scenario_DT!Q$13-Scenario_DT!Q$15)*Scenario_DT!Q$16</f>
        <v>2907.0264410057339</v>
      </c>
      <c r="AA303" s="28">
        <f>((Scenario_DT!R$11*(IF(Scenario_DT!R$18=1,1,1+$M303/Scenario_DT!$C$19)*(1+$N303)^MAX(0,Scenario_DT!R$18-3))*(Scenario_DT!R$12+$O303)-Scenario_DT!R$13)*(1-Scenario_DT!R$14)+Scenario_DT!R$13-Scenario_DT!R$15)*Scenario_DT!R$16</f>
        <v>3028.173147514945</v>
      </c>
      <c r="AB303" s="17">
        <f>(Scenario_DT!$R$11*(1+$M303/Scenario_DT!$C$19)*(1+$N303)^7*(Scenario_DT!$R$12+$O303)*(1+MIN(DCF_FCFF!$C$26+$Q303,(DCF_FCFF!$C$25+$P303)-0.02))*(1-DCF_FCFF!$C$27)*(1-DCF_FCFF!$C$28)/((DCF_FCFF!$C$25+$P303)-MIN(DCF_FCFF!$C$26+$Q303,(DCF_FCFF!$C$25+$P303)-0.02)))*(1+(DCF_FCFF!$C$25+$P303))^(-(Inputs!$C$9+9))</f>
        <v>21830.483197170466</v>
      </c>
      <c r="AC303" s="17">
        <f>SUMPRODUCT(R303:AA303*(1+(DCF_FCFF!$C$25+$P303))^(-Scenario_DT!$I$17:$R$17))+AB303</f>
        <v>37038.988669822997</v>
      </c>
      <c r="AD303" s="68">
        <f>((AC303-DCF_FCFF!$C$48)*(1-DCF_FCFF!$C$50)+DCF_FCFF!$C$57+DCF_FCFF!$C$58)/DCF_FCFF!$C$60</f>
        <v>259.08424890539277</v>
      </c>
      <c r="AE303" s="6"/>
      <c r="AF303" s="6"/>
      <c r="AG303" s="6"/>
    </row>
    <row r="304" spans="1:33" x14ac:dyDescent="0.3">
      <c r="A304" s="6"/>
      <c r="B304" s="72">
        <v>273</v>
      </c>
      <c r="C304" s="73">
        <v>0.66833074079515398</v>
      </c>
      <c r="D304" s="73">
        <v>0.37673400787487599</v>
      </c>
      <c r="E304" s="73">
        <v>0.61871477816964204</v>
      </c>
      <c r="F304" s="73">
        <v>4.0095009872775901E-2</v>
      </c>
      <c r="G304" s="73">
        <v>0.461727197184509</v>
      </c>
      <c r="H304" s="15">
        <f t="shared" si="41"/>
        <v>0.43530849659674853</v>
      </c>
      <c r="I304" s="15">
        <f t="shared" si="42"/>
        <v>-0.31406981342941026</v>
      </c>
      <c r="J304" s="15">
        <f t="shared" si="43"/>
        <v>0.3021070691784053</v>
      </c>
      <c r="K304" s="15">
        <f t="shared" si="44"/>
        <v>-1.7495845955780152</v>
      </c>
      <c r="L304" s="15">
        <f t="shared" si="45"/>
        <v>-9.6083325479303858E-2</v>
      </c>
      <c r="M304" s="18">
        <f t="shared" si="46"/>
        <v>8.7061699319349716E-3</v>
      </c>
      <c r="N304" s="18">
        <f t="shared" si="47"/>
        <v>-4.3470550954667256E-4</v>
      </c>
      <c r="O304" s="18">
        <f t="shared" si="48"/>
        <v>3.6252848301408635E-3</v>
      </c>
      <c r="P304" s="18">
        <f t="shared" si="49"/>
        <v>-1.049750757346809E-2</v>
      </c>
      <c r="Q304" s="18">
        <f t="shared" si="50"/>
        <v>-3.8433330191721545E-4</v>
      </c>
      <c r="R304" s="28">
        <f>((Scenario_DT!I$11*(IF(Scenario_DT!I$18=1,1,1+$M304/Scenario_DT!$C$19)*(1+$N304)^MAX(0,Scenario_DT!I$18-3))*(Scenario_DT!I$12+$O304)-Scenario_DT!I$13)*(1-Scenario_DT!I$14)+Scenario_DT!I$13-Scenario_DT!I$15)*Scenario_DT!I$16</f>
        <v>916.09579900454492</v>
      </c>
      <c r="S304" s="28">
        <f>((Scenario_DT!J$11*(IF(Scenario_DT!J$18=1,1,1+$M304/Scenario_DT!$C$19)*(1+$N304)^MAX(0,Scenario_DT!J$18-3))*(Scenario_DT!J$12+$O304)-Scenario_DT!J$13)*(1-Scenario_DT!J$14)+Scenario_DT!J$13-Scenario_DT!J$15)*Scenario_DT!J$16</f>
        <v>1864.1416646620837</v>
      </c>
      <c r="T304" s="28">
        <f>((Scenario_DT!K$11*(IF(Scenario_DT!K$18=1,1,1+$M304/Scenario_DT!$C$19)*(1+$N304)^MAX(0,Scenario_DT!K$18-3))*(Scenario_DT!K$12+$O304)-Scenario_DT!K$13)*(1-Scenario_DT!K$14)+Scenario_DT!K$13-Scenario_DT!K$15)*Scenario_DT!K$16</f>
        <v>2130.193318725067</v>
      </c>
      <c r="U304" s="28">
        <f>((Scenario_DT!L$11*(IF(Scenario_DT!L$18=1,1,1+$M304/Scenario_DT!$C$19)*(1+$N304)^MAX(0,Scenario_DT!L$18-3))*(Scenario_DT!L$12+$O304)-Scenario_DT!L$13)*(1-Scenario_DT!L$14)+Scenario_DT!L$13-Scenario_DT!L$15)*Scenario_DT!L$16</f>
        <v>2532.1958127719895</v>
      </c>
      <c r="V304" s="28">
        <f>((Scenario_DT!M$11*(IF(Scenario_DT!M$18=1,1,1+$M304/Scenario_DT!$C$19)*(1+$N304)^MAX(0,Scenario_DT!M$18-3))*(Scenario_DT!M$12+$O304)-Scenario_DT!M$13)*(1-Scenario_DT!M$14)+Scenario_DT!M$13-Scenario_DT!M$15)*Scenario_DT!M$16</f>
        <v>2656.920673792959</v>
      </c>
      <c r="W304" s="28">
        <f>((Scenario_DT!N$11*(IF(Scenario_DT!N$18=1,1,1+$M304/Scenario_DT!$C$19)*(1+$N304)^MAX(0,Scenario_DT!N$18-3))*(Scenario_DT!N$12+$O304)-Scenario_DT!N$13)*(1-Scenario_DT!N$14)+Scenario_DT!N$13-Scenario_DT!N$15)*Scenario_DT!N$16</f>
        <v>2787.7810778643407</v>
      </c>
      <c r="X304" s="28">
        <f>((Scenario_DT!O$11*(IF(Scenario_DT!O$18=1,1,1+$M304/Scenario_DT!$C$19)*(1+$N304)^MAX(0,Scenario_DT!O$18-3))*(Scenario_DT!O$12+$O304)-Scenario_DT!O$13)*(1-Scenario_DT!O$14)+Scenario_DT!O$13-Scenario_DT!O$15)*Scenario_DT!O$16</f>
        <v>2925.0811528126787</v>
      </c>
      <c r="Y304" s="28">
        <f>((Scenario_DT!P$11*(IF(Scenario_DT!P$18=1,1,1+$M304/Scenario_DT!$C$19)*(1+$N304)^MAX(0,Scenario_DT!P$18-3))*(Scenario_DT!P$12+$O304)-Scenario_DT!P$13)*(1-Scenario_DT!P$14)+Scenario_DT!P$13-Scenario_DT!P$15)*Scenario_DT!P$16</f>
        <v>3069.1401221011142</v>
      </c>
      <c r="Z304" s="28">
        <f>((Scenario_DT!Q$11*(IF(Scenario_DT!Q$18=1,1,1+$M304/Scenario_DT!$C$19)*(1+$N304)^MAX(0,Scenario_DT!Q$18-3))*(Scenario_DT!Q$12+$O304)-Scenario_DT!Q$13)*(1-Scenario_DT!Q$14)+Scenario_DT!Q$13-Scenario_DT!Q$15)*Scenario_DT!Q$16</f>
        <v>3220.293054198798</v>
      </c>
      <c r="AA304" s="28">
        <f>((Scenario_DT!R$11*(IF(Scenario_DT!R$18=1,1,1+$M304/Scenario_DT!$C$19)*(1+$N304)^MAX(0,Scenario_DT!R$18-3))*(Scenario_DT!R$12+$O304)-Scenario_DT!R$13)*(1-Scenario_DT!R$14)+Scenario_DT!R$13-Scenario_DT!R$15)*Scenario_DT!R$16</f>
        <v>3378.8916491454902</v>
      </c>
      <c r="AB304" s="17">
        <f>(Scenario_DT!$R$11*(1+$M304/Scenario_DT!$C$19)*(1+$N304)^7*(Scenario_DT!$R$12+$O304)*(1+MIN(DCF_FCFF!$C$26+$Q304,(DCF_FCFF!$C$25+$P304)-0.02))*(1-DCF_FCFF!$C$27)*(1-DCF_FCFF!$C$28)/((DCF_FCFF!$C$25+$P304)-MIN(DCF_FCFF!$C$26+$Q304,(DCF_FCFF!$C$25+$P304)-0.02)))*(1+(DCF_FCFF!$C$25+$P304))^(-(Inputs!$C$9+9))</f>
        <v>39059.440946077011</v>
      </c>
      <c r="AC304" s="17">
        <f>SUMPRODUCT(R304:AA304*(1+(DCF_FCFF!$C$25+$P304))^(-Scenario_DT!$I$17:$R$17))+AB304</f>
        <v>56480.07849516139</v>
      </c>
      <c r="AD304" s="68">
        <f>((AC304-DCF_FCFF!$C$48)*(1-DCF_FCFF!$C$50)+DCF_FCFF!$C$57+DCF_FCFF!$C$58)/DCF_FCFF!$C$60</f>
        <v>445.69476899997068</v>
      </c>
      <c r="AE304" s="6"/>
      <c r="AF304" s="6"/>
      <c r="AG304" s="6"/>
    </row>
    <row r="305" spans="1:33" x14ac:dyDescent="0.3">
      <c r="A305" s="6"/>
      <c r="B305" s="72">
        <v>274</v>
      </c>
      <c r="C305" s="73">
        <v>0.52225089398237201</v>
      </c>
      <c r="D305" s="73">
        <v>0.214326402854987</v>
      </c>
      <c r="E305" s="73">
        <v>0.13962365417912101</v>
      </c>
      <c r="F305" s="73">
        <v>0.188474303012301</v>
      </c>
      <c r="G305" s="73">
        <v>0.34414107806334798</v>
      </c>
      <c r="H305" s="15">
        <f t="shared" si="41"/>
        <v>5.5803669032814772E-2</v>
      </c>
      <c r="I305" s="15">
        <f t="shared" si="42"/>
        <v>-0.79149909215280623</v>
      </c>
      <c r="J305" s="15">
        <f t="shared" si="43"/>
        <v>-1.0820117467685122</v>
      </c>
      <c r="K305" s="15">
        <f t="shared" si="44"/>
        <v>-0.88353254601745335</v>
      </c>
      <c r="L305" s="15">
        <f t="shared" si="45"/>
        <v>-0.40118740079927151</v>
      </c>
      <c r="M305" s="18">
        <f t="shared" si="46"/>
        <v>1.1160733806562955E-3</v>
      </c>
      <c r="N305" s="18">
        <f t="shared" si="47"/>
        <v>-5.2604518908819457E-3</v>
      </c>
      <c r="O305" s="18">
        <f t="shared" si="48"/>
        <v>-1.2984140961222147E-2</v>
      </c>
      <c r="P305" s="18">
        <f t="shared" si="49"/>
        <v>-5.3011952761047205E-3</v>
      </c>
      <c r="Q305" s="18">
        <f t="shared" si="50"/>
        <v>-1.6047496031970862E-3</v>
      </c>
      <c r="R305" s="28">
        <f>((Scenario_DT!I$11*(IF(Scenario_DT!I$18=1,1,1+$M305/Scenario_DT!$C$19)*(1+$N305)^MAX(0,Scenario_DT!I$18-3))*(Scenario_DT!I$12+$O305)-Scenario_DT!I$13)*(1-Scenario_DT!I$14)+Scenario_DT!I$13-Scenario_DT!I$15)*Scenario_DT!I$16</f>
        <v>892.67829608605598</v>
      </c>
      <c r="S305" s="28">
        <f>((Scenario_DT!J$11*(IF(Scenario_DT!J$18=1,1,1+$M305/Scenario_DT!$C$19)*(1+$N305)^MAX(0,Scenario_DT!J$18-3))*(Scenario_DT!J$12+$O305)-Scenario_DT!J$13)*(1-Scenario_DT!J$14)+Scenario_DT!J$13-Scenario_DT!J$15)*Scenario_DT!J$16</f>
        <v>1794.1841714938332</v>
      </c>
      <c r="T305" s="28">
        <f>((Scenario_DT!K$11*(IF(Scenario_DT!K$18=1,1,1+$M305/Scenario_DT!$C$19)*(1+$N305)^MAX(0,Scenario_DT!K$18-3))*(Scenario_DT!K$12+$O305)-Scenario_DT!K$13)*(1-Scenario_DT!K$14)+Scenario_DT!K$13-Scenario_DT!K$15)*Scenario_DT!K$16</f>
        <v>2057.4363591206002</v>
      </c>
      <c r="U305" s="28">
        <f>((Scenario_DT!L$11*(IF(Scenario_DT!L$18=1,1,1+$M305/Scenario_DT!$C$19)*(1+$N305)^MAX(0,Scenario_DT!L$18-3))*(Scenario_DT!L$12+$O305)-Scenario_DT!L$13)*(1-Scenario_DT!L$14)+Scenario_DT!L$13-Scenario_DT!L$15)*Scenario_DT!L$16</f>
        <v>2443.0440048121873</v>
      </c>
      <c r="V305" s="28">
        <f>((Scenario_DT!M$11*(IF(Scenario_DT!M$18=1,1,1+$M305/Scenario_DT!$C$19)*(1+$N305)^MAX(0,Scenario_DT!M$18-3))*(Scenario_DT!M$12+$O305)-Scenario_DT!M$13)*(1-Scenario_DT!M$14)+Scenario_DT!M$13-Scenario_DT!M$15)*Scenario_DT!M$16</f>
        <v>2550.8874760698386</v>
      </c>
      <c r="W305" s="28">
        <f>((Scenario_DT!N$11*(IF(Scenario_DT!N$18=1,1,1+$M305/Scenario_DT!$C$19)*(1+$N305)^MAX(0,Scenario_DT!N$18-3))*(Scenario_DT!N$12+$O305)-Scenario_DT!N$13)*(1-Scenario_DT!N$14)+Scenario_DT!N$13-Scenario_DT!N$15)*Scenario_DT!N$16</f>
        <v>2663.4757489531153</v>
      </c>
      <c r="X305" s="28">
        <f>((Scenario_DT!O$11*(IF(Scenario_DT!O$18=1,1,1+$M305/Scenario_DT!$C$19)*(1+$N305)^MAX(0,Scenario_DT!O$18-3))*(Scenario_DT!O$12+$O305)-Scenario_DT!O$13)*(1-Scenario_DT!O$14)+Scenario_DT!O$13-Scenario_DT!O$15)*Scenario_DT!O$16</f>
        <v>2781.0193922326825</v>
      </c>
      <c r="Y305" s="28">
        <f>((Scenario_DT!P$11*(IF(Scenario_DT!P$18=1,1,1+$M305/Scenario_DT!$C$19)*(1+$N305)^MAX(0,Scenario_DT!P$18-3))*(Scenario_DT!P$12+$O305)-Scenario_DT!P$13)*(1-Scenario_DT!P$14)+Scenario_DT!P$13-Scenario_DT!P$15)*Scenario_DT!P$16</f>
        <v>2903.7383384194623</v>
      </c>
      <c r="Z305" s="28">
        <f>((Scenario_DT!Q$11*(IF(Scenario_DT!Q$18=1,1,1+$M305/Scenario_DT!$C$19)*(1+$N305)^MAX(0,Scenario_DT!Q$18-3))*(Scenario_DT!Q$12+$O305)-Scenario_DT!Q$13)*(1-Scenario_DT!Q$14)+Scenario_DT!Q$13-Scenario_DT!Q$15)*Scenario_DT!Q$16</f>
        <v>3031.8623003804196</v>
      </c>
      <c r="AA305" s="28">
        <f>((Scenario_DT!R$11*(IF(Scenario_DT!R$18=1,1,1+$M305/Scenario_DT!$C$19)*(1+$N305)^MAX(0,Scenario_DT!R$18-3))*(Scenario_DT!R$12+$O305)-Scenario_DT!R$13)*(1-Scenario_DT!R$14)+Scenario_DT!R$13-Scenario_DT!R$15)*Scenario_DT!R$16</f>
        <v>3165.6312064943936</v>
      </c>
      <c r="AB305" s="17">
        <f>(Scenario_DT!$R$11*(1+$M305/Scenario_DT!$C$19)*(1+$N305)^7*(Scenario_DT!$R$12+$O305)*(1+MIN(DCF_FCFF!$C$26+$Q305,(DCF_FCFF!$C$25+$P305)-0.02))*(1-DCF_FCFF!$C$27)*(1-DCF_FCFF!$C$28)/((DCF_FCFF!$C$25+$P305)-MIN(DCF_FCFF!$C$26+$Q305,(DCF_FCFF!$C$25+$P305)-0.02)))*(1+(DCF_FCFF!$C$25+$P305))^(-(Inputs!$C$9+9))</f>
        <v>30144.521321765489</v>
      </c>
      <c r="AC305" s="17">
        <f>SUMPRODUCT(R305:AA305*(1+(DCF_FCFF!$C$25+$P305))^(-Scenario_DT!$I$17:$R$17))+AB305</f>
        <v>46418.377956616408</v>
      </c>
      <c r="AD305" s="68">
        <f>((AC305-DCF_FCFF!$C$48)*(1-DCF_FCFF!$C$50)+DCF_FCFF!$C$57+DCF_FCFF!$C$58)/DCF_FCFF!$C$60</f>
        <v>349.11483508666748</v>
      </c>
      <c r="AE305" s="6"/>
      <c r="AF305" s="6"/>
      <c r="AG305" s="6"/>
    </row>
    <row r="306" spans="1:33" x14ac:dyDescent="0.3">
      <c r="A306" s="6"/>
      <c r="B306" s="72">
        <v>275</v>
      </c>
      <c r="C306" s="73">
        <v>9.6810149304971505E-2</v>
      </c>
      <c r="D306" s="73">
        <v>0.94731979572960501</v>
      </c>
      <c r="E306" s="73">
        <v>0.40499406149581701</v>
      </c>
      <c r="F306" s="73">
        <v>0.80896960250674899</v>
      </c>
      <c r="G306" s="73">
        <v>0.97441712310884698</v>
      </c>
      <c r="H306" s="15">
        <f t="shared" si="41"/>
        <v>-1.2999436048054283</v>
      </c>
      <c r="I306" s="15">
        <f t="shared" si="42"/>
        <v>1.619403805731144</v>
      </c>
      <c r="J306" s="15">
        <f t="shared" si="43"/>
        <v>-0.24044135329997082</v>
      </c>
      <c r="K306" s="15">
        <f t="shared" si="44"/>
        <v>0.87410551389235125</v>
      </c>
      <c r="L306" s="15">
        <f t="shared" si="45"/>
        <v>1.9500869719866332</v>
      </c>
      <c r="M306" s="18">
        <f t="shared" si="46"/>
        <v>-2.5998872096108565E-2</v>
      </c>
      <c r="N306" s="18">
        <f t="shared" si="47"/>
        <v>6.0197842587652508E-3</v>
      </c>
      <c r="O306" s="18">
        <f t="shared" si="48"/>
        <v>-2.8852962395996499E-3</v>
      </c>
      <c r="P306" s="18">
        <f t="shared" si="49"/>
        <v>5.2446330833541078E-3</v>
      </c>
      <c r="Q306" s="18">
        <f t="shared" si="50"/>
        <v>7.8003478879465332E-3</v>
      </c>
      <c r="R306" s="28">
        <f>((Scenario_DT!I$11*(IF(Scenario_DT!I$18=1,1,1+$M306/Scenario_DT!$C$19)*(1+$N306)^MAX(0,Scenario_DT!I$18-3))*(Scenario_DT!I$12+$O306)-Scenario_DT!I$13)*(1-Scenario_DT!I$14)+Scenario_DT!I$13-Scenario_DT!I$15)*Scenario_DT!I$16</f>
        <v>906.9165803417909</v>
      </c>
      <c r="S306" s="28">
        <f>((Scenario_DT!J$11*(IF(Scenario_DT!J$18=1,1,1+$M306/Scenario_DT!$C$19)*(1+$N306)^MAX(0,Scenario_DT!J$18-3))*(Scenario_DT!J$12+$O306)-Scenario_DT!J$13)*(1-Scenario_DT!J$14)+Scenario_DT!J$13-Scenario_DT!J$15)*Scenario_DT!J$16</f>
        <v>1760.8898604759297</v>
      </c>
      <c r="T306" s="28">
        <f>((Scenario_DT!K$11*(IF(Scenario_DT!K$18=1,1,1+$M306/Scenario_DT!$C$19)*(1+$N306)^MAX(0,Scenario_DT!K$18-3))*(Scenario_DT!K$12+$O306)-Scenario_DT!K$13)*(1-Scenario_DT!K$14)+Scenario_DT!K$13-Scenario_DT!K$15)*Scenario_DT!K$16</f>
        <v>2022.0105853180457</v>
      </c>
      <c r="U306" s="28">
        <f>((Scenario_DT!L$11*(IF(Scenario_DT!L$18=1,1,1+$M306/Scenario_DT!$C$19)*(1+$N306)^MAX(0,Scenario_DT!L$18-3))*(Scenario_DT!L$12+$O306)-Scenario_DT!L$13)*(1-Scenario_DT!L$14)+Scenario_DT!L$13-Scenario_DT!L$15)*Scenario_DT!L$16</f>
        <v>2433.0985095356782</v>
      </c>
      <c r="V306" s="28">
        <f>((Scenario_DT!M$11*(IF(Scenario_DT!M$18=1,1,1+$M306/Scenario_DT!$C$19)*(1+$N306)^MAX(0,Scenario_DT!M$18-3))*(Scenario_DT!M$12+$O306)-Scenario_DT!M$13)*(1-Scenario_DT!M$14)+Scenario_DT!M$13-Scenario_DT!M$15)*Scenario_DT!M$16</f>
        <v>2569.5177320257858</v>
      </c>
      <c r="W306" s="28">
        <f>((Scenario_DT!N$11*(IF(Scenario_DT!N$18=1,1,1+$M306/Scenario_DT!$C$19)*(1+$N306)^MAX(0,Scenario_DT!N$18-3))*(Scenario_DT!N$12+$O306)-Scenario_DT!N$13)*(1-Scenario_DT!N$14)+Scenario_DT!N$13-Scenario_DT!N$15)*Scenario_DT!N$16</f>
        <v>2713.5870276737041</v>
      </c>
      <c r="X306" s="28">
        <f>((Scenario_DT!O$11*(IF(Scenario_DT!O$18=1,1,1+$M306/Scenario_DT!$C$19)*(1+$N306)^MAX(0,Scenario_DT!O$18-3))*(Scenario_DT!O$12+$O306)-Scenario_DT!O$13)*(1-Scenario_DT!O$14)+Scenario_DT!O$13-Scenario_DT!O$15)*Scenario_DT!O$16</f>
        <v>2865.7382278790674</v>
      </c>
      <c r="Y306" s="28">
        <f>((Scenario_DT!P$11*(IF(Scenario_DT!P$18=1,1,1+$M306/Scenario_DT!$C$19)*(1+$N306)^MAX(0,Scenario_DT!P$18-3))*(Scenario_DT!P$12+$O306)-Scenario_DT!P$13)*(1-Scenario_DT!P$14)+Scenario_DT!P$13-Scenario_DT!P$15)*Scenario_DT!P$16</f>
        <v>3026.4275528904714</v>
      </c>
      <c r="Z306" s="28">
        <f>((Scenario_DT!Q$11*(IF(Scenario_DT!Q$18=1,1,1+$M306/Scenario_DT!$C$19)*(1+$N306)^MAX(0,Scenario_DT!Q$18-3))*(Scenario_DT!Q$12+$O306)-Scenario_DT!Q$13)*(1-Scenario_DT!Q$14)+Scenario_DT!Q$13-Scenario_DT!Q$15)*Scenario_DT!Q$16</f>
        <v>3196.1369886593038</v>
      </c>
      <c r="AA306" s="28">
        <f>((Scenario_DT!R$11*(IF(Scenario_DT!R$18=1,1,1+$M306/Scenario_DT!$C$19)*(1+$N306)^MAX(0,Scenario_DT!R$18-3))*(Scenario_DT!R$12+$O306)-Scenario_DT!R$13)*(1-Scenario_DT!R$14)+Scenario_DT!R$13-Scenario_DT!R$15)*Scenario_DT!R$16</f>
        <v>3375.3757413858302</v>
      </c>
      <c r="AB306" s="17">
        <f>(Scenario_DT!$R$11*(1+$M306/Scenario_DT!$C$19)*(1+$N306)^7*(Scenario_DT!$R$12+$O306)*(1+MIN(DCF_FCFF!$C$26+$Q306,(DCF_FCFF!$C$25+$P306)-0.02))*(1-DCF_FCFF!$C$27)*(1-DCF_FCFF!$C$28)/((DCF_FCFF!$C$25+$P306)-MIN(DCF_FCFF!$C$26+$Q306,(DCF_FCFF!$C$25+$P306)-0.02)))*(1+(DCF_FCFF!$C$25+$P306))^(-(Inputs!$C$9+9))</f>
        <v>28872.447427381565</v>
      </c>
      <c r="AC306" s="17">
        <f>SUMPRODUCT(R306:AA306*(1+(DCF_FCFF!$C$25+$P306))^(-Scenario_DT!$I$17:$R$17))+AB306</f>
        <v>44718.72027834021</v>
      </c>
      <c r="AD306" s="68">
        <f>((AC306-DCF_FCFF!$C$48)*(1-DCF_FCFF!$C$50)+DCF_FCFF!$C$57+DCF_FCFF!$C$58)/DCF_FCFF!$C$60</f>
        <v>332.80021454968102</v>
      </c>
      <c r="AE306" s="6"/>
      <c r="AF306" s="6"/>
      <c r="AG306" s="6"/>
    </row>
    <row r="307" spans="1:33" x14ac:dyDescent="0.3">
      <c r="A307" s="6"/>
      <c r="B307" s="72">
        <v>276</v>
      </c>
      <c r="C307" s="73">
        <v>8.0735280002739093E-2</v>
      </c>
      <c r="D307" s="73">
        <v>0.65166946793499403</v>
      </c>
      <c r="E307" s="73">
        <v>0.87140908674121398</v>
      </c>
      <c r="F307" s="73">
        <v>0.63423443396672796</v>
      </c>
      <c r="G307" s="73">
        <v>0.42902612135741303</v>
      </c>
      <c r="H307" s="15">
        <f t="shared" si="41"/>
        <v>-1.4001428019113376</v>
      </c>
      <c r="I307" s="15">
        <f t="shared" si="42"/>
        <v>0.38983161510561481</v>
      </c>
      <c r="J307" s="15">
        <f t="shared" si="43"/>
        <v>1.1330772204814645</v>
      </c>
      <c r="K307" s="15">
        <f t="shared" si="44"/>
        <v>0.34308949732332994</v>
      </c>
      <c r="L307" s="15">
        <f t="shared" si="45"/>
        <v>-0.17885412766455658</v>
      </c>
      <c r="M307" s="18">
        <f t="shared" si="46"/>
        <v>-2.8002856038226751E-2</v>
      </c>
      <c r="N307" s="18">
        <f t="shared" si="47"/>
        <v>-2.8997385526071109E-3</v>
      </c>
      <c r="O307" s="18">
        <f t="shared" si="48"/>
        <v>1.3596926645777574E-2</v>
      </c>
      <c r="P307" s="18">
        <f t="shared" si="49"/>
        <v>2.0585369839399795E-3</v>
      </c>
      <c r="Q307" s="18">
        <f t="shared" si="50"/>
        <v>-7.1541651065822629E-4</v>
      </c>
      <c r="R307" s="28">
        <f>((Scenario_DT!I$11*(IF(Scenario_DT!I$18=1,1,1+$M307/Scenario_DT!$C$19)*(1+$N307)^MAX(0,Scenario_DT!I$18-3))*(Scenario_DT!I$12+$O307)-Scenario_DT!I$13)*(1-Scenario_DT!I$14)+Scenario_DT!I$13-Scenario_DT!I$15)*Scenario_DT!I$16</f>
        <v>930.15474085196411</v>
      </c>
      <c r="S307" s="28">
        <f>((Scenario_DT!J$11*(IF(Scenario_DT!J$18=1,1,1+$M307/Scenario_DT!$C$19)*(1+$N307)^MAX(0,Scenario_DT!J$18-3))*(Scenario_DT!J$12+$O307)-Scenario_DT!J$13)*(1-Scenario_DT!J$14)+Scenario_DT!J$13-Scenario_DT!J$15)*Scenario_DT!J$16</f>
        <v>1805.8043615231845</v>
      </c>
      <c r="T307" s="28">
        <f>((Scenario_DT!K$11*(IF(Scenario_DT!K$18=1,1,1+$M307/Scenario_DT!$C$19)*(1+$N307)^MAX(0,Scenario_DT!K$18-3))*(Scenario_DT!K$12+$O307)-Scenario_DT!K$13)*(1-Scenario_DT!K$14)+Scenario_DT!K$13-Scenario_DT!K$15)*Scenario_DT!K$16</f>
        <v>2068.4885836309049</v>
      </c>
      <c r="U307" s="28">
        <f>((Scenario_DT!L$11*(IF(Scenario_DT!L$18=1,1,1+$M307/Scenario_DT!$C$19)*(1+$N307)^MAX(0,Scenario_DT!L$18-3))*(Scenario_DT!L$12+$O307)-Scenario_DT!L$13)*(1-Scenario_DT!L$14)+Scenario_DT!L$13-Scenario_DT!L$15)*Scenario_DT!L$16</f>
        <v>2460.5828476404099</v>
      </c>
      <c r="V307" s="28">
        <f>((Scenario_DT!M$11*(IF(Scenario_DT!M$18=1,1,1+$M307/Scenario_DT!$C$19)*(1+$N307)^MAX(0,Scenario_DT!M$18-3))*(Scenario_DT!M$12+$O307)-Scenario_DT!M$13)*(1-Scenario_DT!M$14)+Scenario_DT!M$13-Scenario_DT!M$15)*Scenario_DT!M$16</f>
        <v>2575.3473815648958</v>
      </c>
      <c r="W307" s="28">
        <f>((Scenario_DT!N$11*(IF(Scenario_DT!N$18=1,1,1+$M307/Scenario_DT!$C$19)*(1+$N307)^MAX(0,Scenario_DT!N$18-3))*(Scenario_DT!N$12+$O307)-Scenario_DT!N$13)*(1-Scenario_DT!N$14)+Scenario_DT!N$13-Scenario_DT!N$15)*Scenario_DT!N$16</f>
        <v>2695.4528940824921</v>
      </c>
      <c r="X307" s="28">
        <f>((Scenario_DT!O$11*(IF(Scenario_DT!O$18=1,1,1+$M307/Scenario_DT!$C$19)*(1+$N307)^MAX(0,Scenario_DT!O$18-3))*(Scenario_DT!O$12+$O307)-Scenario_DT!O$13)*(1-Scenario_DT!O$14)+Scenario_DT!O$13-Scenario_DT!O$15)*Scenario_DT!O$16</f>
        <v>2821.1500094981998</v>
      </c>
      <c r="Y307" s="28">
        <f>((Scenario_DT!P$11*(IF(Scenario_DT!P$18=1,1,1+$M307/Scenario_DT!$C$19)*(1+$N307)^MAX(0,Scenario_DT!P$18-3))*(Scenario_DT!P$12+$O307)-Scenario_DT!P$13)*(1-Scenario_DT!P$14)+Scenario_DT!P$13-Scenario_DT!P$15)*Scenario_DT!P$16</f>
        <v>2952.7011331464523</v>
      </c>
      <c r="Z307" s="28">
        <f>((Scenario_DT!Q$11*(IF(Scenario_DT!Q$18=1,1,1+$M307/Scenario_DT!$C$19)*(1+$N307)^MAX(0,Scenario_DT!Q$18-3))*(Scenario_DT!Q$12+$O307)-Scenario_DT!Q$13)*(1-Scenario_DT!Q$14)+Scenario_DT!Q$13-Scenario_DT!Q$15)*Scenario_DT!Q$16</f>
        <v>3090.3810053717261</v>
      </c>
      <c r="AA307" s="28">
        <f>((Scenario_DT!R$11*(IF(Scenario_DT!R$18=1,1,1+$M307/Scenario_DT!$C$19)*(1+$N307)^MAX(0,Scenario_DT!R$18-3))*(Scenario_DT!R$12+$O307)-Scenario_DT!R$13)*(1-Scenario_DT!R$14)+Scenario_DT!R$13-Scenario_DT!R$15)*Scenario_DT!R$16</f>
        <v>3234.4772815604247</v>
      </c>
      <c r="AB307" s="17">
        <f>(Scenario_DT!$R$11*(1+$M307/Scenario_DT!$C$19)*(1+$N307)^7*(Scenario_DT!$R$12+$O307)*(1+MIN(DCF_FCFF!$C$26+$Q307,(DCF_FCFF!$C$25+$P307)-0.02))*(1-DCF_FCFF!$C$27)*(1-DCF_FCFF!$C$28)/((DCF_FCFF!$C$25+$P307)-MIN(DCF_FCFF!$C$26+$Q307,(DCF_FCFF!$C$25+$P307)-0.02)))*(1+(DCF_FCFF!$C$25+$P307))^(-(Inputs!$C$9+9))</f>
        <v>25391.357530044083</v>
      </c>
      <c r="AC307" s="17">
        <f>SUMPRODUCT(R307:AA307*(1+(DCF_FCFF!$C$25+$P307))^(-Scenario_DT!$I$17:$R$17))+AB307</f>
        <v>41386.637301248324</v>
      </c>
      <c r="AD307" s="68">
        <f>((AC307-DCF_FCFF!$C$48)*(1-DCF_FCFF!$C$50)+DCF_FCFF!$C$57+DCF_FCFF!$C$58)/DCF_FCFF!$C$60</f>
        <v>300.81632152003277</v>
      </c>
      <c r="AE307" s="6"/>
      <c r="AF307" s="6"/>
      <c r="AG307" s="6"/>
    </row>
    <row r="308" spans="1:33" x14ac:dyDescent="0.3">
      <c r="A308" s="6"/>
      <c r="B308" s="72">
        <v>277</v>
      </c>
      <c r="C308" s="73">
        <v>0.431076357637938</v>
      </c>
      <c r="D308" s="73">
        <v>3.5898886007358903E-2</v>
      </c>
      <c r="E308" s="73">
        <v>0.53460075128927498</v>
      </c>
      <c r="F308" s="73">
        <v>0.99354299678684699</v>
      </c>
      <c r="G308" s="73">
        <v>0.95870752597193398</v>
      </c>
      <c r="H308" s="15">
        <f t="shared" si="41"/>
        <v>-0.17363450189495458</v>
      </c>
      <c r="I308" s="15">
        <f t="shared" si="42"/>
        <v>-1.8003982813425405</v>
      </c>
      <c r="J308" s="15">
        <f t="shared" si="43"/>
        <v>8.684024516789722E-2</v>
      </c>
      <c r="K308" s="15">
        <f t="shared" si="44"/>
        <v>2.4861319748994477</v>
      </c>
      <c r="L308" s="15">
        <f t="shared" si="45"/>
        <v>1.7358806037199093</v>
      </c>
      <c r="M308" s="18">
        <f t="shared" si="46"/>
        <v>-3.4726900378990915E-3</v>
      </c>
      <c r="N308" s="18">
        <f t="shared" si="47"/>
        <v>-1.3168063196159683E-2</v>
      </c>
      <c r="O308" s="18">
        <f t="shared" si="48"/>
        <v>1.0420829420147667E-3</v>
      </c>
      <c r="P308" s="18">
        <f t="shared" si="49"/>
        <v>1.4916791849396687E-2</v>
      </c>
      <c r="Q308" s="18">
        <f t="shared" si="50"/>
        <v>6.9435224148796373E-3</v>
      </c>
      <c r="R308" s="28">
        <f>((Scenario_DT!I$11*(IF(Scenario_DT!I$18=1,1,1+$M308/Scenario_DT!$C$19)*(1+$N308)^MAX(0,Scenario_DT!I$18-3))*(Scenario_DT!I$12+$O308)-Scenario_DT!I$13)*(1-Scenario_DT!I$14)+Scenario_DT!I$13-Scenario_DT!I$15)*Scenario_DT!I$16</f>
        <v>912.45376233728734</v>
      </c>
      <c r="S308" s="28">
        <f>((Scenario_DT!J$11*(IF(Scenario_DT!J$18=1,1,1+$M308/Scenario_DT!$C$19)*(1+$N308)^MAX(0,Scenario_DT!J$18-3))*(Scenario_DT!J$12+$O308)-Scenario_DT!J$13)*(1-Scenario_DT!J$14)+Scenario_DT!J$13-Scenario_DT!J$15)*Scenario_DT!J$16</f>
        <v>1826.8138640442198</v>
      </c>
      <c r="T308" s="28">
        <f>((Scenario_DT!K$11*(IF(Scenario_DT!K$18=1,1,1+$M308/Scenario_DT!$C$19)*(1+$N308)^MAX(0,Scenario_DT!K$18-3))*(Scenario_DT!K$12+$O308)-Scenario_DT!K$13)*(1-Scenario_DT!K$14)+Scenario_DT!K$13-Scenario_DT!K$15)*Scenario_DT!K$16</f>
        <v>2091.0953837407455</v>
      </c>
      <c r="U308" s="28">
        <f>((Scenario_DT!L$11*(IF(Scenario_DT!L$18=1,1,1+$M308/Scenario_DT!$C$19)*(1+$N308)^MAX(0,Scenario_DT!L$18-3))*(Scenario_DT!L$12+$O308)-Scenario_DT!L$13)*(1-Scenario_DT!L$14)+Scenario_DT!L$13-Scenario_DT!L$15)*Scenario_DT!L$16</f>
        <v>2458.7568284176882</v>
      </c>
      <c r="V308" s="28">
        <f>((Scenario_DT!M$11*(IF(Scenario_DT!M$18=1,1,1+$M308/Scenario_DT!$C$19)*(1+$N308)^MAX(0,Scenario_DT!M$18-3))*(Scenario_DT!M$12+$O308)-Scenario_DT!M$13)*(1-Scenario_DT!M$14)+Scenario_DT!M$13-Scenario_DT!M$15)*Scenario_DT!M$16</f>
        <v>2546.7440015309026</v>
      </c>
      <c r="W308" s="28">
        <f>((Scenario_DT!N$11*(IF(Scenario_DT!N$18=1,1,1+$M308/Scenario_DT!$C$19)*(1+$N308)^MAX(0,Scenario_DT!N$18-3))*(Scenario_DT!N$12+$O308)-Scenario_DT!N$13)*(1-Scenario_DT!N$14)+Scenario_DT!N$13-Scenario_DT!N$15)*Scenario_DT!N$16</f>
        <v>2637.8492847106227</v>
      </c>
      <c r="X308" s="28">
        <f>((Scenario_DT!O$11*(IF(Scenario_DT!O$18=1,1,1+$M308/Scenario_DT!$C$19)*(1+$N308)^MAX(0,Scenario_DT!O$18-3))*(Scenario_DT!O$12+$O308)-Scenario_DT!O$13)*(1-Scenario_DT!O$14)+Scenario_DT!O$13-Scenario_DT!O$15)*Scenario_DT!O$16</f>
        <v>2732.1840002208314</v>
      </c>
      <c r="Y308" s="28">
        <f>((Scenario_DT!P$11*(IF(Scenario_DT!P$18=1,1,1+$M308/Scenario_DT!$C$19)*(1+$N308)^MAX(0,Scenario_DT!P$18-3))*(Scenario_DT!P$12+$O308)-Scenario_DT!P$13)*(1-Scenario_DT!P$14)+Scenario_DT!P$13-Scenario_DT!P$15)*Scenario_DT!P$16</f>
        <v>2829.8634469694111</v>
      </c>
      <c r="Z308" s="28">
        <f>((Scenario_DT!Q$11*(IF(Scenario_DT!Q$18=1,1,1+$M308/Scenario_DT!$C$19)*(1+$N308)^MAX(0,Scenario_DT!Q$18-3))*(Scenario_DT!Q$12+$O308)-Scenario_DT!Q$13)*(1-Scenario_DT!Q$14)+Scenario_DT!Q$13-Scenario_DT!Q$15)*Scenario_DT!Q$16</f>
        <v>2931.0070423293232</v>
      </c>
      <c r="AA308" s="28">
        <f>((Scenario_DT!R$11*(IF(Scenario_DT!R$18=1,1,1+$M308/Scenario_DT!$C$19)*(1+$N308)^MAX(0,Scenario_DT!R$18-3))*(Scenario_DT!R$12+$O308)-Scenario_DT!R$13)*(1-Scenario_DT!R$14)+Scenario_DT!R$13-Scenario_DT!R$15)*Scenario_DT!R$16</f>
        <v>3035.738469004792</v>
      </c>
      <c r="AB308" s="17">
        <f>(Scenario_DT!$R$11*(1+$M308/Scenario_DT!$C$19)*(1+$N308)^7*(Scenario_DT!$R$12+$O308)*(1+MIN(DCF_FCFF!$C$26+$Q308,(DCF_FCFF!$C$25+$P308)-0.02))*(1-DCF_FCFF!$C$27)*(1-DCF_FCFF!$C$28)/((DCF_FCFF!$C$25+$P308)-MIN(DCF_FCFF!$C$26+$Q308,(DCF_FCFF!$C$25+$P308)-0.02)))*(1+(DCF_FCFF!$C$25+$P308))^(-(Inputs!$C$9+9))</f>
        <v>19585.412017690691</v>
      </c>
      <c r="AC308" s="17">
        <f>SUMPRODUCT(R308:AA308*(1+(DCF_FCFF!$C$25+$P308))^(-Scenario_DT!$I$17:$R$17))+AB308</f>
        <v>34457.790813422936</v>
      </c>
      <c r="AD308" s="68">
        <f>((AC308-DCF_FCFF!$C$48)*(1-DCF_FCFF!$C$50)+DCF_FCFF!$C$57+DCF_FCFF!$C$58)/DCF_FCFF!$C$60</f>
        <v>234.30792829902259</v>
      </c>
      <c r="AE308" s="6"/>
      <c r="AF308" s="6"/>
      <c r="AG308" s="6"/>
    </row>
    <row r="309" spans="1:33" x14ac:dyDescent="0.3">
      <c r="A309" s="6"/>
      <c r="B309" s="72">
        <v>278</v>
      </c>
      <c r="C309" s="73">
        <v>4.0399228842163203E-2</v>
      </c>
      <c r="D309" s="73">
        <v>0.70579700362948805</v>
      </c>
      <c r="E309" s="73">
        <v>0.30176486669693098</v>
      </c>
      <c r="F309" s="73">
        <v>0.90298915340613695</v>
      </c>
      <c r="G309" s="73">
        <v>4.5114745709278502E-2</v>
      </c>
      <c r="H309" s="15">
        <f t="shared" si="41"/>
        <v>-1.7460719069614916</v>
      </c>
      <c r="I309" s="15">
        <f t="shared" si="42"/>
        <v>0.54114739507136111</v>
      </c>
      <c r="J309" s="15">
        <f t="shared" si="43"/>
        <v>-0.51933129511467979</v>
      </c>
      <c r="K309" s="15">
        <f t="shared" si="44"/>
        <v>1.298773436902539</v>
      </c>
      <c r="L309" s="15">
        <f t="shared" si="45"/>
        <v>-1.6941883840868337</v>
      </c>
      <c r="M309" s="18">
        <f t="shared" si="46"/>
        <v>-3.4921438139229835E-2</v>
      </c>
      <c r="N309" s="18">
        <f t="shared" si="47"/>
        <v>-3.2351084972573854E-3</v>
      </c>
      <c r="O309" s="18">
        <f t="shared" si="48"/>
        <v>-6.2319755413761573E-3</v>
      </c>
      <c r="P309" s="18">
        <f t="shared" si="49"/>
        <v>7.7926406214152344E-3</v>
      </c>
      <c r="Q309" s="18">
        <f t="shared" si="50"/>
        <v>-6.7767535363473345E-3</v>
      </c>
      <c r="R309" s="28">
        <f>((Scenario_DT!I$11*(IF(Scenario_DT!I$18=1,1,1+$M309/Scenario_DT!$C$19)*(1+$N309)^MAX(0,Scenario_DT!I$18-3))*(Scenario_DT!I$12+$O309)-Scenario_DT!I$13)*(1-Scenario_DT!I$14)+Scenario_DT!I$13-Scenario_DT!I$15)*Scenario_DT!I$16</f>
        <v>902.19812268401029</v>
      </c>
      <c r="S309" s="28">
        <f>((Scenario_DT!J$11*(IF(Scenario_DT!J$18=1,1,1+$M309/Scenario_DT!$C$19)*(1+$N309)^MAX(0,Scenario_DT!J$18-3))*(Scenario_DT!J$12+$O309)-Scenario_DT!J$13)*(1-Scenario_DT!J$14)+Scenario_DT!J$13-Scenario_DT!J$15)*Scenario_DT!J$16</f>
        <v>1729.5796609534768</v>
      </c>
      <c r="T309" s="28">
        <f>((Scenario_DT!K$11*(IF(Scenario_DT!K$18=1,1,1+$M309/Scenario_DT!$C$19)*(1+$N309)^MAX(0,Scenario_DT!K$18-3))*(Scenario_DT!K$12+$O309)-Scenario_DT!K$13)*(1-Scenario_DT!K$14)+Scenario_DT!K$13-Scenario_DT!K$15)*Scenario_DT!K$16</f>
        <v>1989.2595767235684</v>
      </c>
      <c r="U309" s="28">
        <f>((Scenario_DT!L$11*(IF(Scenario_DT!L$18=1,1,1+$M309/Scenario_DT!$C$19)*(1+$N309)^MAX(0,Scenario_DT!L$18-3))*(Scenario_DT!L$12+$O309)-Scenario_DT!L$13)*(1-Scenario_DT!L$14)+Scenario_DT!L$13-Scenario_DT!L$15)*Scenario_DT!L$16</f>
        <v>2375.8981758509044</v>
      </c>
      <c r="V309" s="28">
        <f>((Scenario_DT!M$11*(IF(Scenario_DT!M$18=1,1,1+$M309/Scenario_DT!$C$19)*(1+$N309)^MAX(0,Scenario_DT!M$18-3))*(Scenario_DT!M$12+$O309)-Scenario_DT!M$13)*(1-Scenario_DT!M$14)+Scenario_DT!M$13-Scenario_DT!M$15)*Scenario_DT!M$16</f>
        <v>2485.8437303884443</v>
      </c>
      <c r="W309" s="28">
        <f>((Scenario_DT!N$11*(IF(Scenario_DT!N$18=1,1,1+$M309/Scenario_DT!$C$19)*(1+$N309)^MAX(0,Scenario_DT!N$18-3))*(Scenario_DT!N$12+$O309)-Scenario_DT!N$13)*(1-Scenario_DT!N$14)+Scenario_DT!N$13-Scenario_DT!N$15)*Scenario_DT!N$16</f>
        <v>2600.8647198049598</v>
      </c>
      <c r="X309" s="28">
        <f>((Scenario_DT!O$11*(IF(Scenario_DT!O$18=1,1,1+$M309/Scenario_DT!$C$19)*(1+$N309)^MAX(0,Scenario_DT!O$18-3))*(Scenario_DT!O$12+$O309)-Scenario_DT!O$13)*(1-Scenario_DT!O$14)+Scenario_DT!O$13-Scenario_DT!O$15)*Scenario_DT!O$16</f>
        <v>2721.1974697521341</v>
      </c>
      <c r="Y309" s="28">
        <f>((Scenario_DT!P$11*(IF(Scenario_DT!P$18=1,1,1+$M309/Scenario_DT!$C$19)*(1+$N309)^MAX(0,Scenario_DT!P$18-3))*(Scenario_DT!P$12+$O309)-Scenario_DT!P$13)*(1-Scenario_DT!P$14)+Scenario_DT!P$13-Scenario_DT!P$15)*Scenario_DT!P$16</f>
        <v>2847.0893302313038</v>
      </c>
      <c r="Z309" s="28">
        <f>((Scenario_DT!Q$11*(IF(Scenario_DT!Q$18=1,1,1+$M309/Scenario_DT!$C$19)*(1+$N309)^MAX(0,Scenario_DT!Q$18-3))*(Scenario_DT!Q$12+$O309)-Scenario_DT!Q$13)*(1-Scenario_DT!Q$14)+Scenario_DT!Q$13-Scenario_DT!Q$15)*Scenario_DT!Q$16</f>
        <v>2978.7991900695238</v>
      </c>
      <c r="AA309" s="28">
        <f>((Scenario_DT!R$11*(IF(Scenario_DT!R$18=1,1,1+$M309/Scenario_DT!$C$19)*(1+$N309)^MAX(0,Scenario_DT!R$18-3))*(Scenario_DT!R$12+$O309)-Scenario_DT!R$13)*(1-Scenario_DT!R$14)+Scenario_DT!R$13-Scenario_DT!R$15)*Scenario_DT!R$16</f>
        <v>3116.5980154067406</v>
      </c>
      <c r="AB309" s="17">
        <f>(Scenario_DT!$R$11*(1+$M309/Scenario_DT!$C$19)*(1+$N309)^7*(Scenario_DT!$R$12+$O309)*(1+MIN(DCF_FCFF!$C$26+$Q309,(DCF_FCFF!$C$25+$P309)-0.02))*(1-DCF_FCFF!$C$27)*(1-DCF_FCFF!$C$28)/((DCF_FCFF!$C$25+$P309)-MIN(DCF_FCFF!$C$26+$Q309,(DCF_FCFF!$C$25+$P309)-0.02)))*(1+(DCF_FCFF!$C$25+$P309))^(-(Inputs!$C$9+9))</f>
        <v>18950.347293712875</v>
      </c>
      <c r="AC309" s="17">
        <f>SUMPRODUCT(R309:AA309*(1+(DCF_FCFF!$C$25+$P309))^(-Scenario_DT!$I$17:$R$17))+AB309</f>
        <v>34005.397856774238</v>
      </c>
      <c r="AD309" s="68">
        <f>((AC309-DCF_FCFF!$C$48)*(1-DCF_FCFF!$C$50)+DCF_FCFF!$C$57+DCF_FCFF!$C$58)/DCF_FCFF!$C$60</f>
        <v>229.96551304937401</v>
      </c>
      <c r="AE309" s="6"/>
      <c r="AF309" s="6"/>
      <c r="AG309" s="6"/>
    </row>
    <row r="310" spans="1:33" x14ac:dyDescent="0.3">
      <c r="A310" s="6"/>
      <c r="B310" s="72">
        <v>279</v>
      </c>
      <c r="C310" s="73">
        <v>0.93587410201108101</v>
      </c>
      <c r="D310" s="73">
        <v>0.837475743787777</v>
      </c>
      <c r="E310" s="73">
        <v>0.117504382252602</v>
      </c>
      <c r="F310" s="73">
        <v>5.9824337317299199E-2</v>
      </c>
      <c r="G310" s="73">
        <v>0.83470766432693599</v>
      </c>
      <c r="H310" s="15">
        <f t="shared" si="41"/>
        <v>1.5210320447121681</v>
      </c>
      <c r="I310" s="15">
        <f t="shared" si="42"/>
        <v>0.98413627653199787</v>
      </c>
      <c r="J310" s="15">
        <f t="shared" si="43"/>
        <v>-1.1875550284004897</v>
      </c>
      <c r="K310" s="15">
        <f t="shared" si="44"/>
        <v>-1.5562499214109577</v>
      </c>
      <c r="L310" s="15">
        <f t="shared" si="45"/>
        <v>0.97293688533336853</v>
      </c>
      <c r="M310" s="18">
        <f t="shared" si="46"/>
        <v>3.0420640894243362E-2</v>
      </c>
      <c r="N310" s="18">
        <f t="shared" si="47"/>
        <v>1.2902424308948971E-2</v>
      </c>
      <c r="O310" s="18">
        <f t="shared" si="48"/>
        <v>-1.4250660340805877E-2</v>
      </c>
      <c r="P310" s="18">
        <f t="shared" si="49"/>
        <v>-9.337499528465746E-3</v>
      </c>
      <c r="Q310" s="18">
        <f t="shared" si="50"/>
        <v>3.8917475413334742E-3</v>
      </c>
      <c r="R310" s="28">
        <f>((Scenario_DT!I$11*(IF(Scenario_DT!I$18=1,1,1+$M310/Scenario_DT!$C$19)*(1+$N310)^MAX(0,Scenario_DT!I$18-3))*(Scenario_DT!I$12+$O310)-Scenario_DT!I$13)*(1-Scenario_DT!I$14)+Scenario_DT!I$13-Scenario_DT!I$15)*Scenario_DT!I$16</f>
        <v>890.89264005915413</v>
      </c>
      <c r="S310" s="28">
        <f>((Scenario_DT!J$11*(IF(Scenario_DT!J$18=1,1,1+$M310/Scenario_DT!$C$19)*(1+$N310)^MAX(0,Scenario_DT!J$18-3))*(Scenario_DT!J$12+$O310)-Scenario_DT!J$13)*(1-Scenario_DT!J$14)+Scenario_DT!J$13-Scenario_DT!J$15)*Scenario_DT!J$16</f>
        <v>1859.0852454505334</v>
      </c>
      <c r="T310" s="28">
        <f>((Scenario_DT!K$11*(IF(Scenario_DT!K$18=1,1,1+$M310/Scenario_DT!$C$19)*(1+$N310)^MAX(0,Scenario_DT!K$18-3))*(Scenario_DT!K$12+$O310)-Scenario_DT!K$13)*(1-Scenario_DT!K$14)+Scenario_DT!K$13-Scenario_DT!K$15)*Scenario_DT!K$16</f>
        <v>2125.6915454063924</v>
      </c>
      <c r="U310" s="28">
        <f>((Scenario_DT!L$11*(IF(Scenario_DT!L$18=1,1,1+$M310/Scenario_DT!$C$19)*(1+$N310)^MAX(0,Scenario_DT!L$18-3))*(Scenario_DT!L$12+$O310)-Scenario_DT!L$13)*(1-Scenario_DT!L$14)+Scenario_DT!L$13-Scenario_DT!L$15)*Scenario_DT!L$16</f>
        <v>2561.3663332210508</v>
      </c>
      <c r="V310" s="28">
        <f>((Scenario_DT!M$11*(IF(Scenario_DT!M$18=1,1,1+$M310/Scenario_DT!$C$19)*(1+$N310)^MAX(0,Scenario_DT!M$18-3))*(Scenario_DT!M$12+$O310)-Scenario_DT!M$13)*(1-Scenario_DT!M$14)+Scenario_DT!M$13-Scenario_DT!M$15)*Scenario_DT!M$16</f>
        <v>2723.6420602930939</v>
      </c>
      <c r="W310" s="28">
        <f>((Scenario_DT!N$11*(IF(Scenario_DT!N$18=1,1,1+$M310/Scenario_DT!$C$19)*(1+$N310)^MAX(0,Scenario_DT!N$18-3))*(Scenario_DT!N$12+$O310)-Scenario_DT!N$13)*(1-Scenario_DT!N$14)+Scenario_DT!N$13-Scenario_DT!N$15)*Scenario_DT!N$16</f>
        <v>2896.2081597034953</v>
      </c>
      <c r="X310" s="28">
        <f>((Scenario_DT!O$11*(IF(Scenario_DT!O$18=1,1,1+$M310/Scenario_DT!$C$19)*(1+$N310)^MAX(0,Scenario_DT!O$18-3))*(Scenario_DT!O$12+$O310)-Scenario_DT!O$13)*(1-Scenario_DT!O$14)+Scenario_DT!O$13-Scenario_DT!O$15)*Scenario_DT!O$16</f>
        <v>3079.720409433321</v>
      </c>
      <c r="Y310" s="28">
        <f>((Scenario_DT!P$11*(IF(Scenario_DT!P$18=1,1,1+$M310/Scenario_DT!$C$19)*(1+$N310)^MAX(0,Scenario_DT!P$18-3))*(Scenario_DT!P$12+$O310)-Scenario_DT!P$13)*(1-Scenario_DT!P$14)+Scenario_DT!P$13-Scenario_DT!P$15)*Scenario_DT!P$16</f>
        <v>3274.8763706582217</v>
      </c>
      <c r="Z310" s="28">
        <f>((Scenario_DT!Q$11*(IF(Scenario_DT!Q$18=1,1,1+$M310/Scenario_DT!$C$19)*(1+$N310)^MAX(0,Scenario_DT!Q$18-3))*(Scenario_DT!Q$12+$O310)-Scenario_DT!Q$13)*(1-Scenario_DT!Q$14)+Scenario_DT!Q$13-Scenario_DT!Q$15)*Scenario_DT!Q$16</f>
        <v>3482.4180481179069</v>
      </c>
      <c r="AA310" s="28">
        <f>((Scenario_DT!R$11*(IF(Scenario_DT!R$18=1,1,1+$M310/Scenario_DT!$C$19)*(1+$N310)^MAX(0,Scenario_DT!R$18-3))*(Scenario_DT!R$12+$O310)-Scenario_DT!R$13)*(1-Scenario_DT!R$14)+Scenario_DT!R$13-Scenario_DT!R$15)*Scenario_DT!R$16</f>
        <v>3703.1347197755672</v>
      </c>
      <c r="AB310" s="17">
        <f>(Scenario_DT!$R$11*(1+$M310/Scenario_DT!$C$19)*(1+$N310)^7*(Scenario_DT!$R$12+$O310)*(1+MIN(DCF_FCFF!$C$26+$Q310,(DCF_FCFF!$C$25+$P310)-0.02))*(1-DCF_FCFF!$C$27)*(1-DCF_FCFF!$C$28)/((DCF_FCFF!$C$25+$P310)-MIN(DCF_FCFF!$C$26+$Q310,(DCF_FCFF!$C$25+$P310)-0.02)))*(1+(DCF_FCFF!$C$25+$P310))^(-(Inputs!$C$9+9))</f>
        <v>46082.590218492958</v>
      </c>
      <c r="AC310" s="17">
        <f>SUMPRODUCT(R310:AA310*(1+(DCF_FCFF!$C$25+$P310))^(-Scenario_DT!$I$17:$R$17))+AB310</f>
        <v>64047.082649272008</v>
      </c>
      <c r="AD310" s="68">
        <f>((AC310-DCF_FCFF!$C$48)*(1-DCF_FCFF!$C$50)+DCF_FCFF!$C$57+DCF_FCFF!$C$58)/DCF_FCFF!$C$60</f>
        <v>518.32868990886891</v>
      </c>
      <c r="AE310" s="6"/>
      <c r="AF310" s="6"/>
      <c r="AG310" s="6"/>
    </row>
    <row r="311" spans="1:33" x14ac:dyDescent="0.3">
      <c r="A311" s="6"/>
      <c r="B311" s="72">
        <v>280</v>
      </c>
      <c r="C311" s="73">
        <v>0.15575767097457899</v>
      </c>
      <c r="D311" s="73">
        <v>0.53489815297587096</v>
      </c>
      <c r="E311" s="73">
        <v>0.91574485787870996</v>
      </c>
      <c r="F311" s="73">
        <v>0.56744811354932301</v>
      </c>
      <c r="G311" s="73">
        <v>0.39723330147282399</v>
      </c>
      <c r="H311" s="15">
        <f t="shared" si="41"/>
        <v>-1.0120475013299415</v>
      </c>
      <c r="I311" s="15">
        <f t="shared" si="42"/>
        <v>8.7588561234431789E-2</v>
      </c>
      <c r="J311" s="15">
        <f t="shared" si="43"/>
        <v>1.3770063511655533</v>
      </c>
      <c r="K311" s="15">
        <f t="shared" si="44"/>
        <v>0.16988093746672597</v>
      </c>
      <c r="L311" s="15">
        <f t="shared" si="45"/>
        <v>-0.26051492660494319</v>
      </c>
      <c r="M311" s="18">
        <f t="shared" si="46"/>
        <v>-2.0240950026598831E-2</v>
      </c>
      <c r="N311" s="18">
        <f t="shared" si="47"/>
        <v>-3.4413586524401915E-3</v>
      </c>
      <c r="O311" s="18">
        <f t="shared" si="48"/>
        <v>1.652407621398664E-2</v>
      </c>
      <c r="P311" s="18">
        <f t="shared" si="49"/>
        <v>1.019285624800356E-3</v>
      </c>
      <c r="Q311" s="18">
        <f t="shared" si="50"/>
        <v>-1.0420597064197728E-3</v>
      </c>
      <c r="R311" s="28">
        <f>((Scenario_DT!I$11*(IF(Scenario_DT!I$18=1,1,1+$M311/Scenario_DT!$C$19)*(1+$N311)^MAX(0,Scenario_DT!I$18-3))*(Scenario_DT!I$12+$O311)-Scenario_DT!I$13)*(1-Scenario_DT!I$14)+Scenario_DT!I$13-Scenario_DT!I$15)*Scenario_DT!I$16</f>
        <v>934.28170673371267</v>
      </c>
      <c r="S311" s="28">
        <f>((Scenario_DT!J$11*(IF(Scenario_DT!J$18=1,1,1+$M311/Scenario_DT!$C$19)*(1+$N311)^MAX(0,Scenario_DT!J$18-3))*(Scenario_DT!J$12+$O311)-Scenario_DT!J$13)*(1-Scenario_DT!J$14)+Scenario_DT!J$13-Scenario_DT!J$15)*Scenario_DT!J$16</f>
        <v>1833.6535902206824</v>
      </c>
      <c r="T311" s="28">
        <f>((Scenario_DT!K$11*(IF(Scenario_DT!K$18=1,1,1+$M311/Scenario_DT!$C$19)*(1+$N311)^MAX(0,Scenario_DT!K$18-3))*(Scenario_DT!K$12+$O311)-Scenario_DT!K$13)*(1-Scenario_DT!K$14)+Scenario_DT!K$13-Scenario_DT!K$15)*Scenario_DT!K$16</f>
        <v>2097.6134279364069</v>
      </c>
      <c r="U311" s="28">
        <f>((Scenario_DT!L$11*(IF(Scenario_DT!L$18=1,1,1+$M311/Scenario_DT!$C$19)*(1+$N311)^MAX(0,Scenario_DT!L$18-3))*(Scenario_DT!L$12+$O311)-Scenario_DT!L$13)*(1-Scenario_DT!L$14)+Scenario_DT!L$13-Scenario_DT!L$15)*Scenario_DT!L$16</f>
        <v>2490.054774148075</v>
      </c>
      <c r="V311" s="28">
        <f>((Scenario_DT!M$11*(IF(Scenario_DT!M$18=1,1,1+$M311/Scenario_DT!$C$19)*(1+$N311)^MAX(0,Scenario_DT!M$18-3))*(Scenario_DT!M$12+$O311)-Scenario_DT!M$13)*(1-Scenario_DT!M$14)+Scenario_DT!M$13-Scenario_DT!M$15)*Scenario_DT!M$16</f>
        <v>2604.7774768086661</v>
      </c>
      <c r="W311" s="28">
        <f>((Scenario_DT!N$11*(IF(Scenario_DT!N$18=1,1,1+$M311/Scenario_DT!$C$19)*(1+$N311)^MAX(0,Scenario_DT!N$18-3))*(Scenario_DT!N$12+$O311)-Scenario_DT!N$13)*(1-Scenario_DT!N$14)+Scenario_DT!N$13-Scenario_DT!N$15)*Scenario_DT!N$16</f>
        <v>2724.7730608200895</v>
      </c>
      <c r="X311" s="28">
        <f>((Scenario_DT!O$11*(IF(Scenario_DT!O$18=1,1,1+$M311/Scenario_DT!$C$19)*(1+$N311)^MAX(0,Scenario_DT!O$18-3))*(Scenario_DT!O$12+$O311)-Scenario_DT!O$13)*(1-Scenario_DT!O$14)+Scenario_DT!O$13-Scenario_DT!O$15)*Scenario_DT!O$16</f>
        <v>2850.2858852773502</v>
      </c>
      <c r="Y311" s="28">
        <f>((Scenario_DT!P$11*(IF(Scenario_DT!P$18=1,1,1+$M311/Scenario_DT!$C$19)*(1+$N311)^MAX(0,Scenario_DT!P$18-3))*(Scenario_DT!P$12+$O311)-Scenario_DT!P$13)*(1-Scenario_DT!P$14)+Scenario_DT!P$13-Scenario_DT!P$15)*Scenario_DT!P$16</f>
        <v>2981.5716538208212</v>
      </c>
      <c r="Z311" s="28">
        <f>((Scenario_DT!Q$11*(IF(Scenario_DT!Q$18=1,1,1+$M311/Scenario_DT!$C$19)*(1+$N311)^MAX(0,Scenario_DT!Q$18-3))*(Scenario_DT!Q$12+$O311)-Scenario_DT!Q$13)*(1-Scenario_DT!Q$14)+Scenario_DT!Q$13-Scenario_DT!Q$15)*Scenario_DT!Q$16</f>
        <v>3118.8979415208432</v>
      </c>
      <c r="AA311" s="28">
        <f>((Scenario_DT!R$11*(IF(Scenario_DT!R$18=1,1,1+$M311/Scenario_DT!$C$19)*(1+$N311)^MAX(0,Scenario_DT!R$18-3))*(Scenario_DT!R$12+$O311)-Scenario_DT!R$13)*(1-Scenario_DT!R$14)+Scenario_DT!R$13-Scenario_DT!R$15)*Scenario_DT!R$16</f>
        <v>3262.5447462351071</v>
      </c>
      <c r="AB311" s="17">
        <f>(Scenario_DT!$R$11*(1+$M311/Scenario_DT!$C$19)*(1+$N311)^7*(Scenario_DT!$R$12+$O311)*(1+MIN(DCF_FCFF!$C$26+$Q311,(DCF_FCFF!$C$25+$P311)-0.02))*(1-DCF_FCFF!$C$27)*(1-DCF_FCFF!$C$28)/((DCF_FCFF!$C$25+$P311)-MIN(DCF_FCFF!$C$26+$Q311,(DCF_FCFF!$C$25+$P311)-0.02)))*(1+(DCF_FCFF!$C$25+$P311))^(-(Inputs!$C$9+9))</f>
        <v>26184.489948117342</v>
      </c>
      <c r="AC311" s="17">
        <f>SUMPRODUCT(R311:AA311*(1+(DCF_FCFF!$C$25+$P311))^(-Scenario_DT!$I$17:$R$17))+AB311</f>
        <v>42426.109112449034</v>
      </c>
      <c r="AD311" s="68">
        <f>((AC311-DCF_FCFF!$C$48)*(1-DCF_FCFF!$C$50)+DCF_FCFF!$C$57+DCF_FCFF!$C$58)/DCF_FCFF!$C$60</f>
        <v>310.79397076987061</v>
      </c>
      <c r="AE311" s="6"/>
      <c r="AF311" s="6"/>
      <c r="AG311" s="6"/>
    </row>
    <row r="312" spans="1:33" x14ac:dyDescent="0.3">
      <c r="A312" s="6"/>
      <c r="B312" s="72">
        <v>281</v>
      </c>
      <c r="C312" s="73">
        <v>0.44501605485399198</v>
      </c>
      <c r="D312" s="73">
        <v>6.3117170703871003E-2</v>
      </c>
      <c r="E312" s="73">
        <v>0.96875232136159894</v>
      </c>
      <c r="F312" s="73">
        <v>0.310654185081083</v>
      </c>
      <c r="G312" s="73">
        <v>0.18936349167285399</v>
      </c>
      <c r="H312" s="15">
        <f t="shared" si="41"/>
        <v>-0.13826357778774961</v>
      </c>
      <c r="I312" s="15">
        <f t="shared" si="42"/>
        <v>-1.5291214391488888</v>
      </c>
      <c r="J312" s="15">
        <f t="shared" si="43"/>
        <v>1.8627648509457657</v>
      </c>
      <c r="K312" s="15">
        <f t="shared" si="44"/>
        <v>-0.49399689808656372</v>
      </c>
      <c r="L312" s="15">
        <f t="shared" si="45"/>
        <v>-0.8802442931636022</v>
      </c>
      <c r="M312" s="18">
        <f t="shared" si="46"/>
        <v>-2.7652715557549925E-3</v>
      </c>
      <c r="N312" s="18">
        <f t="shared" si="47"/>
        <v>-1.1147118405345864E-2</v>
      </c>
      <c r="O312" s="18">
        <f t="shared" si="48"/>
        <v>2.2353178211349189E-2</v>
      </c>
      <c r="P312" s="18">
        <f t="shared" si="49"/>
        <v>-2.9639813885193825E-3</v>
      </c>
      <c r="Q312" s="18">
        <f t="shared" si="50"/>
        <v>-3.5209771726544088E-3</v>
      </c>
      <c r="R312" s="28">
        <f>((Scenario_DT!I$11*(IF(Scenario_DT!I$18=1,1,1+$M312/Scenario_DT!$C$19)*(1+$N312)^MAX(0,Scenario_DT!I$18-3))*(Scenario_DT!I$12+$O312)-Scenario_DT!I$13)*(1-Scenario_DT!I$14)+Scenario_DT!I$13-Scenario_DT!I$15)*Scenario_DT!I$16</f>
        <v>942.50011324276784</v>
      </c>
      <c r="S312" s="28">
        <f>((Scenario_DT!J$11*(IF(Scenario_DT!J$18=1,1,1+$M312/Scenario_DT!$C$19)*(1+$N312)^MAX(0,Scenario_DT!J$18-3))*(Scenario_DT!J$12+$O312)-Scenario_DT!J$13)*(1-Scenario_DT!J$14)+Scenario_DT!J$13-Scenario_DT!J$15)*Scenario_DT!J$16</f>
        <v>1894.5457888202614</v>
      </c>
      <c r="T312" s="28">
        <f>((Scenario_DT!K$11*(IF(Scenario_DT!K$18=1,1,1+$M312/Scenario_DT!$C$19)*(1+$N312)^MAX(0,Scenario_DT!K$18-3))*(Scenario_DT!K$12+$O312)-Scenario_DT!K$13)*(1-Scenario_DT!K$14)+Scenario_DT!K$13-Scenario_DT!K$15)*Scenario_DT!K$16</f>
        <v>2161.311901156188</v>
      </c>
      <c r="U312" s="28">
        <f>((Scenario_DT!L$11*(IF(Scenario_DT!L$18=1,1,1+$M312/Scenario_DT!$C$19)*(1+$N312)^MAX(0,Scenario_DT!L$18-3))*(Scenario_DT!L$12+$O312)-Scenario_DT!L$13)*(1-Scenario_DT!L$14)+Scenario_DT!L$13-Scenario_DT!L$15)*Scenario_DT!L$16</f>
        <v>2537.5499235276307</v>
      </c>
      <c r="V312" s="28">
        <f>((Scenario_DT!M$11*(IF(Scenario_DT!M$18=1,1,1+$M312/Scenario_DT!$C$19)*(1+$N312)^MAX(0,Scenario_DT!M$18-3))*(Scenario_DT!M$12+$O312)-Scenario_DT!M$13)*(1-Scenario_DT!M$14)+Scenario_DT!M$13-Scenario_DT!M$15)*Scenario_DT!M$16</f>
        <v>2633.807790391666</v>
      </c>
      <c r="W312" s="28">
        <f>((Scenario_DT!N$11*(IF(Scenario_DT!N$18=1,1,1+$M312/Scenario_DT!$C$19)*(1+$N312)^MAX(0,Scenario_DT!N$18-3))*(Scenario_DT!N$12+$O312)-Scenario_DT!N$13)*(1-Scenario_DT!N$14)+Scenario_DT!N$13-Scenario_DT!N$15)*Scenario_DT!N$16</f>
        <v>2733.6905272534509</v>
      </c>
      <c r="X312" s="28">
        <f>((Scenario_DT!O$11*(IF(Scenario_DT!O$18=1,1,1+$M312/Scenario_DT!$C$19)*(1+$N312)^MAX(0,Scenario_DT!O$18-3))*(Scenario_DT!O$12+$O312)-Scenario_DT!O$13)*(1-Scenario_DT!O$14)+Scenario_DT!O$13-Scenario_DT!O$15)*Scenario_DT!O$16</f>
        <v>2837.3357370486028</v>
      </c>
      <c r="Y312" s="28">
        <f>((Scenario_DT!P$11*(IF(Scenario_DT!P$18=1,1,1+$M312/Scenario_DT!$C$19)*(1+$N312)^MAX(0,Scenario_DT!P$18-3))*(Scenario_DT!P$12+$O312)-Scenario_DT!P$13)*(1-Scenario_DT!P$14)+Scenario_DT!P$13-Scenario_DT!P$15)*Scenario_DT!P$16</f>
        <v>2944.8862544468625</v>
      </c>
      <c r="Z312" s="28">
        <f>((Scenario_DT!Q$11*(IF(Scenario_DT!Q$18=1,1,1+$M312/Scenario_DT!$C$19)*(1+$N312)^MAX(0,Scenario_DT!Q$18-3))*(Scenario_DT!Q$12+$O312)-Scenario_DT!Q$13)*(1-Scenario_DT!Q$14)+Scenario_DT!Q$13-Scenario_DT!Q$15)*Scenario_DT!Q$16</f>
        <v>3056.4903447324577</v>
      </c>
      <c r="AA312" s="28">
        <f>((Scenario_DT!R$11*(IF(Scenario_DT!R$18=1,1,1+$M312/Scenario_DT!$C$19)*(1+$N312)^MAX(0,Scenario_DT!R$18-3))*(Scenario_DT!R$12+$O312)-Scenario_DT!R$13)*(1-Scenario_DT!R$14)+Scenario_DT!R$13-Scenario_DT!R$15)*Scenario_DT!R$16</f>
        <v>3172.301910239948</v>
      </c>
      <c r="AB312" s="17">
        <f>(Scenario_DT!$R$11*(1+$M312/Scenario_DT!$C$19)*(1+$N312)^7*(Scenario_DT!$R$12+$O312)*(1+MIN(DCF_FCFF!$C$26+$Q312,(DCF_FCFF!$C$25+$P312)-0.02))*(1-DCF_FCFF!$C$27)*(1-DCF_FCFF!$C$28)/((DCF_FCFF!$C$25+$P312)-MIN(DCF_FCFF!$C$26+$Q312,(DCF_FCFF!$C$25+$P312)-0.02)))*(1+(DCF_FCFF!$C$25+$P312))^(-(Inputs!$C$9+9))</f>
        <v>27077.359182449869</v>
      </c>
      <c r="AC312" s="17">
        <f>SUMPRODUCT(R312:AA312*(1+(DCF_FCFF!$C$25+$P312))^(-Scenario_DT!$I$17:$R$17))+AB312</f>
        <v>43672.542703336483</v>
      </c>
      <c r="AD312" s="68">
        <f>((AC312-DCF_FCFF!$C$48)*(1-DCF_FCFF!$C$50)+DCF_FCFF!$C$57+DCF_FCFF!$C$58)/DCF_FCFF!$C$60</f>
        <v>322.75819822566399</v>
      </c>
      <c r="AE312" s="6"/>
      <c r="AF312" s="6"/>
      <c r="AG312" s="6"/>
    </row>
    <row r="313" spans="1:33" x14ac:dyDescent="0.3">
      <c r="A313" s="6"/>
      <c r="B313" s="72">
        <v>282</v>
      </c>
      <c r="C313" s="73">
        <v>0.28604730184039501</v>
      </c>
      <c r="D313" s="73">
        <v>0.96437319489147899</v>
      </c>
      <c r="E313" s="73">
        <v>9.4286053488007004E-2</v>
      </c>
      <c r="F313" s="73">
        <v>0.86730304050118101</v>
      </c>
      <c r="G313" s="73">
        <v>0.70784389440144801</v>
      </c>
      <c r="H313" s="15">
        <f t="shared" si="41"/>
        <v>-0.56496936186540214</v>
      </c>
      <c r="I313" s="15">
        <f t="shared" si="42"/>
        <v>1.8038577474321087</v>
      </c>
      <c r="J313" s="15">
        <f t="shared" si="43"/>
        <v>-1.3148149345554221</v>
      </c>
      <c r="K313" s="15">
        <f t="shared" si="44"/>
        <v>1.113732600872396</v>
      </c>
      <c r="L313" s="15">
        <f t="shared" si="45"/>
        <v>0.54709682826101713</v>
      </c>
      <c r="M313" s="18">
        <f t="shared" si="46"/>
        <v>-1.1299387237308042E-2</v>
      </c>
      <c r="N313" s="18">
        <f t="shared" si="47"/>
        <v>1.023761562525503E-2</v>
      </c>
      <c r="O313" s="18">
        <f t="shared" si="48"/>
        <v>-1.5777779214665066E-2</v>
      </c>
      <c r="P313" s="18">
        <f t="shared" si="49"/>
        <v>6.6823956052343763E-3</v>
      </c>
      <c r="Q313" s="18">
        <f t="shared" si="50"/>
        <v>2.1883873130440685E-3</v>
      </c>
      <c r="R313" s="28">
        <f>((Scenario_DT!I$11*(IF(Scenario_DT!I$18=1,1,1+$M313/Scenario_DT!$C$19)*(1+$N313)^MAX(0,Scenario_DT!I$18-3))*(Scenario_DT!I$12+$O313)-Scenario_DT!I$13)*(1-Scenario_DT!I$14)+Scenario_DT!I$13-Scenario_DT!I$15)*Scenario_DT!I$16</f>
        <v>888.73956679011474</v>
      </c>
      <c r="S313" s="28">
        <f>((Scenario_DT!J$11*(IF(Scenario_DT!J$18=1,1,1+$M313/Scenario_DT!$C$19)*(1+$N313)^MAX(0,Scenario_DT!J$18-3))*(Scenario_DT!J$12+$O313)-Scenario_DT!J$13)*(1-Scenario_DT!J$14)+Scenario_DT!J$13-Scenario_DT!J$15)*Scenario_DT!J$16</f>
        <v>1756.3884823156368</v>
      </c>
      <c r="T313" s="28">
        <f>((Scenario_DT!K$11*(IF(Scenario_DT!K$18=1,1,1+$M313/Scenario_DT!$C$19)*(1+$N313)^MAX(0,Scenario_DT!K$18-3))*(Scenario_DT!K$12+$O313)-Scenario_DT!K$13)*(1-Scenario_DT!K$14)+Scenario_DT!K$13-Scenario_DT!K$15)*Scenario_DT!K$16</f>
        <v>2017.845493427671</v>
      </c>
      <c r="U313" s="28">
        <f>((Scenario_DT!L$11*(IF(Scenario_DT!L$18=1,1,1+$M313/Scenario_DT!$C$19)*(1+$N313)^MAX(0,Scenario_DT!L$18-3))*(Scenario_DT!L$12+$O313)-Scenario_DT!L$13)*(1-Scenario_DT!L$14)+Scenario_DT!L$13-Scenario_DT!L$15)*Scenario_DT!L$16</f>
        <v>2438.9025767735643</v>
      </c>
      <c r="V313" s="28">
        <f>((Scenario_DT!M$11*(IF(Scenario_DT!M$18=1,1,1+$M313/Scenario_DT!$C$19)*(1+$N313)^MAX(0,Scenario_DT!M$18-3))*(Scenario_DT!M$12+$O313)-Scenario_DT!M$13)*(1-Scenario_DT!M$14)+Scenario_DT!M$13-Scenario_DT!M$15)*Scenario_DT!M$16</f>
        <v>2586.5246467627308</v>
      </c>
      <c r="W313" s="28">
        <f>((Scenario_DT!N$11*(IF(Scenario_DT!N$18=1,1,1+$M313/Scenario_DT!$C$19)*(1+$N313)^MAX(0,Scenario_DT!N$18-3))*(Scenario_DT!N$12+$O313)-Scenario_DT!N$13)*(1-Scenario_DT!N$14)+Scenario_DT!N$13-Scenario_DT!N$15)*Scenario_DT!N$16</f>
        <v>2743.0884519139122</v>
      </c>
      <c r="X313" s="28">
        <f>((Scenario_DT!O$11*(IF(Scenario_DT!O$18=1,1,1+$M313/Scenario_DT!$C$19)*(1+$N313)^MAX(0,Scenario_DT!O$18-3))*(Scenario_DT!O$12+$O313)-Scenario_DT!O$13)*(1-Scenario_DT!O$14)+Scenario_DT!O$13-Scenario_DT!O$15)*Scenario_DT!O$16</f>
        <v>2909.1387087669596</v>
      </c>
      <c r="Y313" s="28">
        <f>((Scenario_DT!P$11*(IF(Scenario_DT!P$18=1,1,1+$M313/Scenario_DT!$C$19)*(1+$N313)^MAX(0,Scenario_DT!P$18-3))*(Scenario_DT!P$12+$O313)-Scenario_DT!P$13)*(1-Scenario_DT!P$14)+Scenario_DT!P$13-Scenario_DT!P$15)*Scenario_DT!P$16</f>
        <v>3085.2533188364091</v>
      </c>
      <c r="Z313" s="28">
        <f>((Scenario_DT!Q$11*(IF(Scenario_DT!Q$18=1,1,1+$M313/Scenario_DT!$C$19)*(1+$N313)^MAX(0,Scenario_DT!Q$18-3))*(Scenario_DT!Q$12+$O313)-Scenario_DT!Q$13)*(1-Scenario_DT!Q$14)+Scenario_DT!Q$13-Scenario_DT!Q$15)*Scenario_DT!Q$16</f>
        <v>3272.0453889982909</v>
      </c>
      <c r="AA313" s="28">
        <f>((Scenario_DT!R$11*(IF(Scenario_DT!R$18=1,1,1+$M313/Scenario_DT!$C$19)*(1+$N313)^MAX(0,Scenario_DT!R$18-3))*(Scenario_DT!R$12+$O313)-Scenario_DT!R$13)*(1-Scenario_DT!R$14)+Scenario_DT!R$13-Scenario_DT!R$15)*Scenario_DT!R$16</f>
        <v>3470.1653748121862</v>
      </c>
      <c r="AB313" s="17">
        <f>(Scenario_DT!$R$11*(1+$M313/Scenario_DT!$C$19)*(1+$N313)^7*(Scenario_DT!$R$12+$O313)*(1+MIN(DCF_FCFF!$C$26+$Q313,(DCF_FCFF!$C$25+$P313)-0.02))*(1-DCF_FCFF!$C$27)*(1-DCF_FCFF!$C$28)/((DCF_FCFF!$C$25+$P313)-MIN(DCF_FCFF!$C$26+$Q313,(DCF_FCFF!$C$25+$P313)-0.02)))*(1+(DCF_FCFF!$C$25+$P313))^(-(Inputs!$C$9+9))</f>
        <v>25409.086593037358</v>
      </c>
      <c r="AC313" s="17">
        <f>SUMPRODUCT(R313:AA313*(1+(DCF_FCFF!$C$25+$P313))^(-Scenario_DT!$I$17:$R$17))+AB313</f>
        <v>41302.777461193989</v>
      </c>
      <c r="AD313" s="68">
        <f>((AC313-DCF_FCFF!$C$48)*(1-DCF_FCFF!$C$50)+DCF_FCFF!$C$57+DCF_FCFF!$C$58)/DCF_FCFF!$C$60</f>
        <v>300.01137033117544</v>
      </c>
      <c r="AE313" s="6"/>
      <c r="AF313" s="6"/>
      <c r="AG313" s="6"/>
    </row>
    <row r="314" spans="1:33" x14ac:dyDescent="0.3">
      <c r="A314" s="6"/>
      <c r="B314" s="72">
        <v>283</v>
      </c>
      <c r="C314" s="73">
        <v>0.83001917915902801</v>
      </c>
      <c r="D314" s="73">
        <v>0.975897540367896</v>
      </c>
      <c r="E314" s="73">
        <v>0.84215465551687196</v>
      </c>
      <c r="F314" s="73">
        <v>0.94338235127785297</v>
      </c>
      <c r="G314" s="73">
        <v>0.12693525679091999</v>
      </c>
      <c r="H314" s="15">
        <f t="shared" si="41"/>
        <v>0.95424104680112554</v>
      </c>
      <c r="I314" s="15">
        <f t="shared" si="42"/>
        <v>1.9755574726175618</v>
      </c>
      <c r="J314" s="15">
        <f t="shared" si="43"/>
        <v>1.003352758655889</v>
      </c>
      <c r="K314" s="15">
        <f t="shared" si="44"/>
        <v>1.583817316674575</v>
      </c>
      <c r="L314" s="15">
        <f t="shared" si="45"/>
        <v>-1.1409985808025647</v>
      </c>
      <c r="M314" s="18">
        <f t="shared" si="46"/>
        <v>1.9084820936022512E-2</v>
      </c>
      <c r="N314" s="18">
        <f t="shared" si="47"/>
        <v>1.7504027850588414E-2</v>
      </c>
      <c r="O314" s="18">
        <f t="shared" si="48"/>
        <v>1.2040233103870668E-2</v>
      </c>
      <c r="P314" s="18">
        <f t="shared" si="49"/>
        <v>9.5029039000474498E-3</v>
      </c>
      <c r="Q314" s="18">
        <f t="shared" si="50"/>
        <v>-4.5639943232102589E-3</v>
      </c>
      <c r="R314" s="28">
        <f>((Scenario_DT!I$11*(IF(Scenario_DT!I$18=1,1,1+$M314/Scenario_DT!$C$19)*(1+$N314)^MAX(0,Scenario_DT!I$18-3))*(Scenario_DT!I$12+$O314)-Scenario_DT!I$13)*(1-Scenario_DT!I$14)+Scenario_DT!I$13-Scenario_DT!I$15)*Scenario_DT!I$16</f>
        <v>927.95997048369816</v>
      </c>
      <c r="S314" s="28">
        <f>((Scenario_DT!J$11*(IF(Scenario_DT!J$18=1,1,1+$M314/Scenario_DT!$C$19)*(1+$N314)^MAX(0,Scenario_DT!J$18-3))*(Scenario_DT!J$12+$O314)-Scenario_DT!J$13)*(1-Scenario_DT!J$14)+Scenario_DT!J$13-Scenario_DT!J$15)*Scenario_DT!J$16</f>
        <v>1915.8177752039346</v>
      </c>
      <c r="T314" s="28">
        <f>((Scenario_DT!K$11*(IF(Scenario_DT!K$18=1,1,1+$M314/Scenario_DT!$C$19)*(1+$N314)^MAX(0,Scenario_DT!K$18-3))*(Scenario_DT!K$12+$O314)-Scenario_DT!K$13)*(1-Scenario_DT!K$14)+Scenario_DT!K$13-Scenario_DT!K$15)*Scenario_DT!K$16</f>
        <v>2184.0995929174564</v>
      </c>
      <c r="U314" s="28">
        <f>((Scenario_DT!L$11*(IF(Scenario_DT!L$18=1,1,1+$M314/Scenario_DT!$C$19)*(1+$N314)^MAX(0,Scenario_DT!L$18-3))*(Scenario_DT!L$12+$O314)-Scenario_DT!L$13)*(1-Scenario_DT!L$14)+Scenario_DT!L$13-Scenario_DT!L$15)*Scenario_DT!L$16</f>
        <v>2636.1811105538263</v>
      </c>
      <c r="V314" s="28">
        <f>((Scenario_DT!M$11*(IF(Scenario_DT!M$18=1,1,1+$M314/Scenario_DT!$C$19)*(1+$N314)^MAX(0,Scenario_DT!M$18-3))*(Scenario_DT!M$12+$O314)-Scenario_DT!M$13)*(1-Scenario_DT!M$14)+Scenario_DT!M$13-Scenario_DT!M$15)*Scenario_DT!M$16</f>
        <v>2816.0298605258204</v>
      </c>
      <c r="W314" s="28">
        <f>((Scenario_DT!N$11*(IF(Scenario_DT!N$18=1,1,1+$M314/Scenario_DT!$C$19)*(1+$N314)^MAX(0,Scenario_DT!N$18-3))*(Scenario_DT!N$12+$O314)-Scenario_DT!N$13)*(1-Scenario_DT!N$14)+Scenario_DT!N$13-Scenario_DT!N$15)*Scenario_DT!N$16</f>
        <v>3008.1622400105502</v>
      </c>
      <c r="X314" s="28">
        <f>((Scenario_DT!O$11*(IF(Scenario_DT!O$18=1,1,1+$M314/Scenario_DT!$C$19)*(1+$N314)^MAX(0,Scenario_DT!O$18-3))*(Scenario_DT!O$12+$O314)-Scenario_DT!O$13)*(1-Scenario_DT!O$14)+Scenario_DT!O$13-Scenario_DT!O$15)*Scenario_DT!O$16</f>
        <v>3213.4206303574174</v>
      </c>
      <c r="Y314" s="28">
        <f>((Scenario_DT!P$11*(IF(Scenario_DT!P$18=1,1,1+$M314/Scenario_DT!$C$19)*(1+$N314)^MAX(0,Scenario_DT!P$18-3))*(Scenario_DT!P$12+$O314)-Scenario_DT!P$13)*(1-Scenario_DT!P$14)+Scenario_DT!P$13-Scenario_DT!P$15)*Scenario_DT!P$16</f>
        <v>3432.7051527264025</v>
      </c>
      <c r="Z314" s="28">
        <f>((Scenario_DT!Q$11*(IF(Scenario_DT!Q$18=1,1,1+$M314/Scenario_DT!$C$19)*(1+$N314)^MAX(0,Scenario_DT!Q$18-3))*(Scenario_DT!Q$12+$O314)-Scenario_DT!Q$13)*(1-Scenario_DT!Q$14)+Scenario_DT!Q$13-Scenario_DT!Q$15)*Scenario_DT!Q$16</f>
        <v>3666.9776227088041</v>
      </c>
      <c r="AA314" s="28">
        <f>((Scenario_DT!R$11*(IF(Scenario_DT!R$18=1,1,1+$M314/Scenario_DT!$C$19)*(1+$N314)^MAX(0,Scenario_DT!R$18-3))*(Scenario_DT!R$12+$O314)-Scenario_DT!R$13)*(1-Scenario_DT!R$14)+Scenario_DT!R$13-Scenario_DT!R$15)*Scenario_DT!R$16</f>
        <v>3917.2657756475178</v>
      </c>
      <c r="AB314" s="17">
        <f>(Scenario_DT!$R$11*(1+$M314/Scenario_DT!$C$19)*(1+$N314)^7*(Scenario_DT!$R$12+$O314)*(1+MIN(DCF_FCFF!$C$26+$Q314,(DCF_FCFF!$C$25+$P314)-0.02))*(1-DCF_FCFF!$C$27)*(1-DCF_FCFF!$C$28)/((DCF_FCFF!$C$25+$P314)-MIN(DCF_FCFF!$C$26+$Q314,(DCF_FCFF!$C$25+$P314)-0.02)))*(1+(DCF_FCFF!$C$25+$P314))^(-(Inputs!$C$9+9))</f>
        <v>23660.445230538979</v>
      </c>
      <c r="AC314" s="17">
        <f>SUMPRODUCT(R314:AA314*(1+(DCF_FCFF!$C$25+$P314))^(-Scenario_DT!$I$17:$R$17))+AB314</f>
        <v>40885.618134567383</v>
      </c>
      <c r="AD314" s="68">
        <f>((AC314-DCF_FCFF!$C$48)*(1-DCF_FCFF!$C$50)+DCF_FCFF!$C$57+DCF_FCFF!$C$58)/DCF_FCFF!$C$60</f>
        <v>296.0071545385693</v>
      </c>
      <c r="AE314" s="6"/>
      <c r="AF314" s="6"/>
      <c r="AG314" s="6"/>
    </row>
    <row r="315" spans="1:33" x14ac:dyDescent="0.3">
      <c r="A315" s="6"/>
      <c r="B315" s="72">
        <v>284</v>
      </c>
      <c r="C315" s="73">
        <v>0.79578856516697005</v>
      </c>
      <c r="D315" s="73">
        <v>0.54567569408104799</v>
      </c>
      <c r="E315" s="73">
        <v>0.543495595079861</v>
      </c>
      <c r="F315" s="73">
        <v>0.89892157632051395</v>
      </c>
      <c r="G315" s="73">
        <v>0.97180381864671095</v>
      </c>
      <c r="H315" s="15">
        <f t="shared" si="41"/>
        <v>0.82667222243934746</v>
      </c>
      <c r="I315" s="15">
        <f t="shared" si="42"/>
        <v>0.1147432751340661</v>
      </c>
      <c r="J315" s="15">
        <f t="shared" si="43"/>
        <v>0.10924419205887977</v>
      </c>
      <c r="K315" s="15">
        <f t="shared" si="44"/>
        <v>1.2754306741822763</v>
      </c>
      <c r="L315" s="15">
        <f t="shared" si="45"/>
        <v>1.9079911300660943</v>
      </c>
      <c r="M315" s="18">
        <f t="shared" si="46"/>
        <v>1.653344444878695E-2</v>
      </c>
      <c r="N315" s="18">
        <f t="shared" si="47"/>
        <v>4.1016536191936176E-3</v>
      </c>
      <c r="O315" s="18">
        <f t="shared" si="48"/>
        <v>1.3109303047065572E-3</v>
      </c>
      <c r="P315" s="18">
        <f t="shared" si="49"/>
        <v>7.6525840450936576E-3</v>
      </c>
      <c r="Q315" s="18">
        <f t="shared" si="50"/>
        <v>7.6319645202643773E-3</v>
      </c>
      <c r="R315" s="28">
        <f>((Scenario_DT!I$11*(IF(Scenario_DT!I$18=1,1,1+$M315/Scenario_DT!$C$19)*(1+$N315)^MAX(0,Scenario_DT!I$18-3))*(Scenario_DT!I$12+$O315)-Scenario_DT!I$13)*(1-Scenario_DT!I$14)+Scenario_DT!I$13-Scenario_DT!I$15)*Scenario_DT!I$16</f>
        <v>912.83280818628555</v>
      </c>
      <c r="S315" s="28">
        <f>((Scenario_DT!J$11*(IF(Scenario_DT!J$18=1,1,1+$M315/Scenario_DT!$C$19)*(1+$N315)^MAX(0,Scenario_DT!J$18-3))*(Scenario_DT!J$12+$O315)-Scenario_DT!J$13)*(1-Scenario_DT!J$14)+Scenario_DT!J$13-Scenario_DT!J$15)*Scenario_DT!J$16</f>
        <v>1875.6727969910921</v>
      </c>
      <c r="T315" s="28">
        <f>((Scenario_DT!K$11*(IF(Scenario_DT!K$18=1,1,1+$M315/Scenario_DT!$C$19)*(1+$N315)^MAX(0,Scenario_DT!K$18-3))*(Scenario_DT!K$12+$O315)-Scenario_DT!K$13)*(1-Scenario_DT!K$14)+Scenario_DT!K$13-Scenario_DT!K$15)*Scenario_DT!K$16</f>
        <v>2142.4094918487276</v>
      </c>
      <c r="U315" s="28">
        <f>((Scenario_DT!L$11*(IF(Scenario_DT!L$18=1,1,1+$M315/Scenario_DT!$C$19)*(1+$N315)^MAX(0,Scenario_DT!L$18-3))*(Scenario_DT!L$12+$O315)-Scenario_DT!L$13)*(1-Scenario_DT!L$14)+Scenario_DT!L$13-Scenario_DT!L$15)*Scenario_DT!L$16</f>
        <v>2556.7883957023664</v>
      </c>
      <c r="V315" s="28">
        <f>((Scenario_DT!M$11*(IF(Scenario_DT!M$18=1,1,1+$M315/Scenario_DT!$C$19)*(1+$N315)^MAX(0,Scenario_DT!M$18-3))*(Scenario_DT!M$12+$O315)-Scenario_DT!M$13)*(1-Scenario_DT!M$14)+Scenario_DT!M$13-Scenario_DT!M$15)*Scenario_DT!M$16</f>
        <v>2694.9904747489072</v>
      </c>
      <c r="W315" s="28">
        <f>((Scenario_DT!N$11*(IF(Scenario_DT!N$18=1,1,1+$M315/Scenario_DT!$C$19)*(1+$N315)^MAX(0,Scenario_DT!N$18-3))*(Scenario_DT!N$12+$O315)-Scenario_DT!N$13)*(1-Scenario_DT!N$14)+Scenario_DT!N$13-Scenario_DT!N$15)*Scenario_DT!N$16</f>
        <v>2840.6615423709891</v>
      </c>
      <c r="X315" s="28">
        <f>((Scenario_DT!O$11*(IF(Scenario_DT!O$18=1,1,1+$M315/Scenario_DT!$C$19)*(1+$N315)^MAX(0,Scenario_DT!O$18-3))*(Scenario_DT!O$12+$O315)-Scenario_DT!O$13)*(1-Scenario_DT!O$14)+Scenario_DT!O$13-Scenario_DT!O$15)*Scenario_DT!O$16</f>
        <v>2994.2079439914351</v>
      </c>
      <c r="Y315" s="28">
        <f>((Scenario_DT!P$11*(IF(Scenario_DT!P$18=1,1,1+$M315/Scenario_DT!$C$19)*(1+$N315)^MAX(0,Scenario_DT!P$18-3))*(Scenario_DT!P$12+$O315)-Scenario_DT!P$13)*(1-Scenario_DT!P$14)+Scenario_DT!P$13-Scenario_DT!P$15)*Scenario_DT!P$16</f>
        <v>3156.0581482967141</v>
      </c>
      <c r="Z315" s="28">
        <f>((Scenario_DT!Q$11*(IF(Scenario_DT!Q$18=1,1,1+$M315/Scenario_DT!$C$19)*(1+$N315)^MAX(0,Scenario_DT!Q$18-3))*(Scenario_DT!Q$12+$O315)-Scenario_DT!Q$13)*(1-Scenario_DT!Q$14)+Scenario_DT!Q$13-Scenario_DT!Q$15)*Scenario_DT!Q$16</f>
        <v>3326.6639514060494</v>
      </c>
      <c r="AA315" s="28">
        <f>((Scenario_DT!R$11*(IF(Scenario_DT!R$18=1,1,1+$M315/Scenario_DT!$C$19)*(1+$N315)^MAX(0,Scenario_DT!R$18-3))*(Scenario_DT!R$12+$O315)-Scenario_DT!R$13)*(1-Scenario_DT!R$14)+Scenario_DT!R$13-Scenario_DT!R$15)*Scenario_DT!R$16</f>
        <v>3506.5017465586166</v>
      </c>
      <c r="AB315" s="17">
        <f>(Scenario_DT!$R$11*(1+$M315/Scenario_DT!$C$19)*(1+$N315)^7*(Scenario_DT!$R$12+$O315)*(1+MIN(DCF_FCFF!$C$26+$Q315,(DCF_FCFF!$C$25+$P315)-0.02))*(1-DCF_FCFF!$C$27)*(1-DCF_FCFF!$C$28)/((DCF_FCFF!$C$25+$P315)-MIN(DCF_FCFF!$C$26+$Q315,(DCF_FCFF!$C$25+$P315)-0.02)))*(1+(DCF_FCFF!$C$25+$P315))^(-(Inputs!$C$9+9))</f>
        <v>27862.606906587393</v>
      </c>
      <c r="AC315" s="17">
        <f>SUMPRODUCT(R315:AA315*(1+(DCF_FCFF!$C$25+$P315))^(-Scenario_DT!$I$17:$R$17))+AB315</f>
        <v>44280.068733745138</v>
      </c>
      <c r="AD315" s="68">
        <f>((AC315-DCF_FCFF!$C$48)*(1-DCF_FCFF!$C$50)+DCF_FCFF!$C$57+DCF_FCFF!$C$58)/DCF_FCFF!$C$60</f>
        <v>328.58969993282614</v>
      </c>
      <c r="AE315" s="6"/>
      <c r="AF315" s="6"/>
      <c r="AG315" s="6"/>
    </row>
    <row r="316" spans="1:33" x14ac:dyDescent="0.3">
      <c r="A316" s="6"/>
      <c r="B316" s="72">
        <v>285</v>
      </c>
      <c r="C316" s="73">
        <v>0.70483832304318095</v>
      </c>
      <c r="D316" s="73">
        <v>0.48293838947178402</v>
      </c>
      <c r="E316" s="73">
        <v>0.45640385790184501</v>
      </c>
      <c r="F316" s="73">
        <v>0.38634145722318203</v>
      </c>
      <c r="G316" s="73">
        <v>0.36159902957266299</v>
      </c>
      <c r="H316" s="15">
        <f t="shared" si="41"/>
        <v>0.5383675074987635</v>
      </c>
      <c r="I316" s="15">
        <f t="shared" si="42"/>
        <v>-4.2780160741911717E-2</v>
      </c>
      <c r="J316" s="15">
        <f t="shared" si="43"/>
        <v>-0.10949773799182362</v>
      </c>
      <c r="K316" s="15">
        <f t="shared" si="44"/>
        <v>-0.28886731805578231</v>
      </c>
      <c r="L316" s="15">
        <f t="shared" si="45"/>
        <v>-0.3541879158292075</v>
      </c>
      <c r="M316" s="18">
        <f t="shared" si="46"/>
        <v>1.076735014997527E-2</v>
      </c>
      <c r="N316" s="18">
        <f t="shared" si="47"/>
        <v>1.8570803821512359E-3</v>
      </c>
      <c r="O316" s="18">
        <f t="shared" si="48"/>
        <v>-1.3139728559018835E-3</v>
      </c>
      <c r="P316" s="18">
        <f t="shared" si="49"/>
        <v>-1.7332039083346939E-3</v>
      </c>
      <c r="Q316" s="18">
        <f t="shared" si="50"/>
        <v>-1.41675166331683E-3</v>
      </c>
      <c r="R316" s="28">
        <f>((Scenario_DT!I$11*(IF(Scenario_DT!I$18=1,1,1+$M316/Scenario_DT!$C$19)*(1+$N316)^MAX(0,Scenario_DT!I$18-3))*(Scenario_DT!I$12+$O316)-Scenario_DT!I$13)*(1-Scenario_DT!I$14)+Scenario_DT!I$13-Scenario_DT!I$15)*Scenario_DT!I$16</f>
        <v>909.13197721257063</v>
      </c>
      <c r="S316" s="28">
        <f>((Scenario_DT!J$11*(IF(Scenario_DT!J$18=1,1,1+$M316/Scenario_DT!$C$19)*(1+$N316)^MAX(0,Scenario_DT!J$18-3))*(Scenario_DT!J$12+$O316)-Scenario_DT!J$13)*(1-Scenario_DT!J$14)+Scenario_DT!J$13-Scenario_DT!J$15)*Scenario_DT!J$16</f>
        <v>1853.5799279566586</v>
      </c>
      <c r="T316" s="28">
        <f>((Scenario_DT!K$11*(IF(Scenario_DT!K$18=1,1,1+$M316/Scenario_DT!$C$19)*(1+$N316)^MAX(0,Scenario_DT!K$18-3))*(Scenario_DT!K$12+$O316)-Scenario_DT!K$13)*(1-Scenario_DT!K$14)+Scenario_DT!K$13-Scenario_DT!K$15)*Scenario_DT!K$16</f>
        <v>2119.3179834183734</v>
      </c>
      <c r="U316" s="28">
        <f>((Scenario_DT!L$11*(IF(Scenario_DT!L$18=1,1,1+$M316/Scenario_DT!$C$19)*(1+$N316)^MAX(0,Scenario_DT!L$18-3))*(Scenario_DT!L$12+$O316)-Scenario_DT!L$13)*(1-Scenario_DT!L$14)+Scenario_DT!L$13-Scenario_DT!L$15)*Scenario_DT!L$16</f>
        <v>2526.4716524088008</v>
      </c>
      <c r="V316" s="28">
        <f>((Scenario_DT!M$11*(IF(Scenario_DT!M$18=1,1,1+$M316/Scenario_DT!$C$19)*(1+$N316)^MAX(0,Scenario_DT!M$18-3))*(Scenario_DT!M$12+$O316)-Scenario_DT!M$13)*(1-Scenario_DT!M$14)+Scenario_DT!M$13-Scenario_DT!M$15)*Scenario_DT!M$16</f>
        <v>2657.033164136114</v>
      </c>
      <c r="W316" s="28">
        <f>((Scenario_DT!N$11*(IF(Scenario_DT!N$18=1,1,1+$M316/Scenario_DT!$C$19)*(1+$N316)^MAX(0,Scenario_DT!N$18-3))*(Scenario_DT!N$12+$O316)-Scenario_DT!N$13)*(1-Scenario_DT!N$14)+Scenario_DT!N$13-Scenario_DT!N$15)*Scenario_DT!N$16</f>
        <v>2794.337333741129</v>
      </c>
      <c r="X316" s="28">
        <f>((Scenario_DT!O$11*(IF(Scenario_DT!O$18=1,1,1+$M316/Scenario_DT!$C$19)*(1+$N316)^MAX(0,Scenario_DT!O$18-3))*(Scenario_DT!O$12+$O316)-Scenario_DT!O$13)*(1-Scenario_DT!O$14)+Scenario_DT!O$13-Scenario_DT!O$15)*Scenario_DT!O$16</f>
        <v>2938.7348849732325</v>
      </c>
      <c r="Y316" s="28">
        <f>((Scenario_DT!P$11*(IF(Scenario_DT!P$18=1,1,1+$M316/Scenario_DT!$C$19)*(1+$N316)^MAX(0,Scenario_DT!P$18-3))*(Scenario_DT!P$12+$O316)-Scenario_DT!P$13)*(1-Scenario_DT!P$14)+Scenario_DT!P$13-Scenario_DT!P$15)*Scenario_DT!P$16</f>
        <v>3090.5948038185866</v>
      </c>
      <c r="Z316" s="28">
        <f>((Scenario_DT!Q$11*(IF(Scenario_DT!Q$18=1,1,1+$M316/Scenario_DT!$C$19)*(1+$N316)^MAX(0,Scenario_DT!Q$18-3))*(Scenario_DT!Q$12+$O316)-Scenario_DT!Q$13)*(1-Scenario_DT!Q$14)+Scenario_DT!Q$13-Scenario_DT!Q$15)*Scenario_DT!Q$16</f>
        <v>3250.3052893309778</v>
      </c>
      <c r="AA316" s="28">
        <f>((Scenario_DT!R$11*(IF(Scenario_DT!R$18=1,1,1+$M316/Scenario_DT!$C$19)*(1+$N316)^MAX(0,Scenario_DT!R$18-3))*(Scenario_DT!R$12+$O316)-Scenario_DT!R$13)*(1-Scenario_DT!R$14)+Scenario_DT!R$13-Scenario_DT!R$15)*Scenario_DT!R$16</f>
        <v>3418.2747539547445</v>
      </c>
      <c r="AB316" s="17">
        <f>(Scenario_DT!$R$11*(1+$M316/Scenario_DT!$C$19)*(1+$N316)^7*(Scenario_DT!$R$12+$O316)*(1+MIN(DCF_FCFF!$C$26+$Q316,(DCF_FCFF!$C$25+$P316)-0.02))*(1-DCF_FCFF!$C$27)*(1-DCF_FCFF!$C$28)/((DCF_FCFF!$C$25+$P316)-MIN(DCF_FCFF!$C$26+$Q316,(DCF_FCFF!$C$25+$P316)-0.02)))*(1+(DCF_FCFF!$C$25+$P316))^(-(Inputs!$C$9+9))</f>
        <v>29410.355108383665</v>
      </c>
      <c r="AC316" s="17">
        <f>SUMPRODUCT(R316:AA316*(1+(DCF_FCFF!$C$25+$P316))^(-Scenario_DT!$I$17:$R$17))+AB316</f>
        <v>46217.13110386076</v>
      </c>
      <c r="AD316" s="68">
        <f>((AC316-DCF_FCFF!$C$48)*(1-DCF_FCFF!$C$50)+DCF_FCFF!$C$57+DCF_FCFF!$C$58)/DCF_FCFF!$C$60</f>
        <v>347.18311314116312</v>
      </c>
      <c r="AE316" s="6"/>
      <c r="AF316" s="6"/>
      <c r="AG316" s="6"/>
    </row>
    <row r="317" spans="1:33" x14ac:dyDescent="0.3">
      <c r="A317" s="6"/>
      <c r="B317" s="72">
        <v>286</v>
      </c>
      <c r="C317" s="73">
        <v>0.39150684168443101</v>
      </c>
      <c r="D317" s="73">
        <v>8.9753235251195301E-2</v>
      </c>
      <c r="E317" s="73">
        <v>7.7436085260438201E-2</v>
      </c>
      <c r="F317" s="73">
        <v>0.77986984387231195</v>
      </c>
      <c r="G317" s="73">
        <v>0.44607289292022601</v>
      </c>
      <c r="H317" s="15">
        <f t="shared" si="41"/>
        <v>-0.27539383061475536</v>
      </c>
      <c r="I317" s="15">
        <f t="shared" si="42"/>
        <v>-1.3422761594220902</v>
      </c>
      <c r="J317" s="15">
        <f t="shared" si="43"/>
        <v>-1.4225309594068771</v>
      </c>
      <c r="K317" s="15">
        <f t="shared" si="44"/>
        <v>0.77175371109243485</v>
      </c>
      <c r="L317" s="15">
        <f t="shared" si="45"/>
        <v>-0.13558952622969742</v>
      </c>
      <c r="M317" s="18">
        <f t="shared" si="46"/>
        <v>-5.5078766122951071E-3</v>
      </c>
      <c r="N317" s="18">
        <f t="shared" si="47"/>
        <v>-1.0401137346088952E-2</v>
      </c>
      <c r="O317" s="18">
        <f t="shared" si="48"/>
        <v>-1.7070371512882525E-2</v>
      </c>
      <c r="P317" s="18">
        <f t="shared" si="49"/>
        <v>4.6305222665546089E-3</v>
      </c>
      <c r="Q317" s="18">
        <f t="shared" si="50"/>
        <v>-5.4235810491878964E-4</v>
      </c>
      <c r="R317" s="28">
        <f>((Scenario_DT!I$11*(IF(Scenario_DT!I$18=1,1,1+$M317/Scenario_DT!$C$19)*(1+$N317)^MAX(0,Scenario_DT!I$18-3))*(Scenario_DT!I$12+$O317)-Scenario_DT!I$13)*(1-Scenario_DT!I$14)+Scenario_DT!I$13-Scenario_DT!I$15)*Scenario_DT!I$16</f>
        <v>886.91715075381421</v>
      </c>
      <c r="S317" s="28">
        <f>((Scenario_DT!J$11*(IF(Scenario_DT!J$18=1,1,1+$M317/Scenario_DT!$C$19)*(1+$N317)^MAX(0,Scenario_DT!J$18-3))*(Scenario_DT!J$12+$O317)-Scenario_DT!J$13)*(1-Scenario_DT!J$14)+Scenario_DT!J$13-Scenario_DT!J$15)*Scenario_DT!J$16</f>
        <v>1765.9710708246957</v>
      </c>
      <c r="T317" s="28">
        <f>((Scenario_DT!K$11*(IF(Scenario_DT!K$18=1,1,1+$M317/Scenario_DT!$C$19)*(1+$N317)^MAX(0,Scenario_DT!K$18-3))*(Scenario_DT!K$12+$O317)-Scenario_DT!K$13)*(1-Scenario_DT!K$14)+Scenario_DT!K$13-Scenario_DT!K$15)*Scenario_DT!K$16</f>
        <v>2027.9731169239571</v>
      </c>
      <c r="U317" s="28">
        <f>((Scenario_DT!L$11*(IF(Scenario_DT!L$18=1,1,1+$M317/Scenario_DT!$C$19)*(1+$N317)^MAX(0,Scenario_DT!L$18-3))*(Scenario_DT!L$12+$O317)-Scenario_DT!L$13)*(1-Scenario_DT!L$14)+Scenario_DT!L$13-Scenario_DT!L$15)*Scenario_DT!L$16</f>
        <v>2399.3734510310119</v>
      </c>
      <c r="V317" s="28">
        <f>((Scenario_DT!M$11*(IF(Scenario_DT!M$18=1,1,1+$M317/Scenario_DT!$C$19)*(1+$N317)^MAX(0,Scenario_DT!M$18-3))*(Scenario_DT!M$12+$O317)-Scenario_DT!M$13)*(1-Scenario_DT!M$14)+Scenario_DT!M$13-Scenario_DT!M$15)*Scenario_DT!M$16</f>
        <v>2492.2323765083647</v>
      </c>
      <c r="W317" s="28">
        <f>((Scenario_DT!N$11*(IF(Scenario_DT!N$18=1,1,1+$M317/Scenario_DT!$C$19)*(1+$N317)^MAX(0,Scenario_DT!N$18-3))*(Scenario_DT!N$12+$O317)-Scenario_DT!N$13)*(1-Scenario_DT!N$14)+Scenario_DT!N$13-Scenario_DT!N$15)*Scenario_DT!N$16</f>
        <v>2588.6599682553738</v>
      </c>
      <c r="X317" s="28">
        <f>((Scenario_DT!O$11*(IF(Scenario_DT!O$18=1,1,1+$M317/Scenario_DT!$C$19)*(1+$N317)^MAX(0,Scenario_DT!O$18-3))*(Scenario_DT!O$12+$O317)-Scenario_DT!O$13)*(1-Scenario_DT!O$14)+Scenario_DT!O$13-Scenario_DT!O$15)*Scenario_DT!O$16</f>
        <v>2688.7945671451048</v>
      </c>
      <c r="Y317" s="28">
        <f>((Scenario_DT!P$11*(IF(Scenario_DT!P$18=1,1,1+$M317/Scenario_DT!$C$19)*(1+$N317)^MAX(0,Scenario_DT!P$18-3))*(Scenario_DT!P$12+$O317)-Scenario_DT!P$13)*(1-Scenario_DT!P$14)+Scenario_DT!P$13-Scenario_DT!P$15)*Scenario_DT!P$16</f>
        <v>2792.7798869934809</v>
      </c>
      <c r="Z317" s="28">
        <f>((Scenario_DT!Q$11*(IF(Scenario_DT!Q$18=1,1,1+$M317/Scenario_DT!$C$19)*(1+$N317)^MAX(0,Scenario_DT!Q$18-3))*(Scenario_DT!Q$12+$O317)-Scenario_DT!Q$13)*(1-Scenario_DT!Q$14)+Scenario_DT!Q$13-Scenario_DT!Q$15)*Scenario_DT!Q$16</f>
        <v>2900.7652232612249</v>
      </c>
      <c r="AA317" s="28">
        <f>((Scenario_DT!R$11*(IF(Scenario_DT!R$18=1,1,1+$M317/Scenario_DT!$C$19)*(1+$N317)^MAX(0,Scenario_DT!R$18-3))*(Scenario_DT!R$12+$O317)-Scenario_DT!R$13)*(1-Scenario_DT!R$14)+Scenario_DT!R$13-Scenario_DT!R$15)*Scenario_DT!R$16</f>
        <v>3012.9056698598938</v>
      </c>
      <c r="AB317" s="17">
        <f>(Scenario_DT!$R$11*(1+$M317/Scenario_DT!$C$19)*(1+$N317)^7*(Scenario_DT!$R$12+$O317)*(1+MIN(DCF_FCFF!$C$26+$Q317,(DCF_FCFF!$C$25+$P317)-0.02))*(1-DCF_FCFF!$C$27)*(1-DCF_FCFF!$C$28)/((DCF_FCFF!$C$25+$P317)-MIN(DCF_FCFF!$C$26+$Q317,(DCF_FCFF!$C$25+$P317)-0.02)))*(1+(DCF_FCFF!$C$25+$P317))^(-(Inputs!$C$9+9))</f>
        <v>22150.229030604747</v>
      </c>
      <c r="AC317" s="17">
        <f>SUMPRODUCT(R317:AA317*(1+(DCF_FCFF!$C$25+$P317))^(-Scenario_DT!$I$17:$R$17))+AB317</f>
        <v>37337.590063082258</v>
      </c>
      <c r="AD317" s="68">
        <f>((AC317-DCF_FCFF!$C$48)*(1-DCF_FCFF!$C$50)+DCF_FCFF!$C$57+DCF_FCFF!$C$58)/DCF_FCFF!$C$60</f>
        <v>261.95045454497847</v>
      </c>
      <c r="AE317" s="6"/>
      <c r="AF317" s="6"/>
      <c r="AG317" s="6"/>
    </row>
    <row r="318" spans="1:33" x14ac:dyDescent="0.3">
      <c r="A318" s="6"/>
      <c r="B318" s="72">
        <v>287</v>
      </c>
      <c r="C318" s="73">
        <v>0.93068448854462105</v>
      </c>
      <c r="D318" s="73">
        <v>0.61222100859395301</v>
      </c>
      <c r="E318" s="73">
        <v>3.51759821844198E-2</v>
      </c>
      <c r="F318" s="73">
        <v>0.15752334131748</v>
      </c>
      <c r="G318" s="73">
        <v>0.20581979301300801</v>
      </c>
      <c r="H318" s="15">
        <f t="shared" si="41"/>
        <v>1.4809082552340027</v>
      </c>
      <c r="I318" s="15">
        <f t="shared" si="42"/>
        <v>0.28511246202594248</v>
      </c>
      <c r="J318" s="15">
        <f t="shared" si="43"/>
        <v>-1.8096378622674381</v>
      </c>
      <c r="K318" s="15">
        <f t="shared" si="44"/>
        <v>-1.0046888835240171</v>
      </c>
      <c r="L318" s="15">
        <f t="shared" si="45"/>
        <v>-0.82101173132219818</v>
      </c>
      <c r="M318" s="18">
        <f t="shared" si="46"/>
        <v>2.9618165104680055E-2</v>
      </c>
      <c r="N318" s="18">
        <f t="shared" si="47"/>
        <v>7.8989501013359484E-3</v>
      </c>
      <c r="O318" s="18">
        <f t="shared" si="48"/>
        <v>-2.1715654347209259E-2</v>
      </c>
      <c r="P318" s="18">
        <f t="shared" si="49"/>
        <v>-6.0281333011441025E-3</v>
      </c>
      <c r="Q318" s="18">
        <f t="shared" si="50"/>
        <v>-3.2840469252887927E-3</v>
      </c>
      <c r="R318" s="28">
        <f>((Scenario_DT!I$11*(IF(Scenario_DT!I$18=1,1,1+$M318/Scenario_DT!$C$19)*(1+$N318)^MAX(0,Scenario_DT!I$18-3))*(Scenario_DT!I$12+$O318)-Scenario_DT!I$13)*(1-Scenario_DT!I$14)+Scenario_DT!I$13-Scenario_DT!I$15)*Scenario_DT!I$16</f>
        <v>880.36780186623139</v>
      </c>
      <c r="S318" s="28">
        <f>((Scenario_DT!J$11*(IF(Scenario_DT!J$18=1,1,1+$M318/Scenario_DT!$C$19)*(1+$N318)^MAX(0,Scenario_DT!J$18-3))*(Scenario_DT!J$12+$O318)-Scenario_DT!J$13)*(1-Scenario_DT!J$14)+Scenario_DT!J$13-Scenario_DT!J$15)*Scenario_DT!J$16</f>
        <v>1833.2705305250388</v>
      </c>
      <c r="T318" s="28">
        <f>((Scenario_DT!K$11*(IF(Scenario_DT!K$18=1,1,1+$M318/Scenario_DT!$C$19)*(1+$N318)^MAX(0,Scenario_DT!K$18-3))*(Scenario_DT!K$12+$O318)-Scenario_DT!K$13)*(1-Scenario_DT!K$14)+Scenario_DT!K$13-Scenario_DT!K$15)*Scenario_DT!K$16</f>
        <v>2098.9117578315982</v>
      </c>
      <c r="U318" s="28">
        <f>((Scenario_DT!L$11*(IF(Scenario_DT!L$18=1,1,1+$M318/Scenario_DT!$C$19)*(1+$N318)^MAX(0,Scenario_DT!L$18-3))*(Scenario_DT!L$12+$O318)-Scenario_DT!L$13)*(1-Scenario_DT!L$14)+Scenario_DT!L$13-Scenario_DT!L$15)*Scenario_DT!L$16</f>
        <v>2519.9717297546808</v>
      </c>
      <c r="V318" s="28">
        <f>((Scenario_DT!M$11*(IF(Scenario_DT!M$18=1,1,1+$M318/Scenario_DT!$C$19)*(1+$N318)^MAX(0,Scenario_DT!M$18-3))*(Scenario_DT!M$12+$O318)-Scenario_DT!M$13)*(1-Scenario_DT!M$14)+Scenario_DT!M$13-Scenario_DT!M$15)*Scenario_DT!M$16</f>
        <v>2666.2892324720465</v>
      </c>
      <c r="W318" s="28">
        <f>((Scenario_DT!N$11*(IF(Scenario_DT!N$18=1,1,1+$M318/Scenario_DT!$C$19)*(1+$N318)^MAX(0,Scenario_DT!N$18-3))*(Scenario_DT!N$12+$O318)-Scenario_DT!N$13)*(1-Scenario_DT!N$14)+Scenario_DT!N$13-Scenario_DT!N$15)*Scenario_DT!N$16</f>
        <v>2821.1060780237217</v>
      </c>
      <c r="X318" s="28">
        <f>((Scenario_DT!O$11*(IF(Scenario_DT!O$18=1,1,1+$M318/Scenario_DT!$C$19)*(1+$N318)^MAX(0,Scenario_DT!O$18-3))*(Scenario_DT!O$12+$O318)-Scenario_DT!O$13)*(1-Scenario_DT!O$14)+Scenario_DT!O$13-Scenario_DT!O$15)*Scenario_DT!O$16</f>
        <v>2984.9189389619755</v>
      </c>
      <c r="Y318" s="28">
        <f>((Scenario_DT!P$11*(IF(Scenario_DT!P$18=1,1,1+$M318/Scenario_DT!$C$19)*(1+$N318)^MAX(0,Scenario_DT!P$18-3))*(Scenario_DT!P$12+$O318)-Scenario_DT!P$13)*(1-Scenario_DT!P$14)+Scenario_DT!P$13-Scenario_DT!P$15)*Scenario_DT!P$16</f>
        <v>3158.2535201493961</v>
      </c>
      <c r="Z318" s="28">
        <f>((Scenario_DT!Q$11*(IF(Scenario_DT!Q$18=1,1,1+$M318/Scenario_DT!$C$19)*(1+$N318)^MAX(0,Scenario_DT!Q$18-3))*(Scenario_DT!Q$12+$O318)-Scenario_DT!Q$13)*(1-Scenario_DT!Q$14)+Scenario_DT!Q$13-Scenario_DT!Q$15)*Scenario_DT!Q$16</f>
        <v>3341.6662549378057</v>
      </c>
      <c r="AA318" s="28">
        <f>((Scenario_DT!R$11*(IF(Scenario_DT!R$18=1,1,1+$M318/Scenario_DT!$C$19)*(1+$N318)^MAX(0,Scenario_DT!R$18-3))*(Scenario_DT!R$12+$O318)-Scenario_DT!R$13)*(1-Scenario_DT!R$14)+Scenario_DT!R$13-Scenario_DT!R$15)*Scenario_DT!R$16</f>
        <v>3535.7461003935573</v>
      </c>
      <c r="AB318" s="17">
        <f>(Scenario_DT!$R$11*(1+$M318/Scenario_DT!$C$19)*(1+$N318)^7*(Scenario_DT!$R$12+$O318)*(1+MIN(DCF_FCFF!$C$26+$Q318,(DCF_FCFF!$C$25+$P318)-0.02))*(1-DCF_FCFF!$C$27)*(1-DCF_FCFF!$C$28)/((DCF_FCFF!$C$25+$P318)-MIN(DCF_FCFF!$C$26+$Q318,(DCF_FCFF!$C$25+$P318)-0.02)))*(1+(DCF_FCFF!$C$25+$P318))^(-(Inputs!$C$9+9))</f>
        <v>33121.787512693532</v>
      </c>
      <c r="AC318" s="17">
        <f>SUMPRODUCT(R318:AA318*(1+(DCF_FCFF!$C$25+$P318))^(-Scenario_DT!$I$17:$R$17))+AB318</f>
        <v>50366.749858257492</v>
      </c>
      <c r="AD318" s="68">
        <f>((AC318-DCF_FCFF!$C$48)*(1-DCF_FCFF!$C$50)+DCF_FCFF!$C$57+DCF_FCFF!$C$58)/DCF_FCFF!$C$60</f>
        <v>387.01434281548563</v>
      </c>
      <c r="AE318" s="6"/>
      <c r="AF318" s="6"/>
      <c r="AG318" s="6"/>
    </row>
    <row r="319" spans="1:33" x14ac:dyDescent="0.3">
      <c r="A319" s="6"/>
      <c r="B319" s="72">
        <v>288</v>
      </c>
      <c r="C319" s="73">
        <v>0.97573602438966101</v>
      </c>
      <c r="D319" s="73">
        <v>0.21870422615163501</v>
      </c>
      <c r="E319" s="73">
        <v>0.51575567628805097</v>
      </c>
      <c r="F319" s="73">
        <v>0.936176931640196</v>
      </c>
      <c r="G319" s="73">
        <v>0.97719272991435702</v>
      </c>
      <c r="H319" s="15">
        <f t="shared" si="41"/>
        <v>1.9727157964454398</v>
      </c>
      <c r="I319" s="15">
        <f t="shared" si="42"/>
        <v>-0.77657686998711106</v>
      </c>
      <c r="J319" s="15">
        <f t="shared" si="43"/>
        <v>3.950389595033383E-2</v>
      </c>
      <c r="K319" s="15">
        <f t="shared" si="44"/>
        <v>1.5234500966682787</v>
      </c>
      <c r="L319" s="15">
        <f t="shared" si="45"/>
        <v>1.9989428275097403</v>
      </c>
      <c r="M319" s="18">
        <f t="shared" si="46"/>
        <v>3.9454315928908794E-2</v>
      </c>
      <c r="N319" s="18">
        <f t="shared" si="47"/>
        <v>2.5105808065798126E-3</v>
      </c>
      <c r="O319" s="18">
        <f t="shared" si="48"/>
        <v>4.7404675140400596E-4</v>
      </c>
      <c r="P319" s="18">
        <f t="shared" si="49"/>
        <v>9.1407005800096721E-3</v>
      </c>
      <c r="Q319" s="18">
        <f t="shared" si="50"/>
        <v>7.995771310038962E-3</v>
      </c>
      <c r="R319" s="28">
        <f>((Scenario_DT!I$11*(IF(Scenario_DT!I$18=1,1,1+$M319/Scenario_DT!$C$19)*(1+$N319)^MAX(0,Scenario_DT!I$18-3))*(Scenario_DT!I$12+$O319)-Scenario_DT!I$13)*(1-Scenario_DT!I$14)+Scenario_DT!I$13-Scenario_DT!I$15)*Scenario_DT!I$16</f>
        <v>911.65289243856091</v>
      </c>
      <c r="S319" s="28">
        <f>((Scenario_DT!J$11*(IF(Scenario_DT!J$18=1,1,1+$M319/Scenario_DT!$C$19)*(1+$N319)^MAX(0,Scenario_DT!J$18-3))*(Scenario_DT!J$12+$O319)-Scenario_DT!J$13)*(1-Scenario_DT!J$14)+Scenario_DT!J$13-Scenario_DT!J$15)*Scenario_DT!J$16</f>
        <v>1927.9865155137709</v>
      </c>
      <c r="T319" s="28">
        <f>((Scenario_DT!K$11*(IF(Scenario_DT!K$18=1,1,1+$M319/Scenario_DT!$C$19)*(1+$N319)^MAX(0,Scenario_DT!K$18-3))*(Scenario_DT!K$12+$O319)-Scenario_DT!K$13)*(1-Scenario_DT!K$14)+Scenario_DT!K$13-Scenario_DT!K$15)*Scenario_DT!K$16</f>
        <v>2197.402996271343</v>
      </c>
      <c r="U319" s="28">
        <f>((Scenario_DT!L$11*(IF(Scenario_DT!L$18=1,1,1+$M319/Scenario_DT!$C$19)*(1+$N319)^MAX(0,Scenario_DT!L$18-3))*(Scenario_DT!L$12+$O319)-Scenario_DT!L$13)*(1-Scenario_DT!L$14)+Scenario_DT!L$13-Scenario_DT!L$15)*Scenario_DT!L$16</f>
        <v>2611.2476717828936</v>
      </c>
      <c r="V319" s="28">
        <f>((Scenario_DT!M$11*(IF(Scenario_DT!M$18=1,1,1+$M319/Scenario_DT!$C$19)*(1+$N319)^MAX(0,Scenario_DT!M$18-3))*(Scenario_DT!M$12+$O319)-Scenario_DT!M$13)*(1-Scenario_DT!M$14)+Scenario_DT!M$13-Scenario_DT!M$15)*Scenario_DT!M$16</f>
        <v>2748.0166453182696</v>
      </c>
      <c r="W319" s="28">
        <f>((Scenario_DT!N$11*(IF(Scenario_DT!N$18=1,1,1+$M319/Scenario_DT!$C$19)*(1+$N319)^MAX(0,Scenario_DT!N$18-3))*(Scenario_DT!N$12+$O319)-Scenario_DT!N$13)*(1-Scenario_DT!N$14)+Scenario_DT!N$13-Scenario_DT!N$15)*Scenario_DT!N$16</f>
        <v>2891.945675460242</v>
      </c>
      <c r="X319" s="28">
        <f>((Scenario_DT!O$11*(IF(Scenario_DT!O$18=1,1,1+$M319/Scenario_DT!$C$19)*(1+$N319)^MAX(0,Scenario_DT!O$18-3))*(Scenario_DT!O$12+$O319)-Scenario_DT!O$13)*(1-Scenario_DT!O$14)+Scenario_DT!O$13-Scenario_DT!O$15)*Scenario_DT!O$16</f>
        <v>3043.4121660930332</v>
      </c>
      <c r="Y319" s="28">
        <f>((Scenario_DT!P$11*(IF(Scenario_DT!P$18=1,1,1+$M319/Scenario_DT!$C$19)*(1+$N319)^MAX(0,Scenario_DT!P$18-3))*(Scenario_DT!P$12+$O319)-Scenario_DT!P$13)*(1-Scenario_DT!P$14)+Scenario_DT!P$13-Scenario_DT!P$15)*Scenario_DT!P$16</f>
        <v>3202.8134323545905</v>
      </c>
      <c r="Z319" s="28">
        <f>((Scenario_DT!Q$11*(IF(Scenario_DT!Q$18=1,1,1+$M319/Scenario_DT!$C$19)*(1+$N319)^MAX(0,Scenario_DT!Q$18-3))*(Scenario_DT!Q$12+$O319)-Scenario_DT!Q$13)*(1-Scenario_DT!Q$14)+Scenario_DT!Q$13-Scenario_DT!Q$15)*Scenario_DT!Q$16</f>
        <v>3370.5677509763168</v>
      </c>
      <c r="AA319" s="28">
        <f>((Scenario_DT!R$11*(IF(Scenario_DT!R$18=1,1,1+$M319/Scenario_DT!$C$19)*(1+$N319)^MAX(0,Scenario_DT!R$18-3))*(Scenario_DT!R$12+$O319)-Scenario_DT!R$13)*(1-Scenario_DT!R$14)+Scenario_DT!R$13-Scenario_DT!R$15)*Scenario_DT!R$16</f>
        <v>3547.1154660129509</v>
      </c>
      <c r="AB319" s="17">
        <f>(Scenario_DT!$R$11*(1+$M319/Scenario_DT!$C$19)*(1+$N319)^7*(Scenario_DT!$R$12+$O319)*(1+MIN(DCF_FCFF!$C$26+$Q319,(DCF_FCFF!$C$25+$P319)-0.02))*(1-DCF_FCFF!$C$27)*(1-DCF_FCFF!$C$28)/((DCF_FCFF!$C$25+$P319)-MIN(DCF_FCFF!$C$26+$Q319,(DCF_FCFF!$C$25+$P319)-0.02)))*(1+(DCF_FCFF!$C$25+$P319))^(-(Inputs!$C$9+9))</f>
        <v>27226.082601670812</v>
      </c>
      <c r="AC319" s="17">
        <f>SUMPRODUCT(R319:AA319*(1+(DCF_FCFF!$C$25+$P319))^(-Scenario_DT!$I$17:$R$17))+AB319</f>
        <v>43833.661158779374</v>
      </c>
      <c r="AD319" s="68">
        <f>((AC319-DCF_FCFF!$C$48)*(1-DCF_FCFF!$C$50)+DCF_FCFF!$C$57+DCF_FCFF!$C$58)/DCF_FCFF!$C$60</f>
        <v>324.30473697617407</v>
      </c>
      <c r="AE319" s="6"/>
      <c r="AF319" s="6"/>
      <c r="AG319" s="6"/>
    </row>
    <row r="320" spans="1:33" x14ac:dyDescent="0.3">
      <c r="A320" s="6"/>
      <c r="B320" s="72">
        <v>289</v>
      </c>
      <c r="C320" s="73">
        <v>0.23636043538354501</v>
      </c>
      <c r="D320" s="73">
        <v>4.9117643750040102E-2</v>
      </c>
      <c r="E320" s="73">
        <v>0.153601832537759</v>
      </c>
      <c r="F320" s="73">
        <v>6.3328478702558103E-2</v>
      </c>
      <c r="G320" s="73">
        <v>0.195124241092336</v>
      </c>
      <c r="H320" s="15">
        <f t="shared" si="41"/>
        <v>-0.71805906178714063</v>
      </c>
      <c r="I320" s="15">
        <f t="shared" si="42"/>
        <v>-1.6534697997832231</v>
      </c>
      <c r="J320" s="15">
        <f t="shared" si="43"/>
        <v>-1.0211071729446033</v>
      </c>
      <c r="K320" s="15">
        <f t="shared" si="44"/>
        <v>-1.5274185871565282</v>
      </c>
      <c r="L320" s="15">
        <f t="shared" si="45"/>
        <v>-0.85916682738207673</v>
      </c>
      <c r="M320" s="18">
        <f t="shared" si="46"/>
        <v>-1.4361181235742813E-2</v>
      </c>
      <c r="N320" s="18">
        <f t="shared" si="47"/>
        <v>-1.4327811055169686E-2</v>
      </c>
      <c r="O320" s="18">
        <f t="shared" si="48"/>
        <v>-1.225328607533524E-2</v>
      </c>
      <c r="P320" s="18">
        <f t="shared" si="49"/>
        <v>-9.1645115229391696E-3</v>
      </c>
      <c r="Q320" s="18">
        <f t="shared" si="50"/>
        <v>-3.4366673095283071E-3</v>
      </c>
      <c r="R320" s="28">
        <f>((Scenario_DT!I$11*(IF(Scenario_DT!I$18=1,1,1+$M320/Scenario_DT!$C$19)*(1+$N320)^MAX(0,Scenario_DT!I$18-3))*(Scenario_DT!I$12+$O320)-Scenario_DT!I$13)*(1-Scenario_DT!I$14)+Scenario_DT!I$13-Scenario_DT!I$15)*Scenario_DT!I$16</f>
        <v>893.70872282315293</v>
      </c>
      <c r="S320" s="28">
        <f>((Scenario_DT!J$11*(IF(Scenario_DT!J$18=1,1,1+$M320/Scenario_DT!$C$19)*(1+$N320)^MAX(0,Scenario_DT!J$18-3))*(Scenario_DT!J$12+$O320)-Scenario_DT!J$13)*(1-Scenario_DT!J$14)+Scenario_DT!J$13-Scenario_DT!J$15)*Scenario_DT!J$16</f>
        <v>1759.9971623411416</v>
      </c>
      <c r="T320" s="28">
        <f>((Scenario_DT!K$11*(IF(Scenario_DT!K$18=1,1,1+$M320/Scenario_DT!$C$19)*(1+$N320)^MAX(0,Scenario_DT!K$18-3))*(Scenario_DT!K$12+$O320)-Scenario_DT!K$13)*(1-Scenario_DT!K$14)+Scenario_DT!K$13-Scenario_DT!K$15)*Scenario_DT!K$16</f>
        <v>2021.4811613301995</v>
      </c>
      <c r="U320" s="28">
        <f>((Scenario_DT!L$11*(IF(Scenario_DT!L$18=1,1,1+$M320/Scenario_DT!$C$19)*(1+$N320)^MAX(0,Scenario_DT!L$18-3))*(Scenario_DT!L$12+$O320)-Scenario_DT!L$13)*(1-Scenario_DT!L$14)+Scenario_DT!L$13-Scenario_DT!L$15)*Scenario_DT!L$16</f>
        <v>2382.9916633408257</v>
      </c>
      <c r="V320" s="28">
        <f>((Scenario_DT!M$11*(IF(Scenario_DT!M$18=1,1,1+$M320/Scenario_DT!$C$19)*(1+$N320)^MAX(0,Scenario_DT!M$18-3))*(Scenario_DT!M$12+$O320)-Scenario_DT!M$13)*(1-Scenario_DT!M$14)+Scenario_DT!M$13-Scenario_DT!M$15)*Scenario_DT!M$16</f>
        <v>2465.3157406169953</v>
      </c>
      <c r="W320" s="28">
        <f>((Scenario_DT!N$11*(IF(Scenario_DT!N$18=1,1,1+$M320/Scenario_DT!$C$19)*(1+$N320)^MAX(0,Scenario_DT!N$18-3))*(Scenario_DT!N$12+$O320)-Scenario_DT!N$13)*(1-Scenario_DT!N$14)+Scenario_DT!N$13-Scenario_DT!N$15)*Scenario_DT!N$16</f>
        <v>2550.4509188736338</v>
      </c>
      <c r="X320" s="28">
        <f>((Scenario_DT!O$11*(IF(Scenario_DT!O$18=1,1,1+$M320/Scenario_DT!$C$19)*(1+$N320)^MAX(0,Scenario_DT!O$18-3))*(Scenario_DT!O$12+$O320)-Scenario_DT!O$13)*(1-Scenario_DT!O$14)+Scenario_DT!O$13-Scenario_DT!O$15)*Scenario_DT!O$16</f>
        <v>2638.493843865192</v>
      </c>
      <c r="Y320" s="28">
        <f>((Scenario_DT!P$11*(IF(Scenario_DT!P$18=1,1,1+$M320/Scenario_DT!$C$19)*(1+$N320)^MAX(0,Scenario_DT!P$18-3))*(Scenario_DT!P$12+$O320)-Scenario_DT!P$13)*(1-Scenario_DT!P$14)+Scenario_DT!P$13-Scenario_DT!P$15)*Scenario_DT!P$16</f>
        <v>2729.5444822649392</v>
      </c>
      <c r="Z320" s="28">
        <f>((Scenario_DT!Q$11*(IF(Scenario_DT!Q$18=1,1,1+$M320/Scenario_DT!$C$19)*(1+$N320)^MAX(0,Scenario_DT!Q$18-3))*(Scenario_DT!Q$12+$O320)-Scenario_DT!Q$13)*(1-Scenario_DT!Q$14)+Scenario_DT!Q$13-Scenario_DT!Q$15)*Scenario_DT!Q$16</f>
        <v>2823.7062354029317</v>
      </c>
      <c r="AA320" s="28">
        <f>((Scenario_DT!R$11*(IF(Scenario_DT!R$18=1,1,1+$M320/Scenario_DT!$C$19)*(1+$N320)^MAX(0,Scenario_DT!R$18-3))*(Scenario_DT!R$12+$O320)-Scenario_DT!R$13)*(1-Scenario_DT!R$14)+Scenario_DT!R$13-Scenario_DT!R$15)*Scenario_DT!R$16</f>
        <v>2921.0860568805865</v>
      </c>
      <c r="AB320" s="17">
        <f>(Scenario_DT!$R$11*(1+$M320/Scenario_DT!$C$19)*(1+$N320)^7*(Scenario_DT!$R$12+$O320)*(1+MIN(DCF_FCFF!$C$26+$Q320,(DCF_FCFF!$C$25+$P320)-0.02))*(1-DCF_FCFF!$C$27)*(1-DCF_FCFF!$C$28)/((DCF_FCFF!$C$25+$P320)-MIN(DCF_FCFF!$C$26+$Q320,(DCF_FCFF!$C$25+$P320)-0.02)))*(1+(DCF_FCFF!$C$25+$P320))^(-(Inputs!$C$9+9))</f>
        <v>30049.105420108244</v>
      </c>
      <c r="AC320" s="17">
        <f>SUMPRODUCT(R320:AA320*(1+(DCF_FCFF!$C$25+$P320))^(-Scenario_DT!$I$17:$R$17))+AB320</f>
        <v>45921.451024989052</v>
      </c>
      <c r="AD320" s="68">
        <f>((AC320-DCF_FCFF!$C$48)*(1-DCF_FCFF!$C$50)+DCF_FCFF!$C$57+DCF_FCFF!$C$58)/DCF_FCFF!$C$60</f>
        <v>344.3449485220201</v>
      </c>
      <c r="AE320" s="6"/>
      <c r="AF320" s="6"/>
      <c r="AG320" s="6"/>
    </row>
    <row r="321" spans="1:33" x14ac:dyDescent="0.3">
      <c r="A321" s="6"/>
      <c r="B321" s="72">
        <v>290</v>
      </c>
      <c r="C321" s="73">
        <v>0.56856971470373496</v>
      </c>
      <c r="D321" s="73">
        <v>0.91244879629564202</v>
      </c>
      <c r="E321" s="73">
        <v>0.53721888369434001</v>
      </c>
      <c r="F321" s="73">
        <v>0.62598955669908096</v>
      </c>
      <c r="G321" s="73">
        <v>0.201867251609541</v>
      </c>
      <c r="H321" s="15">
        <f t="shared" si="41"/>
        <v>0.17273393226098066</v>
      </c>
      <c r="I321" s="15">
        <f t="shared" si="42"/>
        <v>1.3559898189565844</v>
      </c>
      <c r="J321" s="15">
        <f t="shared" si="43"/>
        <v>9.3429654564718911E-2</v>
      </c>
      <c r="K321" s="15">
        <f t="shared" si="44"/>
        <v>0.32125007571398989</v>
      </c>
      <c r="L321" s="15">
        <f t="shared" si="45"/>
        <v>-0.83497017154198105</v>
      </c>
      <c r="M321" s="18">
        <f t="shared" si="46"/>
        <v>3.4546786452196131E-3</v>
      </c>
      <c r="N321" s="18">
        <f t="shared" si="47"/>
        <v>1.0085508772959636E-2</v>
      </c>
      <c r="O321" s="18">
        <f t="shared" si="48"/>
        <v>1.1211558547766271E-3</v>
      </c>
      <c r="P321" s="18">
        <f t="shared" si="49"/>
        <v>1.9275004542839394E-3</v>
      </c>
      <c r="Q321" s="18">
        <f t="shared" si="50"/>
        <v>-3.3398806861679245E-3</v>
      </c>
      <c r="R321" s="28">
        <f>((Scenario_DT!I$11*(IF(Scenario_DT!I$18=1,1,1+$M321/Scenario_DT!$C$19)*(1+$N321)^MAX(0,Scenario_DT!I$18-3))*(Scenario_DT!I$12+$O321)-Scenario_DT!I$13)*(1-Scenario_DT!I$14)+Scenario_DT!I$13-Scenario_DT!I$15)*Scenario_DT!I$16</f>
        <v>912.56524663473579</v>
      </c>
      <c r="S321" s="28">
        <f>((Scenario_DT!J$11*(IF(Scenario_DT!J$18=1,1,1+$M321/Scenario_DT!$C$19)*(1+$N321)^MAX(0,Scenario_DT!J$18-3))*(Scenario_DT!J$12+$O321)-Scenario_DT!J$13)*(1-Scenario_DT!J$14)+Scenario_DT!J$13-Scenario_DT!J$15)*Scenario_DT!J$16</f>
        <v>1843.6841183698402</v>
      </c>
      <c r="T321" s="28">
        <f>((Scenario_DT!K$11*(IF(Scenario_DT!K$18=1,1,1+$M321/Scenario_DT!$C$19)*(1+$N321)^MAX(0,Scenario_DT!K$18-3))*(Scenario_DT!K$12+$O321)-Scenario_DT!K$13)*(1-Scenario_DT!K$14)+Scenario_DT!K$13-Scenario_DT!K$15)*Scenario_DT!K$16</f>
        <v>2108.8140378926046</v>
      </c>
      <c r="U321" s="28">
        <f>((Scenario_DT!L$11*(IF(Scenario_DT!L$18=1,1,1+$M321/Scenario_DT!$C$19)*(1+$N321)^MAX(0,Scenario_DT!L$18-3))*(Scenario_DT!L$12+$O321)-Scenario_DT!L$13)*(1-Scenario_DT!L$14)+Scenario_DT!L$13-Scenario_DT!L$15)*Scenario_DT!L$16</f>
        <v>2536.0952745558816</v>
      </c>
      <c r="V321" s="28">
        <f>((Scenario_DT!M$11*(IF(Scenario_DT!M$18=1,1,1+$M321/Scenario_DT!$C$19)*(1+$N321)^MAX(0,Scenario_DT!M$18-3))*(Scenario_DT!M$12+$O321)-Scenario_DT!M$13)*(1-Scenario_DT!M$14)+Scenario_DT!M$13-Scenario_DT!M$15)*Scenario_DT!M$16</f>
        <v>2689.2140115228876</v>
      </c>
      <c r="W321" s="28">
        <f>((Scenario_DT!N$11*(IF(Scenario_DT!N$18=1,1,1+$M321/Scenario_DT!$C$19)*(1+$N321)^MAX(0,Scenario_DT!N$18-3))*(Scenario_DT!N$12+$O321)-Scenario_DT!N$13)*(1-Scenario_DT!N$14)+Scenario_DT!N$13-Scenario_DT!N$15)*Scenario_DT!N$16</f>
        <v>2851.583698495826</v>
      </c>
      <c r="X321" s="28">
        <f>((Scenario_DT!O$11*(IF(Scenario_DT!O$18=1,1,1+$M321/Scenario_DT!$C$19)*(1+$N321)^MAX(0,Scenario_DT!O$18-3))*(Scenario_DT!O$12+$O321)-Scenario_DT!O$13)*(1-Scenario_DT!O$14)+Scenario_DT!O$13-Scenario_DT!O$15)*Scenario_DT!O$16</f>
        <v>3023.7663397956198</v>
      </c>
      <c r="Y321" s="28">
        <f>((Scenario_DT!P$11*(IF(Scenario_DT!P$18=1,1,1+$M321/Scenario_DT!$C$19)*(1+$N321)^MAX(0,Scenario_DT!P$18-3))*(Scenario_DT!P$12+$O321)-Scenario_DT!P$13)*(1-Scenario_DT!P$14)+Scenario_DT!P$13-Scenario_DT!P$15)*Scenario_DT!P$16</f>
        <v>3206.358084247147</v>
      </c>
      <c r="Z321" s="28">
        <f>((Scenario_DT!Q$11*(IF(Scenario_DT!Q$18=1,1,1+$M321/Scenario_DT!$C$19)*(1+$N321)^MAX(0,Scenario_DT!Q$18-3))*(Scenario_DT!Q$12+$O321)-Scenario_DT!Q$13)*(1-Scenario_DT!Q$14)+Scenario_DT!Q$13-Scenario_DT!Q$15)*Scenario_DT!Q$16</f>
        <v>3399.9912983617901</v>
      </c>
      <c r="AA321" s="28">
        <f>((Scenario_DT!R$11*(IF(Scenario_DT!R$18=1,1,1+$M321/Scenario_DT!$C$19)*(1+$N321)^MAX(0,Scenario_DT!R$18-3))*(Scenario_DT!R$12+$O321)-Scenario_DT!R$13)*(1-Scenario_DT!R$14)+Scenario_DT!R$13-Scenario_DT!R$15)*Scenario_DT!R$16</f>
        <v>3605.3367653296059</v>
      </c>
      <c r="AB321" s="17">
        <f>(Scenario_DT!$R$11*(1+$M321/Scenario_DT!$C$19)*(1+$N321)^7*(Scenario_DT!$R$12+$O321)*(1+MIN(DCF_FCFF!$C$26+$Q321,(DCF_FCFF!$C$25+$P321)-0.02))*(1-DCF_FCFF!$C$27)*(1-DCF_FCFF!$C$28)/((DCF_FCFF!$C$25+$P321)-MIN(DCF_FCFF!$C$26+$Q321,(DCF_FCFF!$C$25+$P321)-0.02)))*(1+(DCF_FCFF!$C$25+$P321))^(-(Inputs!$C$9+9))</f>
        <v>26973.284060755162</v>
      </c>
      <c r="AC321" s="17">
        <f>SUMPRODUCT(R321:AA321*(1+(DCF_FCFF!$C$25+$P321))^(-Scenario_DT!$I$17:$R$17))+AB321</f>
        <v>43845.392645261592</v>
      </c>
      <c r="AD321" s="68">
        <f>((AC321-DCF_FCFF!$C$48)*(1-DCF_FCFF!$C$50)+DCF_FCFF!$C$57+DCF_FCFF!$C$58)/DCF_FCFF!$C$60</f>
        <v>324.41734479875998</v>
      </c>
      <c r="AE321" s="6"/>
      <c r="AF321" s="6"/>
      <c r="AG321" s="6"/>
    </row>
    <row r="322" spans="1:33" x14ac:dyDescent="0.3">
      <c r="A322" s="6"/>
      <c r="B322" s="72">
        <v>291</v>
      </c>
      <c r="C322" s="73">
        <v>0.80058362067385003</v>
      </c>
      <c r="D322" s="73">
        <v>0.61778890850558299</v>
      </c>
      <c r="E322" s="73">
        <v>0.86413682919272505</v>
      </c>
      <c r="F322" s="73">
        <v>0.948843107005784</v>
      </c>
      <c r="G322" s="73">
        <v>0.34790077575659201</v>
      </c>
      <c r="H322" s="15">
        <f t="shared" si="41"/>
        <v>0.84370770901926517</v>
      </c>
      <c r="I322" s="15">
        <f t="shared" si="42"/>
        <v>0.29967878422538452</v>
      </c>
      <c r="J322" s="15">
        <f t="shared" si="43"/>
        <v>1.0990956626319115</v>
      </c>
      <c r="K322" s="15">
        <f t="shared" si="44"/>
        <v>1.6337384269863631</v>
      </c>
      <c r="L322" s="15">
        <f t="shared" si="45"/>
        <v>-0.39099416146536803</v>
      </c>
      <c r="M322" s="18">
        <f t="shared" si="46"/>
        <v>1.6874154180385303E-2</v>
      </c>
      <c r="N322" s="18">
        <f t="shared" si="47"/>
        <v>5.4510663569924062E-3</v>
      </c>
      <c r="O322" s="18">
        <f t="shared" si="48"/>
        <v>1.3189147951582937E-2</v>
      </c>
      <c r="P322" s="18">
        <f t="shared" si="49"/>
        <v>9.8024305619181778E-3</v>
      </c>
      <c r="Q322" s="18">
        <f t="shared" si="50"/>
        <v>-1.5639766458614721E-3</v>
      </c>
      <c r="R322" s="28">
        <f>((Scenario_DT!I$11*(IF(Scenario_DT!I$18=1,1,1+$M322/Scenario_DT!$C$19)*(1+$N322)^MAX(0,Scenario_DT!I$18-3))*(Scenario_DT!I$12+$O322)-Scenario_DT!I$13)*(1-Scenario_DT!I$14)+Scenario_DT!I$13-Scenario_DT!I$15)*Scenario_DT!I$16</f>
        <v>929.57981677684279</v>
      </c>
      <c r="S322" s="28">
        <f>((Scenario_DT!J$11*(IF(Scenario_DT!J$18=1,1,1+$M322/Scenario_DT!$C$19)*(1+$N322)^MAX(0,Scenario_DT!J$18-3))*(Scenario_DT!J$12+$O322)-Scenario_DT!J$13)*(1-Scenario_DT!J$14)+Scenario_DT!J$13-Scenario_DT!J$15)*Scenario_DT!J$16</f>
        <v>1914.0670721536258</v>
      </c>
      <c r="T322" s="28">
        <f>((Scenario_DT!K$11*(IF(Scenario_DT!K$18=1,1,1+$M322/Scenario_DT!$C$19)*(1+$N322)^MAX(0,Scenario_DT!K$18-3))*(Scenario_DT!K$12+$O322)-Scenario_DT!K$13)*(1-Scenario_DT!K$14)+Scenario_DT!K$13-Scenario_DT!K$15)*Scenario_DT!K$16</f>
        <v>2182.210124110622</v>
      </c>
      <c r="U322" s="28">
        <f>((Scenario_DT!L$11*(IF(Scenario_DT!L$18=1,1,1+$M322/Scenario_DT!$C$19)*(1+$N322)^MAX(0,Scenario_DT!L$18-3))*(Scenario_DT!L$12+$O322)-Scenario_DT!L$13)*(1-Scenario_DT!L$14)+Scenario_DT!L$13-Scenario_DT!L$15)*Scenario_DT!L$16</f>
        <v>2602.7368988987737</v>
      </c>
      <c r="V322" s="28">
        <f>((Scenario_DT!M$11*(IF(Scenario_DT!M$18=1,1,1+$M322/Scenario_DT!$C$19)*(1+$N322)^MAX(0,Scenario_DT!M$18-3))*(Scenario_DT!M$12+$O322)-Scenario_DT!M$13)*(1-Scenario_DT!M$14)+Scenario_DT!M$13-Scenario_DT!M$15)*Scenario_DT!M$16</f>
        <v>2747.1459755685937</v>
      </c>
      <c r="W322" s="28">
        <f>((Scenario_DT!N$11*(IF(Scenario_DT!N$18=1,1,1+$M322/Scenario_DT!$C$19)*(1+$N322)^MAX(0,Scenario_DT!N$18-3))*(Scenario_DT!N$12+$O322)-Scenario_DT!N$13)*(1-Scenario_DT!N$14)+Scenario_DT!N$13-Scenario_DT!N$15)*Scenario_DT!N$16</f>
        <v>2899.5679510856635</v>
      </c>
      <c r="X322" s="28">
        <f>((Scenario_DT!O$11*(IF(Scenario_DT!O$18=1,1,1+$M322/Scenario_DT!$C$19)*(1+$N322)^MAX(0,Scenario_DT!O$18-3))*(Scenario_DT!O$12+$O322)-Scenario_DT!O$13)*(1-Scenario_DT!O$14)+Scenario_DT!O$13-Scenario_DT!O$15)*Scenario_DT!O$16</f>
        <v>3060.4502340965378</v>
      </c>
      <c r="Y322" s="28">
        <f>((Scenario_DT!P$11*(IF(Scenario_DT!P$18=1,1,1+$M322/Scenario_DT!$C$19)*(1+$N322)^MAX(0,Scenario_DT!P$18-3))*(Scenario_DT!P$12+$O322)-Scenario_DT!P$13)*(1-Scenario_DT!P$14)+Scenario_DT!P$13-Scenario_DT!P$15)*Scenario_DT!P$16</f>
        <v>3230.2652287487276</v>
      </c>
      <c r="Z322" s="28">
        <f>((Scenario_DT!Q$11*(IF(Scenario_DT!Q$18=1,1,1+$M322/Scenario_DT!$C$19)*(1+$N322)^MAX(0,Scenario_DT!Q$18-3))*(Scenario_DT!Q$12+$O322)-Scenario_DT!Q$13)*(1-Scenario_DT!Q$14)+Scenario_DT!Q$13-Scenario_DT!Q$15)*Scenario_DT!Q$16</f>
        <v>3409.511730628888</v>
      </c>
      <c r="AA322" s="28">
        <f>((Scenario_DT!R$11*(IF(Scenario_DT!R$18=1,1,1+$M322/Scenario_DT!$C$19)*(1+$N322)^MAX(0,Scenario_DT!R$18-3))*(Scenario_DT!R$12+$O322)-Scenario_DT!R$13)*(1-Scenario_DT!R$14)+Scenario_DT!R$13-Scenario_DT!R$15)*Scenario_DT!R$16</f>
        <v>3598.7164006276535</v>
      </c>
      <c r="AB322" s="17">
        <f>(Scenario_DT!$R$11*(1+$M322/Scenario_DT!$C$19)*(1+$N322)^7*(Scenario_DT!$R$12+$O322)*(1+MIN(DCF_FCFF!$C$26+$Q322,(DCF_FCFF!$C$25+$P322)-0.02))*(1-DCF_FCFF!$C$27)*(1-DCF_FCFF!$C$28)/((DCF_FCFF!$C$25+$P322)-MIN(DCF_FCFF!$C$26+$Q322,(DCF_FCFF!$C$25+$P322)-0.02)))*(1+(DCF_FCFF!$C$25+$P322))^(-(Inputs!$C$9+9))</f>
        <v>22708.262669899224</v>
      </c>
      <c r="AC322" s="17">
        <f>SUMPRODUCT(R322:AA322*(1+(DCF_FCFF!$C$25+$P322))^(-Scenario_DT!$I$17:$R$17))+AB322</f>
        <v>39324.124930026155</v>
      </c>
      <c r="AD322" s="68">
        <f>((AC322-DCF_FCFF!$C$48)*(1-DCF_FCFF!$C$50)+DCF_FCFF!$C$57+DCF_FCFF!$C$58)/DCF_FCFF!$C$60</f>
        <v>281.01874279614708</v>
      </c>
      <c r="AE322" s="6"/>
      <c r="AF322" s="6"/>
      <c r="AG322" s="6"/>
    </row>
    <row r="323" spans="1:33" x14ac:dyDescent="0.3">
      <c r="A323" s="6"/>
      <c r="B323" s="72">
        <v>292</v>
      </c>
      <c r="C323" s="73">
        <v>9.0579058535439405E-2</v>
      </c>
      <c r="D323" s="73">
        <v>0.225928957916783</v>
      </c>
      <c r="E323" s="73">
        <v>0.43784156567583699</v>
      </c>
      <c r="F323" s="73">
        <v>0.94569365182447296</v>
      </c>
      <c r="G323" s="73">
        <v>0.37830982237341498</v>
      </c>
      <c r="H323" s="15">
        <f t="shared" si="41"/>
        <v>-1.3371976859436976</v>
      </c>
      <c r="I323" s="15">
        <f t="shared" si="42"/>
        <v>-0.75232120988397744</v>
      </c>
      <c r="J323" s="15">
        <f t="shared" si="43"/>
        <v>-0.15644390583502607</v>
      </c>
      <c r="K323" s="15">
        <f t="shared" si="44"/>
        <v>1.6044599923350351</v>
      </c>
      <c r="L323" s="15">
        <f t="shared" si="45"/>
        <v>-0.30992282532738558</v>
      </c>
      <c r="M323" s="18">
        <f t="shared" si="46"/>
        <v>-2.6743953718873951E-2</v>
      </c>
      <c r="N323" s="18">
        <f t="shared" si="47"/>
        <v>-1.0561024980297741E-2</v>
      </c>
      <c r="O323" s="18">
        <f t="shared" si="48"/>
        <v>-1.8773268700203129E-3</v>
      </c>
      <c r="P323" s="18">
        <f t="shared" si="49"/>
        <v>9.6267599540102115E-3</v>
      </c>
      <c r="Q323" s="18">
        <f t="shared" si="50"/>
        <v>-1.2396913013095424E-3</v>
      </c>
      <c r="R323" s="28">
        <f>((Scenario_DT!I$11*(IF(Scenario_DT!I$18=1,1,1+$M323/Scenario_DT!$C$19)*(1+$N323)^MAX(0,Scenario_DT!I$18-3))*(Scenario_DT!I$12+$O323)-Scenario_DT!I$13)*(1-Scenario_DT!I$14)+Scenario_DT!I$13-Scenario_DT!I$15)*Scenario_DT!I$16</f>
        <v>908.33770867881913</v>
      </c>
      <c r="S323" s="28">
        <f>((Scenario_DT!J$11*(IF(Scenario_DT!J$18=1,1,1+$M323/Scenario_DT!$C$19)*(1+$N323)^MAX(0,Scenario_DT!J$18-3))*(Scenario_DT!J$12+$O323)-Scenario_DT!J$13)*(1-Scenario_DT!J$14)+Scenario_DT!J$13-Scenario_DT!J$15)*Scenario_DT!J$16</f>
        <v>1762.1549914869124</v>
      </c>
      <c r="T323" s="28">
        <f>((Scenario_DT!K$11*(IF(Scenario_DT!K$18=1,1,1+$M323/Scenario_DT!$C$19)*(1+$N323)^MAX(0,Scenario_DT!K$18-3))*(Scenario_DT!K$12+$O323)-Scenario_DT!K$13)*(1-Scenario_DT!K$14)+Scenario_DT!K$13-Scenario_DT!K$15)*Scenario_DT!K$16</f>
        <v>2023.2963413174489</v>
      </c>
      <c r="U323" s="28">
        <f>((Scenario_DT!L$11*(IF(Scenario_DT!L$18=1,1,1+$M323/Scenario_DT!$C$19)*(1+$N323)^MAX(0,Scenario_DT!L$18-3))*(Scenario_DT!L$12+$O323)-Scenario_DT!L$13)*(1-Scenario_DT!L$14)+Scenario_DT!L$13-Scenario_DT!L$15)*Scenario_DT!L$16</f>
        <v>2394.0698122223521</v>
      </c>
      <c r="V323" s="28">
        <f>((Scenario_DT!M$11*(IF(Scenario_DT!M$18=1,1,1+$M323/Scenario_DT!$C$19)*(1+$N323)^MAX(0,Scenario_DT!M$18-3))*(Scenario_DT!M$12+$O323)-Scenario_DT!M$13)*(1-Scenario_DT!M$14)+Scenario_DT!M$13-Scenario_DT!M$15)*Scenario_DT!M$16</f>
        <v>2486.3167235736405</v>
      </c>
      <c r="W323" s="28">
        <f>((Scenario_DT!N$11*(IF(Scenario_DT!N$18=1,1,1+$M323/Scenario_DT!$C$19)*(1+$N323)^MAX(0,Scenario_DT!N$18-3))*(Scenario_DT!N$12+$O323)-Scenario_DT!N$13)*(1-Scenario_DT!N$14)+Scenario_DT!N$13-Scenario_DT!N$15)*Scenario_DT!N$16</f>
        <v>2582.0926350514478</v>
      </c>
      <c r="X323" s="28">
        <f>((Scenario_DT!O$11*(IF(Scenario_DT!O$18=1,1,1+$M323/Scenario_DT!$C$19)*(1+$N323)^MAX(0,Scenario_DT!O$18-3))*(Scenario_DT!O$12+$O323)-Scenario_DT!O$13)*(1-Scenario_DT!O$14)+Scenario_DT!O$13-Scenario_DT!O$15)*Scenario_DT!O$16</f>
        <v>2681.5337246011127</v>
      </c>
      <c r="Y323" s="28">
        <f>((Scenario_DT!P$11*(IF(Scenario_DT!P$18=1,1,1+$M323/Scenario_DT!$C$19)*(1+$N323)^MAX(0,Scenario_DT!P$18-3))*(Scenario_DT!P$12+$O323)-Scenario_DT!P$13)*(1-Scenario_DT!P$14)+Scenario_DT!P$13-Scenario_DT!P$15)*Scenario_DT!P$16</f>
        <v>2784.7814347407216</v>
      </c>
      <c r="Z323" s="28">
        <f>((Scenario_DT!Q$11*(IF(Scenario_DT!Q$18=1,1,1+$M323/Scenario_DT!$C$19)*(1+$N323)^MAX(0,Scenario_DT!Q$18-3))*(Scenario_DT!Q$12+$O323)-Scenario_DT!Q$13)*(1-Scenario_DT!Q$14)+Scenario_DT!Q$13-Scenario_DT!Q$15)*Scenario_DT!Q$16</f>
        <v>2891.9826761002219</v>
      </c>
      <c r="AA323" s="28">
        <f>((Scenario_DT!R$11*(IF(Scenario_DT!R$18=1,1,1+$M323/Scenario_DT!$C$19)*(1+$N323)^MAX(0,Scenario_DT!R$18-3))*(Scenario_DT!R$12+$O323)-Scenario_DT!R$13)*(1-Scenario_DT!R$14)+Scenario_DT!R$13-Scenario_DT!R$15)*Scenario_DT!R$16</f>
        <v>3003.2900388267763</v>
      </c>
      <c r="AB323" s="17">
        <f>(Scenario_DT!$R$11*(1+$M323/Scenario_DT!$C$19)*(1+$N323)^7*(Scenario_DT!$R$12+$O323)*(1+MIN(DCF_FCFF!$C$26+$Q323,(DCF_FCFF!$C$25+$P323)-0.02))*(1-DCF_FCFF!$C$27)*(1-DCF_FCFF!$C$28)/((DCF_FCFF!$C$25+$P323)-MIN(DCF_FCFF!$C$26+$Q323,(DCF_FCFF!$C$25+$P323)-0.02)))*(1+(DCF_FCFF!$C$25+$P323))^(-(Inputs!$C$9+9))</f>
        <v>19170.121257229326</v>
      </c>
      <c r="AC323" s="17">
        <f>SUMPRODUCT(R323:AA323*(1+(DCF_FCFF!$C$25+$P323))^(-Scenario_DT!$I$17:$R$17))+AB323</f>
        <v>34034.872259962642</v>
      </c>
      <c r="AD323" s="68">
        <f>((AC323-DCF_FCFF!$C$48)*(1-DCF_FCFF!$C$50)+DCF_FCFF!$C$57+DCF_FCFF!$C$58)/DCF_FCFF!$C$60</f>
        <v>230.24843102145689</v>
      </c>
      <c r="AE323" s="6"/>
      <c r="AF323" s="6"/>
      <c r="AG323" s="6"/>
    </row>
    <row r="324" spans="1:33" x14ac:dyDescent="0.3">
      <c r="A324" s="6"/>
      <c r="B324" s="72">
        <v>293</v>
      </c>
      <c r="C324" s="73">
        <v>0.77077321366536999</v>
      </c>
      <c r="D324" s="73">
        <v>0.540476692170755</v>
      </c>
      <c r="E324" s="73">
        <v>0.18280877043097701</v>
      </c>
      <c r="F324" s="73">
        <v>0.320734118953452</v>
      </c>
      <c r="G324" s="73">
        <v>0.653191885022819</v>
      </c>
      <c r="H324" s="15">
        <f t="shared" si="41"/>
        <v>0.74139566415871805</v>
      </c>
      <c r="I324" s="15">
        <f t="shared" si="42"/>
        <v>0.10163472491425522</v>
      </c>
      <c r="J324" s="15">
        <f t="shared" si="43"/>
        <v>-0.90471283271573533</v>
      </c>
      <c r="K324" s="15">
        <f t="shared" si="44"/>
        <v>-0.4656469400304884</v>
      </c>
      <c r="L324" s="15">
        <f t="shared" si="45"/>
        <v>0.39395233571582944</v>
      </c>
      <c r="M324" s="18">
        <f t="shared" si="46"/>
        <v>1.4827913283174361E-2</v>
      </c>
      <c r="N324" s="18">
        <f t="shared" si="47"/>
        <v>3.6697286860939782E-3</v>
      </c>
      <c r="O324" s="18">
        <f t="shared" si="48"/>
        <v>-1.0856553992588823E-2</v>
      </c>
      <c r="P324" s="18">
        <f t="shared" si="49"/>
        <v>-2.7938816401829303E-3</v>
      </c>
      <c r="Q324" s="18">
        <f t="shared" si="50"/>
        <v>1.5758093428633179E-3</v>
      </c>
      <c r="R324" s="28">
        <f>((Scenario_DT!I$11*(IF(Scenario_DT!I$18=1,1,1+$M324/Scenario_DT!$C$19)*(1+$N324)^MAX(0,Scenario_DT!I$18-3))*(Scenario_DT!I$12+$O324)-Scenario_DT!I$13)*(1-Scenario_DT!I$14)+Scenario_DT!I$13-Scenario_DT!I$15)*Scenario_DT!I$16</f>
        <v>895.67796474848626</v>
      </c>
      <c r="S324" s="28">
        <f>((Scenario_DT!J$11*(IF(Scenario_DT!J$18=1,1,1+$M324/Scenario_DT!$C$19)*(1+$N324)^MAX(0,Scenario_DT!J$18-3))*(Scenario_DT!J$12+$O324)-Scenario_DT!J$13)*(1-Scenario_DT!J$14)+Scenario_DT!J$13-Scenario_DT!J$15)*Scenario_DT!J$16</f>
        <v>1833.1693100596272</v>
      </c>
      <c r="T324" s="28">
        <f>((Scenario_DT!K$11*(IF(Scenario_DT!K$18=1,1,1+$M324/Scenario_DT!$C$19)*(1+$N324)^MAX(0,Scenario_DT!K$18-3))*(Scenario_DT!K$12+$O324)-Scenario_DT!K$13)*(1-Scenario_DT!K$14)+Scenario_DT!K$13-Scenario_DT!K$15)*Scenario_DT!K$16</f>
        <v>2098.3039634306224</v>
      </c>
      <c r="U324" s="28">
        <f>((Scenario_DT!L$11*(IF(Scenario_DT!L$18=1,1,1+$M324/Scenario_DT!$C$19)*(1+$N324)^MAX(0,Scenario_DT!L$18-3))*(Scenario_DT!L$12+$O324)-Scenario_DT!L$13)*(1-Scenario_DT!L$14)+Scenario_DT!L$13-Scenario_DT!L$15)*Scenario_DT!L$16</f>
        <v>2508.679216155037</v>
      </c>
      <c r="V324" s="28">
        <f>((Scenario_DT!M$11*(IF(Scenario_DT!M$18=1,1,1+$M324/Scenario_DT!$C$19)*(1+$N324)^MAX(0,Scenario_DT!M$18-3))*(Scenario_DT!M$12+$O324)-Scenario_DT!M$13)*(1-Scenario_DT!M$14)+Scenario_DT!M$13-Scenario_DT!M$15)*Scenario_DT!M$16</f>
        <v>2643.1232504013369</v>
      </c>
      <c r="W324" s="28">
        <f>((Scenario_DT!N$11*(IF(Scenario_DT!N$18=1,1,1+$M324/Scenario_DT!$C$19)*(1+$N324)^MAX(0,Scenario_DT!N$18-3))*(Scenario_DT!N$12+$O324)-Scenario_DT!N$13)*(1-Scenario_DT!N$14)+Scenario_DT!N$13-Scenario_DT!N$15)*Scenario_DT!N$16</f>
        <v>2784.7705030187331</v>
      </c>
      <c r="X324" s="28">
        <f>((Scenario_DT!O$11*(IF(Scenario_DT!O$18=1,1,1+$M324/Scenario_DT!$C$19)*(1+$N324)^MAX(0,Scenario_DT!O$18-3))*(Scenario_DT!O$12+$O324)-Scenario_DT!O$13)*(1-Scenario_DT!O$14)+Scenario_DT!O$13-Scenario_DT!O$15)*Scenario_DT!O$16</f>
        <v>2934.0095644867324</v>
      </c>
      <c r="Y324" s="28">
        <f>((Scenario_DT!P$11*(IF(Scenario_DT!P$18=1,1,1+$M324/Scenario_DT!$C$19)*(1+$N324)^MAX(0,Scenario_DT!P$18-3))*(Scenario_DT!P$12+$O324)-Scenario_DT!P$13)*(1-Scenario_DT!P$14)+Scenario_DT!P$13-Scenario_DT!P$15)*Scenario_DT!P$16</f>
        <v>3091.2500054441848</v>
      </c>
      <c r="Z324" s="28">
        <f>((Scenario_DT!Q$11*(IF(Scenario_DT!Q$18=1,1,1+$M324/Scenario_DT!$C$19)*(1+$N324)^MAX(0,Scenario_DT!Q$18-3))*(Scenario_DT!Q$12+$O324)-Scenario_DT!Q$13)*(1-Scenario_DT!Q$14)+Scenario_DT!Q$13-Scenario_DT!Q$15)*Scenario_DT!Q$16</f>
        <v>3256.9235091462619</v>
      </c>
      <c r="AA324" s="28">
        <f>((Scenario_DT!R$11*(IF(Scenario_DT!R$18=1,1,1+$M324/Scenario_DT!$C$19)*(1+$N324)^MAX(0,Scenario_DT!R$18-3))*(Scenario_DT!R$12+$O324)-Scenario_DT!R$13)*(1-Scenario_DT!R$14)+Scenario_DT!R$13-Scenario_DT!R$15)*Scenario_DT!R$16</f>
        <v>3431.4850650262547</v>
      </c>
      <c r="AB324" s="17">
        <f>(Scenario_DT!$R$11*(1+$M324/Scenario_DT!$C$19)*(1+$N324)^7*(Scenario_DT!$R$12+$O324)*(1+MIN(DCF_FCFF!$C$26+$Q324,(DCF_FCFF!$C$25+$P324)-0.02))*(1-DCF_FCFF!$C$27)*(1-DCF_FCFF!$C$28)/((DCF_FCFF!$C$25+$P324)-MIN(DCF_FCFF!$C$26+$Q324,(DCF_FCFF!$C$25+$P324)-0.02)))*(1+(DCF_FCFF!$C$25+$P324))^(-(Inputs!$C$9+9))</f>
        <v>32514.263758228051</v>
      </c>
      <c r="AC324" s="17">
        <f>SUMPRODUCT(R324:AA324*(1+(DCF_FCFF!$C$25+$P324))^(-Scenario_DT!$I$17:$R$17))+AB324</f>
        <v>49324.301371349531</v>
      </c>
      <c r="AD324" s="68">
        <f>((AC324-DCF_FCFF!$C$48)*(1-DCF_FCFF!$C$50)+DCF_FCFF!$C$57+DCF_FCFF!$C$58)/DCF_FCFF!$C$60</f>
        <v>377.00812114471495</v>
      </c>
      <c r="AE324" s="6"/>
      <c r="AF324" s="6"/>
      <c r="AG324" s="6"/>
    </row>
    <row r="325" spans="1:33" x14ac:dyDescent="0.3">
      <c r="A325" s="6"/>
      <c r="B325" s="72">
        <v>294</v>
      </c>
      <c r="C325" s="73">
        <v>0.67285339468489402</v>
      </c>
      <c r="D325" s="73">
        <v>0.434759746809046</v>
      </c>
      <c r="E325" s="73">
        <v>0.22864560266211501</v>
      </c>
      <c r="F325" s="73">
        <v>0.72190677951267601</v>
      </c>
      <c r="G325" s="73">
        <v>0.16887304161271499</v>
      </c>
      <c r="H325" s="15">
        <f t="shared" si="41"/>
        <v>0.44780600304027196</v>
      </c>
      <c r="I325" s="15">
        <f t="shared" si="42"/>
        <v>-0.16426886147647918</v>
      </c>
      <c r="J325" s="15">
        <f t="shared" si="43"/>
        <v>-0.7433146479115933</v>
      </c>
      <c r="K325" s="15">
        <f t="shared" si="44"/>
        <v>0.58851533924236243</v>
      </c>
      <c r="L325" s="15">
        <f t="shared" si="45"/>
        <v>-0.95862819546864775</v>
      </c>
      <c r="M325" s="18">
        <f t="shared" si="46"/>
        <v>8.9561200608054402E-3</v>
      </c>
      <c r="N325" s="18">
        <f t="shared" si="47"/>
        <v>6.5313595544606471E-4</v>
      </c>
      <c r="O325" s="18">
        <f t="shared" si="48"/>
        <v>-8.9197757749391194E-3</v>
      </c>
      <c r="P325" s="18">
        <f t="shared" si="49"/>
        <v>3.5310920354541748E-3</v>
      </c>
      <c r="Q325" s="18">
        <f t="shared" si="50"/>
        <v>-3.8345127818745911E-3</v>
      </c>
      <c r="R325" s="28">
        <f>((Scenario_DT!I$11*(IF(Scenario_DT!I$18=1,1,1+$M325/Scenario_DT!$C$19)*(1+$N325)^MAX(0,Scenario_DT!I$18-3))*(Scenario_DT!I$12+$O325)-Scenario_DT!I$13)*(1-Scenario_DT!I$14)+Scenario_DT!I$13-Scenario_DT!I$15)*Scenario_DT!I$16</f>
        <v>898.4086136061884</v>
      </c>
      <c r="S325" s="28">
        <f>((Scenario_DT!J$11*(IF(Scenario_DT!J$18=1,1,1+$M325/Scenario_DT!$C$19)*(1+$N325)^MAX(0,Scenario_DT!J$18-3))*(Scenario_DT!J$12+$O325)-Scenario_DT!J$13)*(1-Scenario_DT!J$14)+Scenario_DT!J$13-Scenario_DT!J$15)*Scenario_DT!J$16</f>
        <v>1825.3858427238183</v>
      </c>
      <c r="T325" s="28">
        <f>((Scenario_DT!K$11*(IF(Scenario_DT!K$18=1,1,1+$M325/Scenario_DT!$C$19)*(1+$N325)^MAX(0,Scenario_DT!K$18-3))*(Scenario_DT!K$12+$O325)-Scenario_DT!K$13)*(1-Scenario_DT!K$14)+Scenario_DT!K$13-Scenario_DT!K$15)*Scenario_DT!K$16</f>
        <v>2090.038089121058</v>
      </c>
      <c r="U325" s="28">
        <f>((Scenario_DT!L$11*(IF(Scenario_DT!L$18=1,1,1+$M325/Scenario_DT!$C$19)*(1+$N325)^MAX(0,Scenario_DT!L$18-3))*(Scenario_DT!L$12+$O325)-Scenario_DT!L$13)*(1-Scenario_DT!L$14)+Scenario_DT!L$13-Scenario_DT!L$15)*Scenario_DT!L$16</f>
        <v>2492.3062561761153</v>
      </c>
      <c r="V325" s="28">
        <f>((Scenario_DT!M$11*(IF(Scenario_DT!M$18=1,1,1+$M325/Scenario_DT!$C$19)*(1+$N325)^MAX(0,Scenario_DT!M$18-3))*(Scenario_DT!M$12+$O325)-Scenario_DT!M$13)*(1-Scenario_DT!M$14)+Scenario_DT!M$13-Scenario_DT!M$15)*Scenario_DT!M$16</f>
        <v>2617.9209174343937</v>
      </c>
      <c r="W325" s="28">
        <f>((Scenario_DT!N$11*(IF(Scenario_DT!N$18=1,1,1+$M325/Scenario_DT!$C$19)*(1+$N325)^MAX(0,Scenario_DT!N$18-3))*(Scenario_DT!N$12+$O325)-Scenario_DT!N$13)*(1-Scenario_DT!N$14)+Scenario_DT!N$13-Scenario_DT!N$15)*Scenario_DT!N$16</f>
        <v>2749.8604746867768</v>
      </c>
      <c r="X325" s="28">
        <f>((Scenario_DT!O$11*(IF(Scenario_DT!O$18=1,1,1+$M325/Scenario_DT!$C$19)*(1+$N325)^MAX(0,Scenario_DT!O$18-3))*(Scenario_DT!O$12+$O325)-Scenario_DT!O$13)*(1-Scenario_DT!O$14)+Scenario_DT!O$13-Scenario_DT!O$15)*Scenario_DT!O$16</f>
        <v>2888.445800056712</v>
      </c>
      <c r="Y325" s="28">
        <f>((Scenario_DT!P$11*(IF(Scenario_DT!P$18=1,1,1+$M325/Scenario_DT!$C$19)*(1+$N325)^MAX(0,Scenario_DT!P$18-3))*(Scenario_DT!P$12+$O325)-Scenario_DT!P$13)*(1-Scenario_DT!P$14)+Scenario_DT!P$13-Scenario_DT!P$15)*Scenario_DT!P$16</f>
        <v>3034.0140640797586</v>
      </c>
      <c r="Z325" s="28">
        <f>((Scenario_DT!Q$11*(IF(Scenario_DT!Q$18=1,1,1+$M325/Scenario_DT!$C$19)*(1+$N325)^MAX(0,Scenario_DT!Q$18-3))*(Scenario_DT!Q$12+$O325)-Scenario_DT!Q$13)*(1-Scenario_DT!Q$14)+Scenario_DT!Q$13-Scenario_DT!Q$15)*Scenario_DT!Q$16</f>
        <v>3186.9195635788997</v>
      </c>
      <c r="AA325" s="28">
        <f>((Scenario_DT!R$11*(IF(Scenario_DT!R$18=1,1,1+$M325/Scenario_DT!$C$19)*(1+$N325)^MAX(0,Scenario_DT!R$18-3))*(Scenario_DT!R$12+$O325)-Scenario_DT!R$13)*(1-Scenario_DT!R$14)+Scenario_DT!R$13-Scenario_DT!R$15)*Scenario_DT!R$16</f>
        <v>3347.5345915832677</v>
      </c>
      <c r="AB325" s="17">
        <f>(Scenario_DT!$R$11*(1+$M325/Scenario_DT!$C$19)*(1+$N325)^7*(Scenario_DT!$R$12+$O325)*(1+MIN(DCF_FCFF!$C$26+$Q325,(DCF_FCFF!$C$25+$P325)-0.02))*(1-DCF_FCFF!$C$27)*(1-DCF_FCFF!$C$28)/((DCF_FCFF!$C$25+$P325)-MIN(DCF_FCFF!$C$26+$Q325,(DCF_FCFF!$C$25+$P325)-0.02)))*(1+(DCF_FCFF!$C$25+$P325))^(-(Inputs!$C$9+9))</f>
        <v>23804.660292442877</v>
      </c>
      <c r="AC325" s="17">
        <f>SUMPRODUCT(R325:AA325*(1+(DCF_FCFF!$C$25+$P325))^(-Scenario_DT!$I$17:$R$17))+AB325</f>
        <v>39976.368532327106</v>
      </c>
      <c r="AD325" s="68">
        <f>((AC325-DCF_FCFF!$C$48)*(1-DCF_FCFF!$C$50)+DCF_FCFF!$C$57+DCF_FCFF!$C$58)/DCF_FCFF!$C$60</f>
        <v>287.27947812257429</v>
      </c>
      <c r="AE325" s="6"/>
      <c r="AF325" s="6"/>
      <c r="AG325" s="6"/>
    </row>
    <row r="326" spans="1:33" x14ac:dyDescent="0.3">
      <c r="A326" s="6"/>
      <c r="B326" s="72">
        <v>295</v>
      </c>
      <c r="C326" s="73">
        <v>0.93666969186512705</v>
      </c>
      <c r="D326" s="73">
        <v>0.187903579036477</v>
      </c>
      <c r="E326" s="73">
        <v>0.10731236283252001</v>
      </c>
      <c r="F326" s="73">
        <v>0.49764770236537897</v>
      </c>
      <c r="G326" s="73">
        <v>0.51954959810969403</v>
      </c>
      <c r="H326" s="15">
        <f t="shared" si="41"/>
        <v>1.5274038637756333</v>
      </c>
      <c r="I326" s="15">
        <f t="shared" si="42"/>
        <v>-0.88564814720885776</v>
      </c>
      <c r="J326" s="15">
        <f t="shared" si="43"/>
        <v>-1.2409486319406571</v>
      </c>
      <c r="K326" s="15">
        <f t="shared" si="44"/>
        <v>-5.896369927801297E-3</v>
      </c>
      <c r="L326" s="15">
        <f t="shared" si="45"/>
        <v>4.9023204339508603E-2</v>
      </c>
      <c r="M326" s="18">
        <f t="shared" si="46"/>
        <v>3.0548077275512668E-2</v>
      </c>
      <c r="N326" s="18">
        <f t="shared" si="47"/>
        <v>-2.6334899277394188E-5</v>
      </c>
      <c r="O326" s="18">
        <f t="shared" si="48"/>
        <v>-1.4891383583287884E-2</v>
      </c>
      <c r="P326" s="18">
        <f t="shared" si="49"/>
        <v>-3.5378219566807782E-5</v>
      </c>
      <c r="Q326" s="18">
        <f t="shared" si="50"/>
        <v>1.9609281735803442E-4</v>
      </c>
      <c r="R326" s="28">
        <f>((Scenario_DT!I$11*(IF(Scenario_DT!I$18=1,1,1+$M326/Scenario_DT!$C$19)*(1+$N326)^MAX(0,Scenario_DT!I$18-3))*(Scenario_DT!I$12+$O326)-Scenario_DT!I$13)*(1-Scenario_DT!I$14)+Scenario_DT!I$13-Scenario_DT!I$15)*Scenario_DT!I$16</f>
        <v>889.98928923961137</v>
      </c>
      <c r="S326" s="28">
        <f>((Scenario_DT!J$11*(IF(Scenario_DT!J$18=1,1,1+$M326/Scenario_DT!$C$19)*(1+$N326)^MAX(0,Scenario_DT!J$18-3))*(Scenario_DT!J$12+$O326)-Scenario_DT!J$13)*(1-Scenario_DT!J$14)+Scenario_DT!J$13-Scenario_DT!J$15)*Scenario_DT!J$16</f>
        <v>1857.3287656794714</v>
      </c>
      <c r="T326" s="28">
        <f>((Scenario_DT!K$11*(IF(Scenario_DT!K$18=1,1,1+$M326/Scenario_DT!$C$19)*(1+$N326)^MAX(0,Scenario_DT!K$18-3))*(Scenario_DT!K$12+$O326)-Scenario_DT!K$13)*(1-Scenario_DT!K$14)+Scenario_DT!K$13-Scenario_DT!K$15)*Scenario_DT!K$16</f>
        <v>2123.8755900009569</v>
      </c>
      <c r="U326" s="28">
        <f>((Scenario_DT!L$11*(IF(Scenario_DT!L$18=1,1,1+$M326/Scenario_DT!$C$19)*(1+$N326)^MAX(0,Scenario_DT!L$18-3))*(Scenario_DT!L$12+$O326)-Scenario_DT!L$13)*(1-Scenario_DT!L$14)+Scenario_DT!L$13-Scenario_DT!L$15)*Scenario_DT!L$16</f>
        <v>2526.5293884691891</v>
      </c>
      <c r="V326" s="28">
        <f>((Scenario_DT!M$11*(IF(Scenario_DT!M$18=1,1,1+$M326/Scenario_DT!$C$19)*(1+$N326)^MAX(0,Scenario_DT!M$18-3))*(Scenario_DT!M$12+$O326)-Scenario_DT!M$13)*(1-Scenario_DT!M$14)+Scenario_DT!M$13-Scenario_DT!M$15)*Scenario_DT!M$16</f>
        <v>2652.0640987928564</v>
      </c>
      <c r="W326" s="28">
        <f>((Scenario_DT!N$11*(IF(Scenario_DT!N$18=1,1,1+$M326/Scenario_DT!$C$19)*(1+$N326)^MAX(0,Scenario_DT!N$18-3))*(Scenario_DT!N$12+$O326)-Scenario_DT!N$13)*(1-Scenario_DT!N$14)+Scenario_DT!N$13-Scenario_DT!N$15)*Scenario_DT!N$16</f>
        <v>2783.8289740339096</v>
      </c>
      <c r="X326" s="28">
        <f>((Scenario_DT!O$11*(IF(Scenario_DT!O$18=1,1,1+$M326/Scenario_DT!$C$19)*(1+$N326)^MAX(0,Scenario_DT!O$18-3))*(Scenario_DT!O$12+$O326)-Scenario_DT!O$13)*(1-Scenario_DT!O$14)+Scenario_DT!O$13-Scenario_DT!O$15)*Scenario_DT!O$16</f>
        <v>2922.1355533684782</v>
      </c>
      <c r="Y326" s="28">
        <f>((Scenario_DT!P$11*(IF(Scenario_DT!P$18=1,1,1+$M326/Scenario_DT!$C$19)*(1+$N326)^MAX(0,Scenario_DT!P$18-3))*(Scenario_DT!P$12+$O326)-Scenario_DT!P$13)*(1-Scenario_DT!P$14)+Scenario_DT!P$13-Scenario_DT!P$15)*Scenario_DT!P$16</f>
        <v>3067.3109748908932</v>
      </c>
      <c r="Z326" s="28">
        <f>((Scenario_DT!Q$11*(IF(Scenario_DT!Q$18=1,1,1+$M326/Scenario_DT!$C$19)*(1+$N326)^MAX(0,Scenario_DT!Q$18-3))*(Scenario_DT!Q$12+$O326)-Scenario_DT!Q$13)*(1-Scenario_DT!Q$14)+Scenario_DT!Q$13-Scenario_DT!Q$15)*Scenario_DT!Q$16</f>
        <v>3219.6987567185483</v>
      </c>
      <c r="AA326" s="28">
        <f>((Scenario_DT!R$11*(IF(Scenario_DT!R$18=1,1,1+$M326/Scenario_DT!$C$19)*(1+$N326)^MAX(0,Scenario_DT!R$18-3))*(Scenario_DT!R$12+$O326)-Scenario_DT!R$13)*(1-Scenario_DT!R$14)+Scenario_DT!R$13-Scenario_DT!R$15)*Scenario_DT!R$16</f>
        <v>3379.6596172041</v>
      </c>
      <c r="AB326" s="17">
        <f>(Scenario_DT!$R$11*(1+$M326/Scenario_DT!$C$19)*(1+$N326)^7*(Scenario_DT!$R$12+$O326)*(1+MIN(DCF_FCFF!$C$26+$Q326,(DCF_FCFF!$C$25+$P326)-0.02))*(1-DCF_FCFF!$C$27)*(1-DCF_FCFF!$C$28)/((DCF_FCFF!$C$25+$P326)-MIN(DCF_FCFF!$C$26+$Q326,(DCF_FCFF!$C$25+$P326)-0.02)))*(1+(DCF_FCFF!$C$25+$P326))^(-(Inputs!$C$9+9))</f>
        <v>28650.655008690836</v>
      </c>
      <c r="AC326" s="17">
        <f>SUMPRODUCT(R326:AA326*(1+(DCF_FCFF!$C$25+$P326))^(-Scenario_DT!$I$17:$R$17))+AB326</f>
        <v>45259.180304812166</v>
      </c>
      <c r="AD326" s="68">
        <f>((AC326-DCF_FCFF!$C$48)*(1-DCF_FCFF!$C$50)+DCF_FCFF!$C$57+DCF_FCFF!$C$58)/DCF_FCFF!$C$60</f>
        <v>337.98796521265115</v>
      </c>
      <c r="AE326" s="6"/>
      <c r="AF326" s="6"/>
      <c r="AG326" s="6"/>
    </row>
    <row r="327" spans="1:33" x14ac:dyDescent="0.3">
      <c r="A327" s="6"/>
      <c r="B327" s="72">
        <v>296</v>
      </c>
      <c r="C327" s="73">
        <v>0.50819291477824502</v>
      </c>
      <c r="D327" s="73">
        <v>0.43666748933883998</v>
      </c>
      <c r="E327" s="73">
        <v>0.994814892829608</v>
      </c>
      <c r="F327" s="73">
        <v>0.48628061267058198</v>
      </c>
      <c r="G327" s="73">
        <v>0.47794658073983098</v>
      </c>
      <c r="H327" s="15">
        <f t="shared" si="41"/>
        <v>2.0538035604676288E-2</v>
      </c>
      <c r="I327" s="15">
        <f t="shared" si="42"/>
        <v>-0.15942381312188819</v>
      </c>
      <c r="J327" s="15">
        <f t="shared" si="43"/>
        <v>2.5632339550947325</v>
      </c>
      <c r="K327" s="15">
        <f t="shared" si="44"/>
        <v>-3.4396185327595676E-2</v>
      </c>
      <c r="L327" s="15">
        <f t="shared" si="45"/>
        <v>-5.5307908827120882E-2</v>
      </c>
      <c r="M327" s="18">
        <f t="shared" si="46"/>
        <v>4.1076071209352578E-4</v>
      </c>
      <c r="N327" s="18">
        <f t="shared" si="47"/>
        <v>-1.0223684346351999E-3</v>
      </c>
      <c r="O327" s="18">
        <f t="shared" si="48"/>
        <v>3.0758807461136791E-2</v>
      </c>
      <c r="P327" s="18">
        <f t="shared" si="49"/>
        <v>-2.0637711196557407E-4</v>
      </c>
      <c r="Q327" s="18">
        <f t="shared" si="50"/>
        <v>-2.2123163530848354E-4</v>
      </c>
      <c r="R327" s="28">
        <f>((Scenario_DT!I$11*(IF(Scenario_DT!I$18=1,1,1+$M327/Scenario_DT!$C$19)*(1+$N327)^MAX(0,Scenario_DT!I$18-3))*(Scenario_DT!I$12+$O327)-Scenario_DT!I$13)*(1-Scenario_DT!I$14)+Scenario_DT!I$13-Scenario_DT!I$15)*Scenario_DT!I$16</f>
        <v>954.35114590104297</v>
      </c>
      <c r="S327" s="28">
        <f>((Scenario_DT!J$11*(IF(Scenario_DT!J$18=1,1,1+$M327/Scenario_DT!$C$19)*(1+$N327)^MAX(0,Scenario_DT!J$18-3))*(Scenario_DT!J$12+$O327)-Scenario_DT!J$13)*(1-Scenario_DT!J$14)+Scenario_DT!J$13-Scenario_DT!J$15)*Scenario_DT!J$16</f>
        <v>1928.5247019124349</v>
      </c>
      <c r="T327" s="28">
        <f>((Scenario_DT!K$11*(IF(Scenario_DT!K$18=1,1,1+$M327/Scenario_DT!$C$19)*(1+$N327)^MAX(0,Scenario_DT!K$18-3))*(Scenario_DT!K$12+$O327)-Scenario_DT!K$13)*(1-Scenario_DT!K$14)+Scenario_DT!K$13-Scenario_DT!K$15)*Scenario_DT!K$16</f>
        <v>2196.63317817598</v>
      </c>
      <c r="U327" s="28">
        <f>((Scenario_DT!L$11*(IF(Scenario_DT!L$18=1,1,1+$M327/Scenario_DT!$C$19)*(1+$N327)^MAX(0,Scenario_DT!L$18-3))*(Scenario_DT!L$12+$O327)-Scenario_DT!L$13)*(1-Scenario_DT!L$14)+Scenario_DT!L$13-Scenario_DT!L$15)*Scenario_DT!L$16</f>
        <v>2601.169361124691</v>
      </c>
      <c r="V327" s="28">
        <f>((Scenario_DT!M$11*(IF(Scenario_DT!M$18=1,1,1+$M327/Scenario_DT!$C$19)*(1+$N327)^MAX(0,Scenario_DT!M$18-3))*(Scenario_DT!M$12+$O327)-Scenario_DT!M$13)*(1-Scenario_DT!M$14)+Scenario_DT!M$13-Scenario_DT!M$15)*Scenario_DT!M$16</f>
        <v>2727.6959633095244</v>
      </c>
      <c r="W327" s="28">
        <f>((Scenario_DT!N$11*(IF(Scenario_DT!N$18=1,1,1+$M327/Scenario_DT!$C$19)*(1+$N327)^MAX(0,Scenario_DT!N$18-3))*(Scenario_DT!N$12+$O327)-Scenario_DT!N$13)*(1-Scenario_DT!N$14)+Scenario_DT!N$13-Scenario_DT!N$15)*Scenario_DT!N$16</f>
        <v>2860.3683346876942</v>
      </c>
      <c r="X327" s="28">
        <f>((Scenario_DT!O$11*(IF(Scenario_DT!O$18=1,1,1+$M327/Scenario_DT!$C$19)*(1+$N327)^MAX(0,Scenario_DT!O$18-3))*(Scenario_DT!O$12+$O327)-Scenario_DT!O$13)*(1-Scenario_DT!O$14)+Scenario_DT!O$13-Scenario_DT!O$15)*Scenario_DT!O$16</f>
        <v>2999.4872426457264</v>
      </c>
      <c r="Y327" s="28">
        <f>((Scenario_DT!P$11*(IF(Scenario_DT!P$18=1,1,1+$M327/Scenario_DT!$C$19)*(1+$N327)^MAX(0,Scenario_DT!P$18-3))*(Scenario_DT!P$12+$O327)-Scenario_DT!P$13)*(1-Scenario_DT!P$14)+Scenario_DT!P$13-Scenario_DT!P$15)*Scenario_DT!P$16</f>
        <v>3145.3681945158655</v>
      </c>
      <c r="Z327" s="28">
        <f>((Scenario_DT!Q$11*(IF(Scenario_DT!Q$18=1,1,1+$M327/Scenario_DT!$C$19)*(1+$N327)^MAX(0,Scenario_DT!Q$18-3))*(Scenario_DT!Q$12+$O327)-Scenario_DT!Q$13)*(1-Scenario_DT!Q$14)+Scenario_DT!Q$13-Scenario_DT!Q$15)*Scenario_DT!Q$16</f>
        <v>3298.3421600662709</v>
      </c>
      <c r="AA327" s="28">
        <f>((Scenario_DT!R$11*(IF(Scenario_DT!R$18=1,1,1+$M327/Scenario_DT!$C$19)*(1+$N327)^MAX(0,Scenario_DT!R$18-3))*(Scenario_DT!R$12+$O327)-Scenario_DT!R$13)*(1-Scenario_DT!R$14)+Scenario_DT!R$13-Scenario_DT!R$15)*Scenario_DT!R$16</f>
        <v>3458.7563294017823</v>
      </c>
      <c r="AB327" s="17">
        <f>(Scenario_DT!$R$11*(1+$M327/Scenario_DT!$C$19)*(1+$N327)^7*(Scenario_DT!$R$12+$O327)*(1+MIN(DCF_FCFF!$C$26+$Q327,(DCF_FCFF!$C$25+$P327)-0.02))*(1-DCF_FCFF!$C$27)*(1-DCF_FCFF!$C$28)/((DCF_FCFF!$C$25+$P327)-MIN(DCF_FCFF!$C$26+$Q327,(DCF_FCFF!$C$25+$P327)-0.02)))*(1+(DCF_FCFF!$C$25+$P327))^(-(Inputs!$C$9+9))</f>
        <v>29204.040867221302</v>
      </c>
      <c r="AC327" s="17">
        <f>SUMPRODUCT(R327:AA327*(1+(DCF_FCFF!$C$25+$P327))^(-Scenario_DT!$I$17:$R$17))+AB327</f>
        <v>46340.644740109492</v>
      </c>
      <c r="AD327" s="68">
        <f>((AC327-DCF_FCFF!$C$48)*(1-DCF_FCFF!$C$50)+DCF_FCFF!$C$57+DCF_FCFF!$C$58)/DCF_FCFF!$C$60</f>
        <v>348.36869193876259</v>
      </c>
      <c r="AE327" s="6"/>
      <c r="AF327" s="6"/>
      <c r="AG327" s="6"/>
    </row>
    <row r="328" spans="1:33" x14ac:dyDescent="0.3">
      <c r="A328" s="6"/>
      <c r="B328" s="72">
        <v>297</v>
      </c>
      <c r="C328" s="73">
        <v>0.42176606271456102</v>
      </c>
      <c r="D328" s="73">
        <v>6.6825754701462903E-2</v>
      </c>
      <c r="E328" s="73">
        <v>0.59295663114961605</v>
      </c>
      <c r="F328" s="73">
        <v>0.22796777222318201</v>
      </c>
      <c r="G328" s="73">
        <v>0.63760898022904999</v>
      </c>
      <c r="H328" s="15">
        <f t="shared" si="41"/>
        <v>-0.19737751309204549</v>
      </c>
      <c r="I328" s="15">
        <f t="shared" si="42"/>
        <v>-1.499856765101915</v>
      </c>
      <c r="J328" s="15">
        <f t="shared" si="43"/>
        <v>0.23515718235813646</v>
      </c>
      <c r="K328" s="15">
        <f t="shared" si="44"/>
        <v>-0.74555620906756981</v>
      </c>
      <c r="L328" s="15">
        <f t="shared" si="45"/>
        <v>0.35207496949418388</v>
      </c>
      <c r="M328" s="18">
        <f t="shared" si="46"/>
        <v>-3.9475502618409094E-3</v>
      </c>
      <c r="N328" s="18">
        <f t="shared" si="47"/>
        <v>-1.1180822537297845E-2</v>
      </c>
      <c r="O328" s="18">
        <f t="shared" si="48"/>
        <v>2.8218861882976375E-3</v>
      </c>
      <c r="P328" s="18">
        <f t="shared" si="49"/>
        <v>-4.4733372544054186E-3</v>
      </c>
      <c r="Q328" s="18">
        <f t="shared" si="50"/>
        <v>1.4082998779767356E-3</v>
      </c>
      <c r="R328" s="28">
        <f>((Scenario_DT!I$11*(IF(Scenario_DT!I$18=1,1,1+$M328/Scenario_DT!$C$19)*(1+$N328)^MAX(0,Scenario_DT!I$18-3))*(Scenario_DT!I$12+$O328)-Scenario_DT!I$13)*(1-Scenario_DT!I$14)+Scenario_DT!I$13-Scenario_DT!I$15)*Scenario_DT!I$16</f>
        <v>914.96309337845037</v>
      </c>
      <c r="S328" s="28">
        <f>((Scenario_DT!J$11*(IF(Scenario_DT!J$18=1,1,1+$M328/Scenario_DT!$C$19)*(1+$N328)^MAX(0,Scenario_DT!J$18-3))*(Scenario_DT!J$12+$O328)-Scenario_DT!J$13)*(1-Scenario_DT!J$14)+Scenario_DT!J$13-Scenario_DT!J$15)*Scenario_DT!J$16</f>
        <v>1831.1822693088238</v>
      </c>
      <c r="T328" s="28">
        <f>((Scenario_DT!K$11*(IF(Scenario_DT!K$18=1,1,1+$M328/Scenario_DT!$C$19)*(1+$N328)^MAX(0,Scenario_DT!K$18-3))*(Scenario_DT!K$12+$O328)-Scenario_DT!K$13)*(1-Scenario_DT!K$14)+Scenario_DT!K$13-Scenario_DT!K$15)*Scenario_DT!K$16</f>
        <v>2095.60633657982</v>
      </c>
      <c r="U328" s="28">
        <f>((Scenario_DT!L$11*(IF(Scenario_DT!L$18=1,1,1+$M328/Scenario_DT!$C$19)*(1+$N328)^MAX(0,Scenario_DT!L$18-3))*(Scenario_DT!L$12+$O328)-Scenario_DT!L$13)*(1-Scenario_DT!L$14)+Scenario_DT!L$13-Scenario_DT!L$15)*Scenario_DT!L$16</f>
        <v>2468.478225587749</v>
      </c>
      <c r="V328" s="28">
        <f>((Scenario_DT!M$11*(IF(Scenario_DT!M$18=1,1,1+$M328/Scenario_DT!$C$19)*(1+$N328)^MAX(0,Scenario_DT!M$18-3))*(Scenario_DT!M$12+$O328)-Scenario_DT!M$13)*(1-Scenario_DT!M$14)+Scenario_DT!M$13-Scenario_DT!M$15)*Scenario_DT!M$16</f>
        <v>2562.0030004675068</v>
      </c>
      <c r="W328" s="28">
        <f>((Scenario_DT!N$11*(IF(Scenario_DT!N$18=1,1,1+$M328/Scenario_DT!$C$19)*(1+$N328)^MAX(0,Scenario_DT!N$18-3))*(Scenario_DT!N$12+$O328)-Scenario_DT!N$13)*(1-Scenario_DT!N$14)+Scenario_DT!N$13-Scenario_DT!N$15)*Scenario_DT!N$16</f>
        <v>2659.0446149803747</v>
      </c>
      <c r="X328" s="28">
        <f>((Scenario_DT!O$11*(IF(Scenario_DT!O$18=1,1,1+$M328/Scenario_DT!$C$19)*(1+$N328)^MAX(0,Scenario_DT!O$18-3))*(Scenario_DT!O$12+$O328)-Scenario_DT!O$13)*(1-Scenario_DT!O$14)+Scenario_DT!O$13-Scenario_DT!O$15)*Scenario_DT!O$16</f>
        <v>2759.7364062304891</v>
      </c>
      <c r="Y328" s="28">
        <f>((Scenario_DT!P$11*(IF(Scenario_DT!P$18=1,1,1+$M328/Scenario_DT!$C$19)*(1+$N328)^MAX(0,Scenario_DT!P$18-3))*(Scenario_DT!P$12+$O328)-Scenario_DT!P$13)*(1-Scenario_DT!P$14)+Scenario_DT!P$13-Scenario_DT!P$15)*Scenario_DT!P$16</f>
        <v>2864.2167747677881</v>
      </c>
      <c r="Z328" s="28">
        <f>((Scenario_DT!Q$11*(IF(Scenario_DT!Q$18=1,1,1+$M328/Scenario_DT!$C$19)*(1+$N328)^MAX(0,Scenario_DT!Q$18-3))*(Scenario_DT!Q$12+$O328)-Scenario_DT!Q$13)*(1-Scenario_DT!Q$14)+Scenario_DT!Q$13-Scenario_DT!Q$15)*Scenario_DT!Q$16</f>
        <v>2972.6293768352102</v>
      </c>
      <c r="AA328" s="28">
        <f>((Scenario_DT!R$11*(IF(Scenario_DT!R$18=1,1,1+$M328/Scenario_DT!$C$19)*(1+$N328)^MAX(0,Scenario_DT!R$18-3))*(Scenario_DT!R$12+$O328)-Scenario_DT!R$13)*(1-Scenario_DT!R$14)+Scenario_DT!R$13-Scenario_DT!R$15)*Scenario_DT!R$16</f>
        <v>3085.1233239101489</v>
      </c>
      <c r="AB328" s="17">
        <f>(Scenario_DT!$R$11*(1+$M328/Scenario_DT!$C$19)*(1+$N328)^7*(Scenario_DT!$R$12+$O328)*(1+MIN(DCF_FCFF!$C$26+$Q328,(DCF_FCFF!$C$25+$P328)-0.02))*(1-DCF_FCFF!$C$27)*(1-DCF_FCFF!$C$28)/((DCF_FCFF!$C$25+$P328)-MIN(DCF_FCFF!$C$26+$Q328,(DCF_FCFF!$C$25+$P328)-0.02)))*(1+(DCF_FCFF!$C$25+$P328))^(-(Inputs!$C$9+9))</f>
        <v>30694.030934929619</v>
      </c>
      <c r="AC328" s="17">
        <f>SUMPRODUCT(R328:AA328*(1+(DCF_FCFF!$C$25+$P328))^(-Scenario_DT!$I$17:$R$17))+AB328</f>
        <v>46919.853163422427</v>
      </c>
      <c r="AD328" s="68">
        <f>((AC328-DCF_FCFF!$C$48)*(1-DCF_FCFF!$C$50)+DCF_FCFF!$C$57+DCF_FCFF!$C$58)/DCF_FCFF!$C$60</f>
        <v>353.92837949170593</v>
      </c>
      <c r="AE328" s="6"/>
      <c r="AF328" s="6"/>
      <c r="AG328" s="6"/>
    </row>
    <row r="329" spans="1:33" x14ac:dyDescent="0.3">
      <c r="A329" s="6"/>
      <c r="B329" s="72">
        <v>298</v>
      </c>
      <c r="C329" s="73">
        <v>5.0833461948477203E-2</v>
      </c>
      <c r="D329" s="73">
        <v>0.98138710125300199</v>
      </c>
      <c r="E329" s="73">
        <v>0.46900507901267202</v>
      </c>
      <c r="F329" s="73">
        <v>0.89675537159069796</v>
      </c>
      <c r="G329" s="73">
        <v>0.47556117323293501</v>
      </c>
      <c r="H329" s="15">
        <f t="shared" si="41"/>
        <v>-1.6368255578215423</v>
      </c>
      <c r="I329" s="15">
        <f t="shared" si="42"/>
        <v>2.083279024977835</v>
      </c>
      <c r="J329" s="15">
        <f t="shared" si="43"/>
        <v>-7.7771071884226078E-2</v>
      </c>
      <c r="K329" s="15">
        <f t="shared" si="44"/>
        <v>1.2632780915398878</v>
      </c>
      <c r="L329" s="15">
        <f t="shared" si="45"/>
        <v>-6.1297418764734511E-2</v>
      </c>
      <c r="M329" s="18">
        <f t="shared" si="46"/>
        <v>-3.2736511156430843E-2</v>
      </c>
      <c r="N329" s="18">
        <f t="shared" si="47"/>
        <v>7.8860782391304805E-3</v>
      </c>
      <c r="O329" s="18">
        <f t="shared" si="48"/>
        <v>-9.3325286261071298E-4</v>
      </c>
      <c r="P329" s="18">
        <f t="shared" si="49"/>
        <v>7.5796685492393271E-3</v>
      </c>
      <c r="Q329" s="18">
        <f t="shared" si="50"/>
        <v>-2.4518967505893804E-4</v>
      </c>
      <c r="R329" s="28">
        <f>((Scenario_DT!I$11*(IF(Scenario_DT!I$18=1,1,1+$M329/Scenario_DT!$C$19)*(1+$N329)^MAX(0,Scenario_DT!I$18-3))*(Scenario_DT!I$12+$O329)-Scenario_DT!I$13)*(1-Scenario_DT!I$14)+Scenario_DT!I$13-Scenario_DT!I$15)*Scenario_DT!I$16</f>
        <v>909.66875143137952</v>
      </c>
      <c r="S329" s="28">
        <f>((Scenario_DT!J$11*(IF(Scenario_DT!J$18=1,1,1+$M329/Scenario_DT!$C$19)*(1+$N329)^MAX(0,Scenario_DT!J$18-3))*(Scenario_DT!J$12+$O329)-Scenario_DT!J$13)*(1-Scenario_DT!J$14)+Scenario_DT!J$13-Scenario_DT!J$15)*Scenario_DT!J$16</f>
        <v>1750.6642624424176</v>
      </c>
      <c r="T329" s="28">
        <f>((Scenario_DT!K$11*(IF(Scenario_DT!K$18=1,1,1+$M329/Scenario_DT!$C$19)*(1+$N329)^MAX(0,Scenario_DT!K$18-3))*(Scenario_DT!K$12+$O329)-Scenario_DT!K$13)*(1-Scenario_DT!K$14)+Scenario_DT!K$13-Scenario_DT!K$15)*Scenario_DT!K$16</f>
        <v>2011.1844231214227</v>
      </c>
      <c r="U329" s="28">
        <f>((Scenario_DT!L$11*(IF(Scenario_DT!L$18=1,1,1+$M329/Scenario_DT!$C$19)*(1+$N329)^MAX(0,Scenario_DT!L$18-3))*(Scenario_DT!L$12+$O329)-Scenario_DT!L$13)*(1-Scenario_DT!L$14)+Scenario_DT!L$13-Scenario_DT!L$15)*Scenario_DT!L$16</f>
        <v>2426.0578995937294</v>
      </c>
      <c r="V329" s="28">
        <f>((Scenario_DT!M$11*(IF(Scenario_DT!M$18=1,1,1+$M329/Scenario_DT!$C$19)*(1+$N329)^MAX(0,Scenario_DT!M$18-3))*(Scenario_DT!M$12+$O329)-Scenario_DT!M$13)*(1-Scenario_DT!M$14)+Scenario_DT!M$13-Scenario_DT!M$15)*Scenario_DT!M$16</f>
        <v>2566.8677817630537</v>
      </c>
      <c r="W329" s="28">
        <f>((Scenario_DT!N$11*(IF(Scenario_DT!N$18=1,1,1+$M329/Scenario_DT!$C$19)*(1+$N329)^MAX(0,Scenario_DT!N$18-3))*(Scenario_DT!N$12+$O329)-Scenario_DT!N$13)*(1-Scenario_DT!N$14)+Scenario_DT!N$13-Scenario_DT!N$15)*Scenario_DT!N$16</f>
        <v>2715.8540218346989</v>
      </c>
      <c r="X329" s="28">
        <f>((Scenario_DT!O$11*(IF(Scenario_DT!O$18=1,1,1+$M329/Scenario_DT!$C$19)*(1+$N329)^MAX(0,Scenario_DT!O$18-3))*(Scenario_DT!O$12+$O329)-Scenario_DT!O$13)*(1-Scenario_DT!O$14)+Scenario_DT!O$13-Scenario_DT!O$15)*Scenario_DT!O$16</f>
        <v>2873.494352163556</v>
      </c>
      <c r="Y329" s="28">
        <f>((Scenario_DT!P$11*(IF(Scenario_DT!P$18=1,1,1+$M329/Scenario_DT!$C$19)*(1+$N329)^MAX(0,Scenario_DT!P$18-3))*(Scenario_DT!P$12+$O329)-Scenario_DT!P$13)*(1-Scenario_DT!P$14)+Scenario_DT!P$13-Scenario_DT!P$15)*Scenario_DT!P$16</f>
        <v>3040.2944267809485</v>
      </c>
      <c r="Z329" s="28">
        <f>((Scenario_DT!Q$11*(IF(Scenario_DT!Q$18=1,1,1+$M329/Scenario_DT!$C$19)*(1+$N329)^MAX(0,Scenario_DT!Q$18-3))*(Scenario_DT!Q$12+$O329)-Scenario_DT!Q$13)*(1-Scenario_DT!Q$14)+Scenario_DT!Q$13-Scenario_DT!Q$15)*Scenario_DT!Q$16</f>
        <v>3216.7894524494513</v>
      </c>
      <c r="AA329" s="28">
        <f>((Scenario_DT!R$11*(IF(Scenario_DT!R$18=1,1,1+$M329/Scenario_DT!$C$19)*(1+$N329)^MAX(0,Scenario_DT!R$18-3))*(Scenario_DT!R$12+$O329)-Scenario_DT!R$13)*(1-Scenario_DT!R$14)+Scenario_DT!R$13-Scenario_DT!R$15)*Scenario_DT!R$16</f>
        <v>3403.5459149455564</v>
      </c>
      <c r="AB329" s="17">
        <f>(Scenario_DT!$R$11*(1+$M329/Scenario_DT!$C$19)*(1+$N329)^7*(Scenario_DT!$R$12+$O329)*(1+MIN(DCF_FCFF!$C$26+$Q329,(DCF_FCFF!$C$25+$P329)-0.02))*(1-DCF_FCFF!$C$27)*(1-DCF_FCFF!$C$28)/((DCF_FCFF!$C$25+$P329)-MIN(DCF_FCFF!$C$26+$Q329,(DCF_FCFF!$C$25+$P329)-0.02)))*(1+(DCF_FCFF!$C$25+$P329))^(-(Inputs!$C$9+9))</f>
        <v>23263.567732401552</v>
      </c>
      <c r="AC329" s="17">
        <f>SUMPRODUCT(R329:AA329*(1+(DCF_FCFF!$C$25+$P329))^(-Scenario_DT!$I$17:$R$17))+AB329</f>
        <v>38967.694335775261</v>
      </c>
      <c r="AD329" s="68">
        <f>((AC329-DCF_FCFF!$C$48)*(1-DCF_FCFF!$C$50)+DCF_FCFF!$C$57+DCF_FCFF!$C$58)/DCF_FCFF!$C$60</f>
        <v>277.597448045269</v>
      </c>
      <c r="AE329" s="6"/>
      <c r="AF329" s="6"/>
      <c r="AG329" s="6"/>
    </row>
    <row r="330" spans="1:33" x14ac:dyDescent="0.3">
      <c r="A330" s="6"/>
      <c r="B330" s="72">
        <v>299</v>
      </c>
      <c r="C330" s="73">
        <v>6.0330818574221699E-2</v>
      </c>
      <c r="D330" s="73">
        <v>0.82221354609380704</v>
      </c>
      <c r="E330" s="73">
        <v>0.648183729667134</v>
      </c>
      <c r="F330" s="73">
        <v>0.78175704757394504</v>
      </c>
      <c r="G330" s="73">
        <v>0.42816986350887298</v>
      </c>
      <c r="H330" s="15">
        <f t="shared" si="41"/>
        <v>-1.5520024509947064</v>
      </c>
      <c r="I330" s="15">
        <f t="shared" si="42"/>
        <v>0.92383369721710795</v>
      </c>
      <c r="J330" s="15">
        <f t="shared" si="43"/>
        <v>0.38042152267722273</v>
      </c>
      <c r="K330" s="15">
        <f t="shared" si="44"/>
        <v>0.77814098218314665</v>
      </c>
      <c r="L330" s="15">
        <f t="shared" si="45"/>
        <v>-0.18103548010071144</v>
      </c>
      <c r="M330" s="18">
        <f t="shared" si="46"/>
        <v>-3.1040049019894128E-2</v>
      </c>
      <c r="N330" s="18">
        <f t="shared" si="47"/>
        <v>1.9249780131810825E-4</v>
      </c>
      <c r="O330" s="18">
        <f t="shared" si="48"/>
        <v>4.5650582721266731E-3</v>
      </c>
      <c r="P330" s="18">
        <f t="shared" si="49"/>
        <v>4.66884589309888E-3</v>
      </c>
      <c r="Q330" s="18">
        <f t="shared" si="50"/>
        <v>-7.2414192040284571E-4</v>
      </c>
      <c r="R330" s="28">
        <f>((Scenario_DT!I$11*(IF(Scenario_DT!I$18=1,1,1+$M330/Scenario_DT!$C$19)*(1+$N330)^MAX(0,Scenario_DT!I$18-3))*(Scenario_DT!I$12+$O330)-Scenario_DT!I$13)*(1-Scenario_DT!I$14)+Scenario_DT!I$13-Scenario_DT!I$15)*Scenario_DT!I$16</f>
        <v>917.4207784226694</v>
      </c>
      <c r="S330" s="28">
        <f>((Scenario_DT!J$11*(IF(Scenario_DT!J$18=1,1,1+$M330/Scenario_DT!$C$19)*(1+$N330)^MAX(0,Scenario_DT!J$18-3))*(Scenario_DT!J$12+$O330)-Scenario_DT!J$13)*(1-Scenario_DT!J$14)+Scenario_DT!J$13-Scenario_DT!J$15)*Scenario_DT!J$16</f>
        <v>1771.2476233359762</v>
      </c>
      <c r="T330" s="28">
        <f>((Scenario_DT!K$11*(IF(Scenario_DT!K$18=1,1,1+$M330/Scenario_DT!$C$19)*(1+$N330)^MAX(0,Scenario_DT!K$18-3))*(Scenario_DT!K$12+$O330)-Scenario_DT!K$13)*(1-Scenario_DT!K$14)+Scenario_DT!K$13-Scenario_DT!K$15)*Scenario_DT!K$16</f>
        <v>2032.5732113115946</v>
      </c>
      <c r="U330" s="28">
        <f>((Scenario_DT!L$11*(IF(Scenario_DT!L$18=1,1,1+$M330/Scenario_DT!$C$19)*(1+$N330)^MAX(0,Scenario_DT!L$18-3))*(Scenario_DT!L$12+$O330)-Scenario_DT!L$13)*(1-Scenario_DT!L$14)+Scenario_DT!L$13-Scenario_DT!L$15)*Scenario_DT!L$16</f>
        <v>2430.1245536766774</v>
      </c>
      <c r="V330" s="28">
        <f>((Scenario_DT!M$11*(IF(Scenario_DT!M$18=1,1,1+$M330/Scenario_DT!$C$19)*(1+$N330)^MAX(0,Scenario_DT!M$18-3))*(Scenario_DT!M$12+$O330)-Scenario_DT!M$13)*(1-Scenario_DT!M$14)+Scenario_DT!M$13-Scenario_DT!M$15)*Scenario_DT!M$16</f>
        <v>2551.4039456819232</v>
      </c>
      <c r="W330" s="28">
        <f>((Scenario_DT!N$11*(IF(Scenario_DT!N$18=1,1,1+$M330/Scenario_DT!$C$19)*(1+$N330)^MAX(0,Scenario_DT!N$18-3))*(Scenario_DT!N$12+$O330)-Scenario_DT!N$13)*(1-Scenario_DT!N$14)+Scenario_DT!N$13-Scenario_DT!N$15)*Scenario_DT!N$16</f>
        <v>2678.729080883666</v>
      </c>
      <c r="X330" s="28">
        <f>((Scenario_DT!O$11*(IF(Scenario_DT!O$18=1,1,1+$M330/Scenario_DT!$C$19)*(1+$N330)^MAX(0,Scenario_DT!O$18-3))*(Scenario_DT!O$12+$O330)-Scenario_DT!O$13)*(1-Scenario_DT!O$14)+Scenario_DT!O$13-Scenario_DT!O$15)*Scenario_DT!O$16</f>
        <v>2812.4036995032011</v>
      </c>
      <c r="Y330" s="28">
        <f>((Scenario_DT!P$11*(IF(Scenario_DT!P$18=1,1,1+$M330/Scenario_DT!$C$19)*(1+$N330)^MAX(0,Scenario_DT!P$18-3))*(Scenario_DT!P$12+$O330)-Scenario_DT!P$13)*(1-Scenario_DT!P$14)+Scenario_DT!P$13-Scenario_DT!P$15)*Scenario_DT!P$16</f>
        <v>2952.7468220859341</v>
      </c>
      <c r="Z330" s="28">
        <f>((Scenario_DT!Q$11*(IF(Scenario_DT!Q$18=1,1,1+$M330/Scenario_DT!$C$19)*(1+$N330)^MAX(0,Scenario_DT!Q$18-3))*(Scenario_DT!Q$12+$O330)-Scenario_DT!Q$13)*(1-Scenario_DT!Q$14)+Scenario_DT!Q$13-Scenario_DT!Q$15)*Scenario_DT!Q$16</f>
        <v>3100.0935182566232</v>
      </c>
      <c r="AA330" s="28">
        <f>((Scenario_DT!R$11*(IF(Scenario_DT!R$18=1,1,1+$M330/Scenario_DT!$C$19)*(1+$N330)^MAX(0,Scenario_DT!R$18-3))*(Scenario_DT!R$12+$O330)-Scenario_DT!R$13)*(1-Scenario_DT!R$14)+Scenario_DT!R$13-Scenario_DT!R$15)*Scenario_DT!R$16</f>
        <v>3254.7957141441143</v>
      </c>
      <c r="AB330" s="17">
        <f>(Scenario_DT!$R$11*(1+$M330/Scenario_DT!$C$19)*(1+$N330)^7*(Scenario_DT!$R$12+$O330)*(1+MIN(DCF_FCFF!$C$26+$Q330,(DCF_FCFF!$C$25+$P330)-0.02))*(1-DCF_FCFF!$C$27)*(1-DCF_FCFF!$C$28)/((DCF_FCFF!$C$25+$P330)-MIN(DCF_FCFF!$C$26+$Q330,(DCF_FCFF!$C$25+$P330)-0.02)))*(1+(DCF_FCFF!$C$25+$P330))^(-(Inputs!$C$9+9))</f>
        <v>23805.661445100483</v>
      </c>
      <c r="AC330" s="17">
        <f>SUMPRODUCT(R330:AA330*(1+(DCF_FCFF!$C$25+$P330))^(-Scenario_DT!$I$17:$R$17))+AB330</f>
        <v>39511.789205461217</v>
      </c>
      <c r="AD330" s="68">
        <f>((AC330-DCF_FCFF!$C$48)*(1-DCF_FCFF!$C$50)+DCF_FCFF!$C$57+DCF_FCFF!$C$58)/DCF_FCFF!$C$60</f>
        <v>282.8200887266857</v>
      </c>
      <c r="AE330" s="6"/>
      <c r="AF330" s="6"/>
      <c r="AG330" s="6"/>
    </row>
    <row r="331" spans="1:33" x14ac:dyDescent="0.3">
      <c r="A331" s="6"/>
      <c r="B331" s="72">
        <v>300</v>
      </c>
      <c r="C331" s="73">
        <v>0.63793674424664504</v>
      </c>
      <c r="D331" s="73">
        <v>0.85622900379660805</v>
      </c>
      <c r="E331" s="73">
        <v>0.63106544287188804</v>
      </c>
      <c r="F331" s="73">
        <v>0.34767363483590302</v>
      </c>
      <c r="G331" s="73">
        <v>0.66252959436619996</v>
      </c>
      <c r="H331" s="15">
        <f t="shared" si="41"/>
        <v>0.35294921815150626</v>
      </c>
      <c r="I331" s="15">
        <f t="shared" si="42"/>
        <v>1.0635292839134622</v>
      </c>
      <c r="J331" s="15">
        <f t="shared" si="43"/>
        <v>0.33467652144597965</v>
      </c>
      <c r="K331" s="15">
        <f t="shared" si="44"/>
        <v>-0.39160882043667261</v>
      </c>
      <c r="L331" s="15">
        <f t="shared" si="45"/>
        <v>0.41937675262322327</v>
      </c>
      <c r="M331" s="18">
        <f t="shared" si="46"/>
        <v>7.058984363030125E-3</v>
      </c>
      <c r="N331" s="18">
        <f t="shared" si="47"/>
        <v>8.7801438929078733E-3</v>
      </c>
      <c r="O331" s="18">
        <f t="shared" si="48"/>
        <v>4.0161182573517562E-3</v>
      </c>
      <c r="P331" s="18">
        <f t="shared" si="49"/>
        <v>-2.3496529226200357E-3</v>
      </c>
      <c r="Q331" s="18">
        <f t="shared" si="50"/>
        <v>1.6775070104928932E-3</v>
      </c>
      <c r="R331" s="28">
        <f>((Scenario_DT!I$11*(IF(Scenario_DT!I$18=1,1,1+$M331/Scenario_DT!$C$19)*(1+$N331)^MAX(0,Scenario_DT!I$18-3))*(Scenario_DT!I$12+$O331)-Scenario_DT!I$13)*(1-Scenario_DT!I$14)+Scenario_DT!I$13-Scenario_DT!I$15)*Scenario_DT!I$16</f>
        <v>916.64683207680889</v>
      </c>
      <c r="S331" s="28">
        <f>((Scenario_DT!J$11*(IF(Scenario_DT!J$18=1,1,1+$M331/Scenario_DT!$C$19)*(1+$N331)^MAX(0,Scenario_DT!J$18-3))*(Scenario_DT!J$12+$O331)-Scenario_DT!J$13)*(1-Scenario_DT!J$14)+Scenario_DT!J$13-Scenario_DT!J$15)*Scenario_DT!J$16</f>
        <v>1861.3985715482499</v>
      </c>
      <c r="T331" s="28">
        <f>((Scenario_DT!K$11*(IF(Scenario_DT!K$18=1,1,1+$M331/Scenario_DT!$C$19)*(1+$N331)^MAX(0,Scenario_DT!K$18-3))*(Scenario_DT!K$12+$O331)-Scenario_DT!K$13)*(1-Scenario_DT!K$14)+Scenario_DT!K$13-Scenario_DT!K$15)*Scenario_DT!K$16</f>
        <v>2127.2945681314968</v>
      </c>
      <c r="U331" s="28">
        <f>((Scenario_DT!L$11*(IF(Scenario_DT!L$18=1,1,1+$M331/Scenario_DT!$C$19)*(1+$N331)^MAX(0,Scenario_DT!L$18-3))*(Scenario_DT!L$12+$O331)-Scenario_DT!L$13)*(1-Scenario_DT!L$14)+Scenario_DT!L$13-Scenario_DT!L$15)*Scenario_DT!L$16</f>
        <v>2552.5904801370348</v>
      </c>
      <c r="V331" s="28">
        <f>((Scenario_DT!M$11*(IF(Scenario_DT!M$18=1,1,1+$M331/Scenario_DT!$C$19)*(1+$N331)^MAX(0,Scenario_DT!M$18-3))*(Scenario_DT!M$12+$O331)-Scenario_DT!M$13)*(1-Scenario_DT!M$14)+Scenario_DT!M$13-Scenario_DT!M$15)*Scenario_DT!M$16</f>
        <v>2703.1868637178413</v>
      </c>
      <c r="W331" s="28">
        <f>((Scenario_DT!N$11*(IF(Scenario_DT!N$18=1,1,1+$M331/Scenario_DT!$C$19)*(1+$N331)^MAX(0,Scenario_DT!N$18-3))*(Scenario_DT!N$12+$O331)-Scenario_DT!N$13)*(1-Scenario_DT!N$14)+Scenario_DT!N$13-Scenario_DT!N$15)*Scenario_DT!N$16</f>
        <v>2862.6728107865083</v>
      </c>
      <c r="X331" s="28">
        <f>((Scenario_DT!O$11*(IF(Scenario_DT!O$18=1,1,1+$M331/Scenario_DT!$C$19)*(1+$N331)^MAX(0,Scenario_DT!O$18-3))*(Scenario_DT!O$12+$O331)-Scenario_DT!O$13)*(1-Scenario_DT!O$14)+Scenario_DT!O$13-Scenario_DT!O$15)*Scenario_DT!O$16</f>
        <v>3031.5760787245977</v>
      </c>
      <c r="Y331" s="28">
        <f>((Scenario_DT!P$11*(IF(Scenario_DT!P$18=1,1,1+$M331/Scenario_DT!$C$19)*(1+$N331)^MAX(0,Scenario_DT!P$18-3))*(Scenario_DT!P$12+$O331)-Scenario_DT!P$13)*(1-Scenario_DT!P$14)+Scenario_DT!P$13-Scenario_DT!P$15)*Scenario_DT!P$16</f>
        <v>3210.4557630104296</v>
      </c>
      <c r="Z331" s="28">
        <f>((Scenario_DT!Q$11*(IF(Scenario_DT!Q$18=1,1,1+$M331/Scenario_DT!$C$19)*(1+$N331)^MAX(0,Scenario_DT!Q$18-3))*(Scenario_DT!Q$12+$O331)-Scenario_DT!Q$13)*(1-Scenario_DT!Q$14)+Scenario_DT!Q$13-Scenario_DT!Q$15)*Scenario_DT!Q$16</f>
        <v>3399.9041570495783</v>
      </c>
      <c r="AA331" s="28">
        <f>((Scenario_DT!R$11*(IF(Scenario_DT!R$18=1,1,1+$M331/Scenario_DT!$C$19)*(1+$N331)^MAX(0,Scenario_DT!R$18-3))*(Scenario_DT!R$12+$O331)-Scenario_DT!R$13)*(1-Scenario_DT!R$14)+Scenario_DT!R$13-Scenario_DT!R$15)*Scenario_DT!R$16</f>
        <v>3600.5487223231089</v>
      </c>
      <c r="AB331" s="17">
        <f>(Scenario_DT!$R$11*(1+$M331/Scenario_DT!$C$19)*(1+$N331)^7*(Scenario_DT!$R$12+$O331)*(1+MIN(DCF_FCFF!$C$26+$Q331,(DCF_FCFF!$C$25+$P331)-0.02))*(1-DCF_FCFF!$C$27)*(1-DCF_FCFF!$C$28)/((DCF_FCFF!$C$25+$P331)-MIN(DCF_FCFF!$C$26+$Q331,(DCF_FCFF!$C$25+$P331)-0.02)))*(1+(DCF_FCFF!$C$25+$P331))^(-(Inputs!$C$9+9))</f>
        <v>33723.831582826657</v>
      </c>
      <c r="AC331" s="17">
        <f>SUMPRODUCT(R331:AA331*(1+(DCF_FCFF!$C$25+$P331))^(-Scenario_DT!$I$17:$R$17))+AB331</f>
        <v>50978.845811894185</v>
      </c>
      <c r="AD331" s="68">
        <f>((AC331-DCF_FCFF!$C$48)*(1-DCF_FCFF!$C$50)+DCF_FCFF!$C$57+DCF_FCFF!$C$58)/DCF_FCFF!$C$60</f>
        <v>392.8897101576527</v>
      </c>
      <c r="AE331" s="6"/>
      <c r="AF331" s="6"/>
      <c r="AG331" s="6"/>
    </row>
    <row r="332" spans="1:33" x14ac:dyDescent="0.3">
      <c r="A332" s="6"/>
      <c r="B332" s="72">
        <v>301</v>
      </c>
      <c r="C332" s="73">
        <v>0.67185418861406698</v>
      </c>
      <c r="D332" s="73">
        <v>0.96058696250662501</v>
      </c>
      <c r="E332" s="73">
        <v>0.37091232154166898</v>
      </c>
      <c r="F332" s="73">
        <v>0.42508176751413101</v>
      </c>
      <c r="G332" s="73">
        <v>0.81212296118705896</v>
      </c>
      <c r="H332" s="15">
        <f t="shared" si="41"/>
        <v>0.4450389273560752</v>
      </c>
      <c r="I332" s="15">
        <f t="shared" si="42"/>
        <v>1.7575384444350164</v>
      </c>
      <c r="J332" s="15">
        <f t="shared" si="43"/>
        <v>-0.32943800840692178</v>
      </c>
      <c r="K332" s="15">
        <f t="shared" si="44"/>
        <v>-0.18890977136535805</v>
      </c>
      <c r="L332" s="15">
        <f t="shared" si="45"/>
        <v>0.88574662488797973</v>
      </c>
      <c r="M332" s="18">
        <f t="shared" si="46"/>
        <v>8.9007785471215042E-3</v>
      </c>
      <c r="N332" s="18">
        <f t="shared" si="47"/>
        <v>1.3956739237492376E-2</v>
      </c>
      <c r="O332" s="18">
        <f t="shared" si="48"/>
        <v>-3.9532561008830611E-3</v>
      </c>
      <c r="P332" s="18">
        <f t="shared" si="49"/>
        <v>-1.1334586281921484E-3</v>
      </c>
      <c r="Q332" s="18">
        <f t="shared" si="50"/>
        <v>3.5429864995519191E-3</v>
      </c>
      <c r="R332" s="28">
        <f>((Scenario_DT!I$11*(IF(Scenario_DT!I$18=1,1,1+$M332/Scenario_DT!$C$19)*(1+$N332)^MAX(0,Scenario_DT!I$18-3))*(Scenario_DT!I$12+$O332)-Scenario_DT!I$13)*(1-Scenario_DT!I$14)+Scenario_DT!I$13-Scenario_DT!I$15)*Scenario_DT!I$16</f>
        <v>905.41087186742334</v>
      </c>
      <c r="S332" s="28">
        <f>((Scenario_DT!J$11*(IF(Scenario_DT!J$18=1,1,1+$M332/Scenario_DT!$C$19)*(1+$N332)^MAX(0,Scenario_DT!J$18-3))*(Scenario_DT!J$12+$O332)-Scenario_DT!J$13)*(1-Scenario_DT!J$14)+Scenario_DT!J$13-Scenario_DT!J$15)*Scenario_DT!J$16</f>
        <v>1840.8354712489154</v>
      </c>
      <c r="T332" s="28">
        <f>((Scenario_DT!K$11*(IF(Scenario_DT!K$18=1,1,1+$M332/Scenario_DT!$C$19)*(1+$N332)^MAX(0,Scenario_DT!K$18-3))*(Scenario_DT!K$12+$O332)-Scenario_DT!K$13)*(1-Scenario_DT!K$14)+Scenario_DT!K$13-Scenario_DT!K$15)*Scenario_DT!K$16</f>
        <v>2106.0470840338562</v>
      </c>
      <c r="U332" s="28">
        <f>((Scenario_DT!L$11*(IF(Scenario_DT!L$18=1,1,1+$M332/Scenario_DT!$C$19)*(1+$N332)^MAX(0,Scenario_DT!L$18-3))*(Scenario_DT!L$12+$O332)-Scenario_DT!L$13)*(1-Scenario_DT!L$14)+Scenario_DT!L$13-Scenario_DT!L$15)*Scenario_DT!L$16</f>
        <v>2542.9008378084991</v>
      </c>
      <c r="V332" s="28">
        <f>((Scenario_DT!M$11*(IF(Scenario_DT!M$18=1,1,1+$M332/Scenario_DT!$C$19)*(1+$N332)^MAX(0,Scenario_DT!M$18-3))*(Scenario_DT!M$12+$O332)-Scenario_DT!M$13)*(1-Scenario_DT!M$14)+Scenario_DT!M$13-Scenario_DT!M$15)*Scenario_DT!M$16</f>
        <v>2706.8368782101738</v>
      </c>
      <c r="W332" s="28">
        <f>((Scenario_DT!N$11*(IF(Scenario_DT!N$18=1,1,1+$M332/Scenario_DT!$C$19)*(1+$N332)^MAX(0,Scenario_DT!N$18-3))*(Scenario_DT!N$12+$O332)-Scenario_DT!N$13)*(1-Scenario_DT!N$14)+Scenario_DT!N$13-Scenario_DT!N$15)*Scenario_DT!N$16</f>
        <v>2881.3520147079262</v>
      </c>
      <c r="X332" s="28">
        <f>((Scenario_DT!O$11*(IF(Scenario_DT!O$18=1,1,1+$M332/Scenario_DT!$C$19)*(1+$N332)^MAX(0,Scenario_DT!O$18-3))*(Scenario_DT!O$12+$O332)-Scenario_DT!O$13)*(1-Scenario_DT!O$14)+Scenario_DT!O$13-Scenario_DT!O$15)*Scenario_DT!O$16</f>
        <v>3067.1322186520215</v>
      </c>
      <c r="Y332" s="28">
        <f>((Scenario_DT!P$11*(IF(Scenario_DT!P$18=1,1,1+$M332/Scenario_DT!$C$19)*(1+$N332)^MAX(0,Scenario_DT!P$18-3))*(Scenario_DT!P$12+$O332)-Scenario_DT!P$13)*(1-Scenario_DT!P$14)+Scenario_DT!P$13-Scenario_DT!P$15)*Scenario_DT!P$16</f>
        <v>3264.9079291794274</v>
      </c>
      <c r="Z332" s="28">
        <f>((Scenario_DT!Q$11*(IF(Scenario_DT!Q$18=1,1,1+$M332/Scenario_DT!$C$19)*(1+$N332)^MAX(0,Scenario_DT!Q$18-3))*(Scenario_DT!Q$12+$O332)-Scenario_DT!Q$13)*(1-Scenario_DT!Q$14)+Scenario_DT!Q$13-Scenario_DT!Q$15)*Scenario_DT!Q$16</f>
        <v>3475.4569337000271</v>
      </c>
      <c r="AA332" s="28">
        <f>((Scenario_DT!R$11*(IF(Scenario_DT!R$18=1,1,1+$M332/Scenario_DT!$C$19)*(1+$N332)^MAX(0,Scenario_DT!R$18-3))*(Scenario_DT!R$12+$O332)-Scenario_DT!R$13)*(1-Scenario_DT!R$14)+Scenario_DT!R$13-Scenario_DT!R$15)*Scenario_DT!R$16</f>
        <v>3699.6074348621805</v>
      </c>
      <c r="AB332" s="17">
        <f>(Scenario_DT!$R$11*(1+$M332/Scenario_DT!$C$19)*(1+$N332)^7*(Scenario_DT!$R$12+$O332)*(1+MIN(DCF_FCFF!$C$26+$Q332,(DCF_FCFF!$C$25+$P332)-0.02))*(1-DCF_FCFF!$C$27)*(1-DCF_FCFF!$C$28)/((DCF_FCFF!$C$25+$P332)-MIN(DCF_FCFF!$C$26+$Q332,(DCF_FCFF!$C$25+$P332)-0.02)))*(1+(DCF_FCFF!$C$25+$P332))^(-(Inputs!$C$9+9))</f>
        <v>34828.869171731225</v>
      </c>
      <c r="AC332" s="17">
        <f>SUMPRODUCT(R332:AA332*(1+(DCF_FCFF!$C$25+$P332))^(-Scenario_DT!$I$17:$R$17))+AB332</f>
        <v>52088.994002349413</v>
      </c>
      <c r="AD332" s="68">
        <f>((AC332-DCF_FCFF!$C$48)*(1-DCF_FCFF!$C$50)+DCF_FCFF!$C$57+DCF_FCFF!$C$58)/DCF_FCFF!$C$60</f>
        <v>403.54576560845868</v>
      </c>
      <c r="AE332" s="6"/>
      <c r="AF332" s="6"/>
      <c r="AG332" s="6"/>
    </row>
    <row r="333" spans="1:33" x14ac:dyDescent="0.3">
      <c r="A333" s="6"/>
      <c r="B333" s="72">
        <v>302</v>
      </c>
      <c r="C333" s="73">
        <v>0.50576231474274103</v>
      </c>
      <c r="D333" s="73">
        <v>0.73657309311573305</v>
      </c>
      <c r="E333" s="73">
        <v>0.45970946445359201</v>
      </c>
      <c r="F333" s="73">
        <v>0.21549514181270099</v>
      </c>
      <c r="G333" s="73">
        <v>0.74520384278101104</v>
      </c>
      <c r="H333" s="15">
        <f t="shared" si="41"/>
        <v>1.444448333605227E-2</v>
      </c>
      <c r="I333" s="15">
        <f t="shared" si="42"/>
        <v>0.63281598973512099</v>
      </c>
      <c r="J333" s="15">
        <f t="shared" si="43"/>
        <v>-0.10116569435282406</v>
      </c>
      <c r="K333" s="15">
        <f t="shared" si="44"/>
        <v>-0.78749819672563037</v>
      </c>
      <c r="L333" s="15">
        <f t="shared" si="45"/>
        <v>0.65947263261942568</v>
      </c>
      <c r="M333" s="18">
        <f t="shared" si="46"/>
        <v>2.8888966672104542E-4</v>
      </c>
      <c r="N333" s="18">
        <f t="shared" si="47"/>
        <v>4.4420557175970671E-3</v>
      </c>
      <c r="O333" s="18">
        <f t="shared" si="48"/>
        <v>-1.2139883322338887E-3</v>
      </c>
      <c r="P333" s="18">
        <f t="shared" si="49"/>
        <v>-4.724989180353782E-3</v>
      </c>
      <c r="Q333" s="18">
        <f t="shared" si="50"/>
        <v>2.6378905304777029E-3</v>
      </c>
      <c r="R333" s="28">
        <f>((Scenario_DT!I$11*(IF(Scenario_DT!I$18=1,1,1+$M333/Scenario_DT!$C$19)*(1+$N333)^MAX(0,Scenario_DT!I$18-3))*(Scenario_DT!I$12+$O333)-Scenario_DT!I$13)*(1-Scenario_DT!I$14)+Scenario_DT!I$13-Scenario_DT!I$15)*Scenario_DT!I$16</f>
        <v>909.27294463096348</v>
      </c>
      <c r="S333" s="28">
        <f>((Scenario_DT!J$11*(IF(Scenario_DT!J$18=1,1,1+$M333/Scenario_DT!$C$19)*(1+$N333)^MAX(0,Scenario_DT!J$18-3))*(Scenario_DT!J$12+$O333)-Scenario_DT!J$13)*(1-Scenario_DT!J$14)+Scenario_DT!J$13-Scenario_DT!J$15)*Scenario_DT!J$16</f>
        <v>1828.8271304457603</v>
      </c>
      <c r="T333" s="28">
        <f>((Scenario_DT!K$11*(IF(Scenario_DT!K$18=1,1,1+$M333/Scenario_DT!$C$19)*(1+$N333)^MAX(0,Scenario_DT!K$18-3))*(Scenario_DT!K$12+$O333)-Scenario_DT!K$13)*(1-Scenario_DT!K$14)+Scenario_DT!K$13-Scenario_DT!K$15)*Scenario_DT!K$16</f>
        <v>2093.309688203552</v>
      </c>
      <c r="U333" s="28">
        <f>((Scenario_DT!L$11*(IF(Scenario_DT!L$18=1,1,1+$M333/Scenario_DT!$C$19)*(1+$N333)^MAX(0,Scenario_DT!L$18-3))*(Scenario_DT!L$12+$O333)-Scenario_DT!L$13)*(1-Scenario_DT!L$14)+Scenario_DT!L$13-Scenario_DT!L$15)*Scenario_DT!L$16</f>
        <v>2505.2962759559946</v>
      </c>
      <c r="V333" s="28">
        <f>((Scenario_DT!M$11*(IF(Scenario_DT!M$18=1,1,1+$M333/Scenario_DT!$C$19)*(1+$N333)^MAX(0,Scenario_DT!M$18-3))*(Scenario_DT!M$12+$O333)-Scenario_DT!M$13)*(1-Scenario_DT!M$14)+Scenario_DT!M$13-Scenario_DT!M$15)*Scenario_DT!M$16</f>
        <v>2641.6034660054393</v>
      </c>
      <c r="W333" s="28">
        <f>((Scenario_DT!N$11*(IF(Scenario_DT!N$18=1,1,1+$M333/Scenario_DT!$C$19)*(1+$N333)^MAX(0,Scenario_DT!N$18-3))*(Scenario_DT!N$12+$O333)-Scenario_DT!N$13)*(1-Scenario_DT!N$14)+Scenario_DT!N$13-Scenario_DT!N$15)*Scenario_DT!N$16</f>
        <v>2785.3260180373904</v>
      </c>
      <c r="X333" s="28">
        <f>((Scenario_DT!O$11*(IF(Scenario_DT!O$18=1,1,1+$M333/Scenario_DT!$C$19)*(1+$N333)^MAX(0,Scenario_DT!O$18-3))*(Scenario_DT!O$12+$O333)-Scenario_DT!O$13)*(1-Scenario_DT!O$14)+Scenario_DT!O$13-Scenario_DT!O$15)*Scenario_DT!O$16</f>
        <v>2936.8700589650362</v>
      </c>
      <c r="Y333" s="28">
        <f>((Scenario_DT!P$11*(IF(Scenario_DT!P$18=1,1,1+$M333/Scenario_DT!$C$19)*(1+$N333)^MAX(0,Scenario_DT!P$18-3))*(Scenario_DT!P$12+$O333)-Scenario_DT!P$13)*(1-Scenario_DT!P$14)+Scenario_DT!P$13-Scenario_DT!P$15)*Scenario_DT!P$16</f>
        <v>3096.6639743516375</v>
      </c>
      <c r="Z333" s="28">
        <f>((Scenario_DT!Q$11*(IF(Scenario_DT!Q$18=1,1,1+$M333/Scenario_DT!$C$19)*(1+$N333)^MAX(0,Scenario_DT!Q$18-3))*(Scenario_DT!Q$12+$O333)-Scenario_DT!Q$13)*(1-Scenario_DT!Q$14)+Scenario_DT!Q$13-Scenario_DT!Q$15)*Scenario_DT!Q$16</f>
        <v>3265.1596279815003</v>
      </c>
      <c r="AA333" s="28">
        <f>((Scenario_DT!R$11*(IF(Scenario_DT!R$18=1,1,1+$M333/Scenario_DT!$C$19)*(1+$N333)^MAX(0,Scenario_DT!R$18-3))*(Scenario_DT!R$12+$O333)-Scenario_DT!R$13)*(1-Scenario_DT!R$14)+Scenario_DT!R$13-Scenario_DT!R$15)*Scenario_DT!R$16</f>
        <v>3442.8336482254658</v>
      </c>
      <c r="AB333" s="17">
        <f>(Scenario_DT!$R$11*(1+$M333/Scenario_DT!$C$19)*(1+$N333)^7*(Scenario_DT!$R$12+$O333)*(1+MIN(DCF_FCFF!$C$26+$Q333,(DCF_FCFF!$C$25+$P333)-0.02))*(1-DCF_FCFF!$C$27)*(1-DCF_FCFF!$C$28)/((DCF_FCFF!$C$25+$P333)-MIN(DCF_FCFF!$C$26+$Q333,(DCF_FCFF!$C$25+$P333)-0.02)))*(1+(DCF_FCFF!$C$25+$P333))^(-(Inputs!$C$9+9))</f>
        <v>35518.207870878163</v>
      </c>
      <c r="AC333" s="17">
        <f>SUMPRODUCT(R333:AA333*(1+(DCF_FCFF!$C$25+$P333))^(-Scenario_DT!$I$17:$R$17))+AB333</f>
        <v>52484.189351578505</v>
      </c>
      <c r="AD333" s="68">
        <f>((AC333-DCF_FCFF!$C$48)*(1-DCF_FCFF!$C$50)+DCF_FCFF!$C$57+DCF_FCFF!$C$58)/DCF_FCFF!$C$60</f>
        <v>407.33915426728169</v>
      </c>
      <c r="AE333" s="6"/>
      <c r="AF333" s="6"/>
      <c r="AG333" s="6"/>
    </row>
    <row r="334" spans="1:33" x14ac:dyDescent="0.3">
      <c r="A334" s="6"/>
      <c r="B334" s="72">
        <v>303</v>
      </c>
      <c r="C334" s="73">
        <v>0.13115516918471001</v>
      </c>
      <c r="D334" s="73">
        <v>0.19858366353130799</v>
      </c>
      <c r="E334" s="73">
        <v>0.62682498278420895</v>
      </c>
      <c r="F334" s="73">
        <v>0.74726980019207001</v>
      </c>
      <c r="G334" s="73">
        <v>0.89468788686781497</v>
      </c>
      <c r="H334" s="15">
        <f t="shared" si="41"/>
        <v>-1.1209471990876385</v>
      </c>
      <c r="I334" s="15">
        <f t="shared" si="42"/>
        <v>-0.84669108868332532</v>
      </c>
      <c r="J334" s="15">
        <f t="shared" si="43"/>
        <v>0.32345585536443711</v>
      </c>
      <c r="K334" s="15">
        <f t="shared" si="44"/>
        <v>0.66592287312344511</v>
      </c>
      <c r="L334" s="15">
        <f t="shared" si="45"/>
        <v>1.2518508248838154</v>
      </c>
      <c r="M334" s="18">
        <f t="shared" si="46"/>
        <v>-2.241894398175277E-2</v>
      </c>
      <c r="N334" s="18">
        <f t="shared" si="47"/>
        <v>-1.0349836732011855E-2</v>
      </c>
      <c r="O334" s="18">
        <f t="shared" si="48"/>
        <v>3.8814702643732452E-3</v>
      </c>
      <c r="P334" s="18">
        <f t="shared" si="49"/>
        <v>3.9955372387406709E-3</v>
      </c>
      <c r="Q334" s="18">
        <f t="shared" si="50"/>
        <v>5.0074032995352617E-3</v>
      </c>
      <c r="R334" s="28">
        <f>((Scenario_DT!I$11*(IF(Scenario_DT!I$18=1,1,1+$M334/Scenario_DT!$C$19)*(1+$N334)^MAX(0,Scenario_DT!I$18-3))*(Scenario_DT!I$12+$O334)-Scenario_DT!I$13)*(1-Scenario_DT!I$14)+Scenario_DT!I$13-Scenario_DT!I$15)*Scenario_DT!I$16</f>
        <v>916.45699289704737</v>
      </c>
      <c r="S334" s="28">
        <f>((Scenario_DT!J$11*(IF(Scenario_DT!J$18=1,1,1+$M334/Scenario_DT!$C$19)*(1+$N334)^MAX(0,Scenario_DT!J$18-3))*(Scenario_DT!J$12+$O334)-Scenario_DT!J$13)*(1-Scenario_DT!J$14)+Scenario_DT!J$13-Scenario_DT!J$15)*Scenario_DT!J$16</f>
        <v>1789.9622588682118</v>
      </c>
      <c r="T334" s="28">
        <f>((Scenario_DT!K$11*(IF(Scenario_DT!K$18=1,1,1+$M334/Scenario_DT!$C$19)*(1+$N334)^MAX(0,Scenario_DT!K$18-3))*(Scenario_DT!K$12+$O334)-Scenario_DT!K$13)*(1-Scenario_DT!K$14)+Scenario_DT!K$13-Scenario_DT!K$15)*Scenario_DT!K$16</f>
        <v>2052.2608389083921</v>
      </c>
      <c r="U334" s="28">
        <f>((Scenario_DT!L$11*(IF(Scenario_DT!L$18=1,1,1+$M334/Scenario_DT!$C$19)*(1+$N334)^MAX(0,Scenario_DT!L$18-3))*(Scenario_DT!L$12+$O334)-Scenario_DT!L$13)*(1-Scenario_DT!L$14)+Scenario_DT!L$13-Scenario_DT!L$15)*Scenario_DT!L$16</f>
        <v>2425.0199510272146</v>
      </c>
      <c r="V334" s="28">
        <f>((Scenario_DT!M$11*(IF(Scenario_DT!M$18=1,1,1+$M334/Scenario_DT!$C$19)*(1+$N334)^MAX(0,Scenario_DT!M$18-3))*(Scenario_DT!M$12+$O334)-Scenario_DT!M$13)*(1-Scenario_DT!M$14)+Scenario_DT!M$13-Scenario_DT!M$15)*Scenario_DT!M$16</f>
        <v>2519.0126453365538</v>
      </c>
      <c r="W334" s="28">
        <f>((Scenario_DT!N$11*(IF(Scenario_DT!N$18=1,1,1+$M334/Scenario_DT!$C$19)*(1+$N334)^MAX(0,Scenario_DT!N$18-3))*(Scenario_DT!N$12+$O334)-Scenario_DT!N$13)*(1-Scenario_DT!N$14)+Scenario_DT!N$13-Scenario_DT!N$15)*Scenario_DT!N$16</f>
        <v>2616.6234595337178</v>
      </c>
      <c r="X334" s="28">
        <f>((Scenario_DT!O$11*(IF(Scenario_DT!O$18=1,1,1+$M334/Scenario_DT!$C$19)*(1+$N334)^MAX(0,Scenario_DT!O$18-3))*(Scenario_DT!O$12+$O334)-Scenario_DT!O$13)*(1-Scenario_DT!O$14)+Scenario_DT!O$13-Scenario_DT!O$15)*Scenario_DT!O$16</f>
        <v>2717.9928685071723</v>
      </c>
      <c r="Y334" s="28">
        <f>((Scenario_DT!P$11*(IF(Scenario_DT!P$18=1,1,1+$M334/Scenario_DT!$C$19)*(1+$N334)^MAX(0,Scenario_DT!P$18-3))*(Scenario_DT!P$12+$O334)-Scenario_DT!P$13)*(1-Scenario_DT!P$14)+Scenario_DT!P$13-Scenario_DT!P$15)*Scenario_DT!P$16</f>
        <v>2823.2668113653913</v>
      </c>
      <c r="Z334" s="28">
        <f>((Scenario_DT!Q$11*(IF(Scenario_DT!Q$18=1,1,1+$M334/Scenario_DT!$C$19)*(1+$N334)^MAX(0,Scenario_DT!Q$18-3))*(Scenario_DT!Q$12+$O334)-Scenario_DT!Q$13)*(1-Scenario_DT!Q$14)+Scenario_DT!Q$13-Scenario_DT!Q$15)*Scenario_DT!Q$16</f>
        <v>2932.5969040142609</v>
      </c>
      <c r="AA334" s="28">
        <f>((Scenario_DT!R$11*(IF(Scenario_DT!R$18=1,1,1+$M334/Scenario_DT!$C$19)*(1+$N334)^MAX(0,Scenario_DT!R$18-3))*(Scenario_DT!R$12+$O334)-Scenario_DT!R$13)*(1-Scenario_DT!R$14)+Scenario_DT!R$13-Scenario_DT!R$15)*Scenario_DT!R$16</f>
        <v>3046.1406600020937</v>
      </c>
      <c r="AB334" s="17">
        <f>(Scenario_DT!$R$11*(1+$M334/Scenario_DT!$C$19)*(1+$N334)^7*(Scenario_DT!$R$12+$O334)*(1+MIN(DCF_FCFF!$C$26+$Q334,(DCF_FCFF!$C$25+$P334)-0.02))*(1-DCF_FCFF!$C$27)*(1-DCF_FCFF!$C$28)/((DCF_FCFF!$C$25+$P334)-MIN(DCF_FCFF!$C$26+$Q334,(DCF_FCFF!$C$25+$P334)-0.02)))*(1+(DCF_FCFF!$C$25+$P334))^(-(Inputs!$C$9+9))</f>
        <v>25470.643364138385</v>
      </c>
      <c r="AC334" s="17">
        <f>SUMPRODUCT(R334:AA334*(1+(DCF_FCFF!$C$25+$P334))^(-Scenario_DT!$I$17:$R$17))+AB334</f>
        <v>40888.843618769934</v>
      </c>
      <c r="AD334" s="68">
        <f>((AC334-DCF_FCFF!$C$48)*(1-DCF_FCFF!$C$50)+DCF_FCFF!$C$57+DCF_FCFF!$C$58)/DCF_FCFF!$C$60</f>
        <v>296.03811521464263</v>
      </c>
      <c r="AE334" s="6"/>
      <c r="AF334" s="6"/>
      <c r="AG334" s="6"/>
    </row>
    <row r="335" spans="1:33" x14ac:dyDescent="0.3">
      <c r="A335" s="6"/>
      <c r="B335" s="72">
        <v>304</v>
      </c>
      <c r="C335" s="73">
        <v>0.27258649741589203</v>
      </c>
      <c r="D335" s="73">
        <v>0.110724258600554</v>
      </c>
      <c r="E335" s="73">
        <v>0.95604665952262902</v>
      </c>
      <c r="F335" s="73">
        <v>0.154423088022142</v>
      </c>
      <c r="G335" s="73">
        <v>0.19766698225463999</v>
      </c>
      <c r="H335" s="15">
        <f t="shared" si="41"/>
        <v>-0.60500903293342245</v>
      </c>
      <c r="I335" s="15">
        <f t="shared" si="42"/>
        <v>-1.2226854695498375</v>
      </c>
      <c r="J335" s="15">
        <f t="shared" si="43"/>
        <v>1.7065448626728534</v>
      </c>
      <c r="K335" s="15">
        <f t="shared" si="44"/>
        <v>-1.0176460889251948</v>
      </c>
      <c r="L335" s="15">
        <f t="shared" si="45"/>
        <v>-0.84998403113967014</v>
      </c>
      <c r="M335" s="18">
        <f t="shared" si="46"/>
        <v>-1.210018065866845E-2</v>
      </c>
      <c r="N335" s="18">
        <f t="shared" si="47"/>
        <v>-1.0891049551479801E-2</v>
      </c>
      <c r="O335" s="18">
        <f t="shared" si="48"/>
        <v>2.0478538352074242E-2</v>
      </c>
      <c r="P335" s="18">
        <f t="shared" si="49"/>
        <v>-6.1058765335511691E-3</v>
      </c>
      <c r="Q335" s="18">
        <f t="shared" si="50"/>
        <v>-3.3999361245586807E-3</v>
      </c>
      <c r="R335" s="28">
        <f>((Scenario_DT!I$11*(IF(Scenario_DT!I$18=1,1,1+$M335/Scenario_DT!$C$19)*(1+$N335)^MAX(0,Scenario_DT!I$18-3))*(Scenario_DT!I$12+$O335)-Scenario_DT!I$13)*(1-Scenario_DT!I$14)+Scenario_DT!I$13-Scenario_DT!I$15)*Scenario_DT!I$16</f>
        <v>939.85707278326481</v>
      </c>
      <c r="S335" s="28">
        <f>((Scenario_DT!J$11*(IF(Scenario_DT!J$18=1,1,1+$M335/Scenario_DT!$C$19)*(1+$N335)^MAX(0,Scenario_DT!J$18-3))*(Scenario_DT!J$12+$O335)-Scenario_DT!J$13)*(1-Scenario_DT!J$14)+Scenario_DT!J$13-Scenario_DT!J$15)*Scenario_DT!J$16</f>
        <v>1865.7366720071095</v>
      </c>
      <c r="T335" s="28">
        <f>((Scenario_DT!K$11*(IF(Scenario_DT!K$18=1,1,1+$M335/Scenario_DT!$C$19)*(1+$N335)^MAX(0,Scenario_DT!K$18-3))*(Scenario_DT!K$12+$O335)-Scenario_DT!K$13)*(1-Scenario_DT!K$14)+Scenario_DT!K$13-Scenario_DT!K$15)*Scenario_DT!K$16</f>
        <v>2131.1388131799959</v>
      </c>
      <c r="U335" s="28">
        <f>((Scenario_DT!L$11*(IF(Scenario_DT!L$18=1,1,1+$M335/Scenario_DT!$C$19)*(1+$N335)^MAX(0,Scenario_DT!L$18-3))*(Scenario_DT!L$12+$O335)-Scenario_DT!L$13)*(1-Scenario_DT!L$14)+Scenario_DT!L$13-Scenario_DT!L$15)*Scenario_DT!L$16</f>
        <v>2506.5232316852275</v>
      </c>
      <c r="V335" s="28">
        <f>((Scenario_DT!M$11*(IF(Scenario_DT!M$18=1,1,1+$M335/Scenario_DT!$C$19)*(1+$N335)^MAX(0,Scenario_DT!M$18-3))*(Scenario_DT!M$12+$O335)-Scenario_DT!M$13)*(1-Scenario_DT!M$14)+Scenario_DT!M$13-Scenario_DT!M$15)*Scenario_DT!M$16</f>
        <v>2602.2713869204813</v>
      </c>
      <c r="W335" s="28">
        <f>((Scenario_DT!N$11*(IF(Scenario_DT!N$18=1,1,1+$M335/Scenario_DT!$C$19)*(1+$N335)^MAX(0,Scenario_DT!N$18-3))*(Scenario_DT!N$12+$O335)-Scenario_DT!N$13)*(1-Scenario_DT!N$14)+Scenario_DT!N$13-Scenario_DT!N$15)*Scenario_DT!N$16</f>
        <v>2701.6510573369701</v>
      </c>
      <c r="X335" s="28">
        <f>((Scenario_DT!O$11*(IF(Scenario_DT!O$18=1,1,1+$M335/Scenario_DT!$C$19)*(1+$N335)^MAX(0,Scenario_DT!O$18-3))*(Scenario_DT!O$12+$O335)-Scenario_DT!O$13)*(1-Scenario_DT!O$14)+Scenario_DT!O$13-Scenario_DT!O$15)*Scenario_DT!O$16</f>
        <v>2804.8011093831137</v>
      </c>
      <c r="Y335" s="28">
        <f>((Scenario_DT!P$11*(IF(Scenario_DT!P$18=1,1,1+$M335/Scenario_DT!$C$19)*(1+$N335)^MAX(0,Scenario_DT!P$18-3))*(Scenario_DT!P$12+$O335)-Scenario_DT!P$13)*(1-Scenario_DT!P$14)+Scenario_DT!P$13-Scenario_DT!P$15)*Scenario_DT!P$16</f>
        <v>2911.8657285410522</v>
      </c>
      <c r="Z335" s="28">
        <f>((Scenario_DT!Q$11*(IF(Scenario_DT!Q$18=1,1,1+$M335/Scenario_DT!$C$19)*(1+$N335)^MAX(0,Scenario_DT!Q$18-3))*(Scenario_DT!Q$12+$O335)-Scenario_DT!Q$13)*(1-Scenario_DT!Q$14)+Scenario_DT!Q$13-Scenario_DT!Q$15)*Scenario_DT!Q$16</f>
        <v>3022.9946230508422</v>
      </c>
      <c r="AA335" s="28">
        <f>((Scenario_DT!R$11*(IF(Scenario_DT!R$18=1,1,1+$M335/Scenario_DT!$C$19)*(1+$N335)^MAX(0,Scenario_DT!R$18-3))*(Scenario_DT!R$12+$O335)-Scenario_DT!R$13)*(1-Scenario_DT!R$14)+Scenario_DT!R$13-Scenario_DT!R$15)*Scenario_DT!R$16</f>
        <v>3138.3432354334977</v>
      </c>
      <c r="AB335" s="17">
        <f>(Scenario_DT!$R$11*(1+$M335/Scenario_DT!$C$19)*(1+$N335)^7*(Scenario_DT!$R$12+$O335)*(1+MIN(DCF_FCFF!$C$26+$Q335,(DCF_FCFF!$C$25+$P335)-0.02))*(1-DCF_FCFF!$C$27)*(1-DCF_FCFF!$C$28)/((DCF_FCFF!$C$25+$P335)-MIN(DCF_FCFF!$C$26+$Q335,(DCF_FCFF!$C$25+$P335)-0.02)))*(1+(DCF_FCFF!$C$25+$P335))^(-(Inputs!$C$9+9))</f>
        <v>29421.649602684938</v>
      </c>
      <c r="AC335" s="17">
        <f>SUMPRODUCT(R335:AA335*(1+(DCF_FCFF!$C$25+$P335))^(-Scenario_DT!$I$17:$R$17))+AB335</f>
        <v>46040.691020538245</v>
      </c>
      <c r="AD335" s="68">
        <f>((AC335-DCF_FCFF!$C$48)*(1-DCF_FCFF!$C$50)+DCF_FCFF!$C$57+DCF_FCFF!$C$58)/DCF_FCFF!$C$60</f>
        <v>345.48950563200833</v>
      </c>
      <c r="AE335" s="6"/>
      <c r="AF335" s="6"/>
      <c r="AG335" s="6"/>
    </row>
    <row r="336" spans="1:33" x14ac:dyDescent="0.3">
      <c r="A336" s="6"/>
      <c r="B336" s="72">
        <v>305</v>
      </c>
      <c r="C336" s="73">
        <v>0.29132945355846601</v>
      </c>
      <c r="D336" s="73">
        <v>0.52939135402628801</v>
      </c>
      <c r="E336" s="73">
        <v>0.88282556603407802</v>
      </c>
      <c r="F336" s="73">
        <v>0.76054602272986704</v>
      </c>
      <c r="G336" s="73">
        <v>0.70815755384263501</v>
      </c>
      <c r="H336" s="15">
        <f t="shared" si="41"/>
        <v>-0.54950503947524865</v>
      </c>
      <c r="I336" s="15">
        <f t="shared" si="42"/>
        <v>7.3739972436589404E-2</v>
      </c>
      <c r="J336" s="15">
        <f t="shared" si="43"/>
        <v>1.1892307736388119</v>
      </c>
      <c r="K336" s="15">
        <f t="shared" si="44"/>
        <v>0.70806007037240926</v>
      </c>
      <c r="L336" s="15">
        <f t="shared" si="45"/>
        <v>0.54801020990189686</v>
      </c>
      <c r="M336" s="18">
        <f t="shared" si="46"/>
        <v>-1.0990100789504973E-2</v>
      </c>
      <c r="N336" s="18">
        <f t="shared" si="47"/>
        <v>-1.6871346426653889E-3</v>
      </c>
      <c r="O336" s="18">
        <f t="shared" si="48"/>
        <v>1.4270769283665743E-2</v>
      </c>
      <c r="P336" s="18">
        <f t="shared" si="49"/>
        <v>4.2483604222344554E-3</v>
      </c>
      <c r="Q336" s="18">
        <f t="shared" si="50"/>
        <v>2.1920408396075876E-3</v>
      </c>
      <c r="R336" s="28">
        <f>((Scenario_DT!I$11*(IF(Scenario_DT!I$18=1,1,1+$M336/Scenario_DT!$C$19)*(1+$N336)^MAX(0,Scenario_DT!I$18-3))*(Scenario_DT!I$12+$O336)-Scenario_DT!I$13)*(1-Scenario_DT!I$14)+Scenario_DT!I$13-Scenario_DT!I$15)*Scenario_DT!I$16</f>
        <v>931.10478645483818</v>
      </c>
      <c r="S336" s="28">
        <f>((Scenario_DT!J$11*(IF(Scenario_DT!J$18=1,1,1+$M336/Scenario_DT!$C$19)*(1+$N336)^MAX(0,Scenario_DT!J$18-3))*(Scenario_DT!J$12+$O336)-Scenario_DT!J$13)*(1-Scenario_DT!J$14)+Scenario_DT!J$13-Scenario_DT!J$15)*Scenario_DT!J$16</f>
        <v>1849.4051536106776</v>
      </c>
      <c r="T336" s="28">
        <f>((Scenario_DT!K$11*(IF(Scenario_DT!K$18=1,1,1+$M336/Scenario_DT!$C$19)*(1+$N336)^MAX(0,Scenario_DT!K$18-3))*(Scenario_DT!K$12+$O336)-Scenario_DT!K$13)*(1-Scenario_DT!K$14)+Scenario_DT!K$13-Scenario_DT!K$15)*Scenario_DT!K$16</f>
        <v>2114.251754563637</v>
      </c>
      <c r="U336" s="28">
        <f>((Scenario_DT!L$11*(IF(Scenario_DT!L$18=1,1,1+$M336/Scenario_DT!$C$19)*(1+$N336)^MAX(0,Scenario_DT!L$18-3))*(Scenario_DT!L$12+$O336)-Scenario_DT!L$13)*(1-Scenario_DT!L$14)+Scenario_DT!L$13-Scenario_DT!L$15)*Scenario_DT!L$16</f>
        <v>2512.1040644523619</v>
      </c>
      <c r="V336" s="28">
        <f>((Scenario_DT!M$11*(IF(Scenario_DT!M$18=1,1,1+$M336/Scenario_DT!$C$19)*(1+$N336)^MAX(0,Scenario_DT!M$18-3))*(Scenario_DT!M$12+$O336)-Scenario_DT!M$13)*(1-Scenario_DT!M$14)+Scenario_DT!M$13-Scenario_DT!M$15)*Scenario_DT!M$16</f>
        <v>2632.50777349909</v>
      </c>
      <c r="W336" s="28">
        <f>((Scenario_DT!N$11*(IF(Scenario_DT!N$18=1,1,1+$M336/Scenario_DT!$C$19)*(1+$N336)^MAX(0,Scenario_DT!N$18-3))*(Scenario_DT!N$12+$O336)-Scenario_DT!N$13)*(1-Scenario_DT!N$14)+Scenario_DT!N$13-Scenario_DT!N$15)*Scenario_DT!N$16</f>
        <v>2758.672545096249</v>
      </c>
      <c r="X336" s="28">
        <f>((Scenario_DT!O$11*(IF(Scenario_DT!O$18=1,1,1+$M336/Scenario_DT!$C$19)*(1+$N336)^MAX(0,Scenario_DT!O$18-3))*(Scenario_DT!O$12+$O336)-Scenario_DT!O$13)*(1-Scenario_DT!O$14)+Scenario_DT!O$13-Scenario_DT!O$15)*Scenario_DT!O$16</f>
        <v>2890.8762183497993</v>
      </c>
      <c r="Y336" s="28">
        <f>((Scenario_DT!P$11*(IF(Scenario_DT!P$18=1,1,1+$M336/Scenario_DT!$C$19)*(1+$N336)^MAX(0,Scenario_DT!P$18-3))*(Scenario_DT!P$12+$O336)-Scenario_DT!P$13)*(1-Scenario_DT!P$14)+Scenario_DT!P$13-Scenario_DT!P$15)*Scenario_DT!P$16</f>
        <v>3029.4100524879127</v>
      </c>
      <c r="Z336" s="28">
        <f>((Scenario_DT!Q$11*(IF(Scenario_DT!Q$18=1,1,1+$M336/Scenario_DT!$C$19)*(1+$N336)^MAX(0,Scenario_DT!Q$18-3))*(Scenario_DT!Q$12+$O336)-Scenario_DT!Q$13)*(1-Scenario_DT!Q$14)+Scenario_DT!Q$13-Scenario_DT!Q$15)*Scenario_DT!Q$16</f>
        <v>3174.5793752264685</v>
      </c>
      <c r="AA336" s="28">
        <f>((Scenario_DT!R$11*(IF(Scenario_DT!R$18=1,1,1+$M336/Scenario_DT!$C$19)*(1+$N336)^MAX(0,Scenario_DT!R$18-3))*(Scenario_DT!R$12+$O336)-Scenario_DT!R$13)*(1-Scenario_DT!R$14)+Scenario_DT!R$13-Scenario_DT!R$15)*Scenario_DT!R$16</f>
        <v>3326.704262457863</v>
      </c>
      <c r="AB336" s="17">
        <f>(Scenario_DT!$R$11*(1+$M336/Scenario_DT!$C$19)*(1+$N336)^7*(Scenario_DT!$R$12+$O336)*(1+MIN(DCF_FCFF!$C$26+$Q336,(DCF_FCFF!$C$25+$P336)-0.02))*(1-DCF_FCFF!$C$27)*(1-DCF_FCFF!$C$28)/((DCF_FCFF!$C$25+$P336)-MIN(DCF_FCFF!$C$26+$Q336,(DCF_FCFF!$C$25+$P336)-0.02)))*(1+(DCF_FCFF!$C$25+$P336))^(-(Inputs!$C$9+9))</f>
        <v>26041.724608547378</v>
      </c>
      <c r="AC336" s="17">
        <f>SUMPRODUCT(R336:AA336*(1+(DCF_FCFF!$C$25+$P336))^(-Scenario_DT!$I$17:$R$17))+AB336</f>
        <v>42253.794130379611</v>
      </c>
      <c r="AD336" s="68">
        <f>((AC336-DCF_FCFF!$C$48)*(1-DCF_FCFF!$C$50)+DCF_FCFF!$C$57+DCF_FCFF!$C$58)/DCF_FCFF!$C$60</f>
        <v>309.13995915257158</v>
      </c>
      <c r="AE336" s="6"/>
      <c r="AF336" s="6"/>
      <c r="AG336" s="6"/>
    </row>
    <row r="337" spans="1:33" x14ac:dyDescent="0.3">
      <c r="A337" s="6"/>
      <c r="B337" s="72">
        <v>306</v>
      </c>
      <c r="C337" s="73">
        <v>0.175180567856004</v>
      </c>
      <c r="D337" s="73">
        <v>0.35768263152597402</v>
      </c>
      <c r="E337" s="73">
        <v>0.47840492608667801</v>
      </c>
      <c r="F337" s="73">
        <v>0.14742595348558599</v>
      </c>
      <c r="G337" s="73">
        <v>0.273429702126673</v>
      </c>
      <c r="H337" s="15">
        <f t="shared" si="41"/>
        <v>-0.93388903465282513</v>
      </c>
      <c r="I337" s="15">
        <f t="shared" si="42"/>
        <v>-0.36465994336997121</v>
      </c>
      <c r="J337" s="15">
        <f t="shared" si="43"/>
        <v>-5.4157285211096522E-2</v>
      </c>
      <c r="K337" s="15">
        <f t="shared" si="44"/>
        <v>-1.0475371509891562</v>
      </c>
      <c r="L337" s="15">
        <f t="shared" si="45"/>
        <v>-0.60247288907089136</v>
      </c>
      <c r="M337" s="18">
        <f t="shared" si="46"/>
        <v>-1.8677780693056503E-2</v>
      </c>
      <c r="N337" s="18">
        <f t="shared" si="47"/>
        <v>-6.261994336219219E-3</v>
      </c>
      <c r="O337" s="18">
        <f t="shared" si="48"/>
        <v>-6.4988742253315824E-4</v>
      </c>
      <c r="P337" s="18">
        <f t="shared" si="49"/>
        <v>-6.2852229059349373E-3</v>
      </c>
      <c r="Q337" s="18">
        <f t="shared" si="50"/>
        <v>-2.4098915562835656E-3</v>
      </c>
      <c r="R337" s="28">
        <f>((Scenario_DT!I$11*(IF(Scenario_DT!I$18=1,1,1+$M337/Scenario_DT!$C$19)*(1+$N337)^MAX(0,Scenario_DT!I$18-3))*(Scenario_DT!I$12+$O337)-Scenario_DT!I$13)*(1-Scenario_DT!I$14)+Scenario_DT!I$13-Scenario_DT!I$15)*Scenario_DT!I$16</f>
        <v>910.06826620710808</v>
      </c>
      <c r="S337" s="28">
        <f>((Scenario_DT!J$11*(IF(Scenario_DT!J$18=1,1,1+$M337/Scenario_DT!$C$19)*(1+$N337)^MAX(0,Scenario_DT!J$18-3))*(Scenario_DT!J$12+$O337)-Scenario_DT!J$13)*(1-Scenario_DT!J$14)+Scenario_DT!J$13-Scenario_DT!J$15)*Scenario_DT!J$16</f>
        <v>1785.1724108775834</v>
      </c>
      <c r="T337" s="28">
        <f>((Scenario_DT!K$11*(IF(Scenario_DT!K$18=1,1,1+$M337/Scenario_DT!$C$19)*(1+$N337)^MAX(0,Scenario_DT!K$18-3))*(Scenario_DT!K$12+$O337)-Scenario_DT!K$13)*(1-Scenario_DT!K$14)+Scenario_DT!K$13-Scenario_DT!K$15)*Scenario_DT!K$16</f>
        <v>2047.4241938843074</v>
      </c>
      <c r="U337" s="28">
        <f>((Scenario_DT!L$11*(IF(Scenario_DT!L$18=1,1,1+$M337/Scenario_DT!$C$19)*(1+$N337)^MAX(0,Scenario_DT!L$18-3))*(Scenario_DT!L$12+$O337)-Scenario_DT!L$13)*(1-Scenario_DT!L$14)+Scenario_DT!L$13-Scenario_DT!L$15)*Scenario_DT!L$16</f>
        <v>2430.0031451189893</v>
      </c>
      <c r="V337" s="28">
        <f>((Scenario_DT!M$11*(IF(Scenario_DT!M$18=1,1,1+$M337/Scenario_DT!$C$19)*(1+$N337)^MAX(0,Scenario_DT!M$18-3))*(Scenario_DT!M$12+$O337)-Scenario_DT!M$13)*(1-Scenario_DT!M$14)+Scenario_DT!M$13-Scenario_DT!M$15)*Scenario_DT!M$16</f>
        <v>2534.693419437644</v>
      </c>
      <c r="W337" s="28">
        <f>((Scenario_DT!N$11*(IF(Scenario_DT!N$18=1,1,1+$M337/Scenario_DT!$C$19)*(1+$N337)^MAX(0,Scenario_DT!N$18-3))*(Scenario_DT!N$12+$O337)-Scenario_DT!N$13)*(1-Scenario_DT!N$14)+Scenario_DT!N$13-Scenario_DT!N$15)*Scenario_DT!N$16</f>
        <v>2643.87651182945</v>
      </c>
      <c r="X337" s="28">
        <f>((Scenario_DT!O$11*(IF(Scenario_DT!O$18=1,1,1+$M337/Scenario_DT!$C$19)*(1+$N337)^MAX(0,Scenario_DT!O$18-3))*(Scenario_DT!O$12+$O337)-Scenario_DT!O$13)*(1-Scenario_DT!O$14)+Scenario_DT!O$13-Scenario_DT!O$15)*Scenario_DT!O$16</f>
        <v>2757.7469313997908</v>
      </c>
      <c r="Y337" s="28">
        <f>((Scenario_DT!P$11*(IF(Scenario_DT!P$18=1,1,1+$M337/Scenario_DT!$C$19)*(1+$N337)^MAX(0,Scenario_DT!P$18-3))*(Scenario_DT!P$12+$O337)-Scenario_DT!P$13)*(1-Scenario_DT!P$14)+Scenario_DT!P$13-Scenario_DT!P$15)*Scenario_DT!P$16</f>
        <v>2876.507626004985</v>
      </c>
      <c r="Z337" s="28">
        <f>((Scenario_DT!Q$11*(IF(Scenario_DT!Q$18=1,1,1+$M337/Scenario_DT!$C$19)*(1+$N337)^MAX(0,Scenario_DT!Q$18-3))*(Scenario_DT!Q$12+$O337)-Scenario_DT!Q$13)*(1-Scenario_DT!Q$14)+Scenario_DT!Q$13-Scenario_DT!Q$15)*Scenario_DT!Q$16</f>
        <v>3000.3703485776491</v>
      </c>
      <c r="AA337" s="28">
        <f>((Scenario_DT!R$11*(IF(Scenario_DT!R$18=1,1,1+$M337/Scenario_DT!$C$19)*(1+$N337)^MAX(0,Scenario_DT!R$18-3))*(Scenario_DT!R$12+$O337)-Scenario_DT!R$13)*(1-Scenario_DT!R$14)+Scenario_DT!R$13-Scenario_DT!R$15)*Scenario_DT!R$16</f>
        <v>3129.5560393580099</v>
      </c>
      <c r="AB337" s="17">
        <f>(Scenario_DT!$R$11*(1+$M337/Scenario_DT!$C$19)*(1+$N337)^7*(Scenario_DT!$R$12+$O337)*(1+MIN(DCF_FCFF!$C$26+$Q337,(DCF_FCFF!$C$25+$P337)-0.02))*(1-DCF_FCFF!$C$27)*(1-DCF_FCFF!$C$28)/((DCF_FCFF!$C$25+$P337)-MIN(DCF_FCFF!$C$26+$Q337,(DCF_FCFF!$C$25+$P337)-0.02)))*(1+(DCF_FCFF!$C$25+$P337))^(-(Inputs!$C$9+9))</f>
        <v>30153.432274994524</v>
      </c>
      <c r="AC337" s="17">
        <f>SUMPRODUCT(R337:AA337*(1+(DCF_FCFF!$C$25+$P337))^(-Scenario_DT!$I$17:$R$17))+AB337</f>
        <v>46396.703941783671</v>
      </c>
      <c r="AD337" s="68">
        <f>((AC337-DCF_FCFF!$C$48)*(1-DCF_FCFF!$C$50)+DCF_FCFF!$C$57+DCF_FCFF!$C$58)/DCF_FCFF!$C$60</f>
        <v>348.9067912364095</v>
      </c>
      <c r="AE337" s="6"/>
      <c r="AF337" s="6"/>
      <c r="AG337" s="6"/>
    </row>
    <row r="338" spans="1:33" x14ac:dyDescent="0.3">
      <c r="A338" s="6"/>
      <c r="B338" s="72">
        <v>307</v>
      </c>
      <c r="C338" s="73">
        <v>0.30833320395284403</v>
      </c>
      <c r="D338" s="73">
        <v>0.127276198329039</v>
      </c>
      <c r="E338" s="73">
        <v>0.55023969190825806</v>
      </c>
      <c r="F338" s="73">
        <v>0.70502819652419302</v>
      </c>
      <c r="G338" s="73">
        <v>6.9931631476861197E-2</v>
      </c>
      <c r="H338" s="15">
        <f t="shared" si="41"/>
        <v>-0.50058047306344922</v>
      </c>
      <c r="I338" s="15">
        <f t="shared" si="42"/>
        <v>-1.139361524785353</v>
      </c>
      <c r="J338" s="15">
        <f t="shared" si="43"/>
        <v>0.12626695092024118</v>
      </c>
      <c r="K338" s="15">
        <f t="shared" si="44"/>
        <v>0.53891775294504929</v>
      </c>
      <c r="L338" s="15">
        <f t="shared" si="45"/>
        <v>-1.4763004144124514</v>
      </c>
      <c r="M338" s="18">
        <f t="shared" si="46"/>
        <v>-1.0011609461268984E-2</v>
      </c>
      <c r="N338" s="18">
        <f t="shared" si="47"/>
        <v>-9.8960500887233082E-3</v>
      </c>
      <c r="O338" s="18">
        <f t="shared" si="48"/>
        <v>1.5152034110428941E-3</v>
      </c>
      <c r="P338" s="18">
        <f t="shared" si="49"/>
        <v>3.2335065176702957E-3</v>
      </c>
      <c r="Q338" s="18">
        <f t="shared" si="50"/>
        <v>-5.9052016576498058E-3</v>
      </c>
      <c r="R338" s="28">
        <f>((Scenario_DT!I$11*(IF(Scenario_DT!I$18=1,1,1+$M338/Scenario_DT!$C$19)*(1+$N338)^MAX(0,Scenario_DT!I$18-3))*(Scenario_DT!I$12+$O338)-Scenario_DT!I$13)*(1-Scenario_DT!I$14)+Scenario_DT!I$13-Scenario_DT!I$15)*Scenario_DT!I$16</f>
        <v>913.12081128307477</v>
      </c>
      <c r="S338" s="28">
        <f>((Scenario_DT!J$11*(IF(Scenario_DT!J$18=1,1,1+$M338/Scenario_DT!$C$19)*(1+$N338)^MAX(0,Scenario_DT!J$18-3))*(Scenario_DT!J$12+$O338)-Scenario_DT!J$13)*(1-Scenario_DT!J$14)+Scenario_DT!J$13-Scenario_DT!J$15)*Scenario_DT!J$16</f>
        <v>1812.57709135594</v>
      </c>
      <c r="T338" s="28">
        <f>((Scenario_DT!K$11*(IF(Scenario_DT!K$18=1,1,1+$M338/Scenario_DT!$C$19)*(1+$N338)^MAX(0,Scenario_DT!K$18-3))*(Scenario_DT!K$12+$O338)-Scenario_DT!K$13)*(1-Scenario_DT!K$14)+Scenario_DT!K$13-Scenario_DT!K$15)*Scenario_DT!K$16</f>
        <v>2076.1190873418618</v>
      </c>
      <c r="U338" s="28">
        <f>((Scenario_DT!L$11*(IF(Scenario_DT!L$18=1,1,1+$M338/Scenario_DT!$C$19)*(1+$N338)^MAX(0,Scenario_DT!L$18-3))*(Scenario_DT!L$12+$O338)-Scenario_DT!L$13)*(1-Scenario_DT!L$14)+Scenario_DT!L$13-Scenario_DT!L$15)*Scenario_DT!L$16</f>
        <v>2451.2210908365196</v>
      </c>
      <c r="V338" s="28">
        <f>((Scenario_DT!M$11*(IF(Scenario_DT!M$18=1,1,1+$M338/Scenario_DT!$C$19)*(1+$N338)^MAX(0,Scenario_DT!M$18-3))*(Scenario_DT!M$12+$O338)-Scenario_DT!M$13)*(1-Scenario_DT!M$14)+Scenario_DT!M$13-Scenario_DT!M$15)*Scenario_DT!M$16</f>
        <v>2547.4150941760718</v>
      </c>
      <c r="W338" s="28">
        <f>((Scenario_DT!N$11*(IF(Scenario_DT!N$18=1,1,1+$M338/Scenario_DT!$C$19)*(1+$N338)^MAX(0,Scenario_DT!N$18-3))*(Scenario_DT!N$12+$O338)-Scenario_DT!N$13)*(1-Scenario_DT!N$14)+Scenario_DT!N$13-Scenario_DT!N$15)*Scenario_DT!N$16</f>
        <v>2647.3599404057154</v>
      </c>
      <c r="X338" s="28">
        <f>((Scenario_DT!O$11*(IF(Scenario_DT!O$18=1,1,1+$M338/Scenario_DT!$C$19)*(1+$N338)^MAX(0,Scenario_DT!O$18-3))*(Scenario_DT!O$12+$O338)-Scenario_DT!O$13)*(1-Scenario_DT!O$14)+Scenario_DT!O$13-Scenario_DT!O$15)*Scenario_DT!O$16</f>
        <v>2751.2031432096514</v>
      </c>
      <c r="Y338" s="28">
        <f>((Scenario_DT!P$11*(IF(Scenario_DT!P$18=1,1,1+$M338/Scenario_DT!$C$19)*(1+$N338)^MAX(0,Scenario_DT!P$18-3))*(Scenario_DT!P$12+$O338)-Scenario_DT!P$13)*(1-Scenario_DT!P$14)+Scenario_DT!P$13-Scenario_DT!P$15)*Scenario_DT!P$16</f>
        <v>2859.0980290174525</v>
      </c>
      <c r="Z338" s="28">
        <f>((Scenario_DT!Q$11*(IF(Scenario_DT!Q$18=1,1,1+$M338/Scenario_DT!$C$19)*(1+$N338)^MAX(0,Scenario_DT!Q$18-3))*(Scenario_DT!Q$12+$O338)-Scenario_DT!Q$13)*(1-Scenario_DT!Q$14)+Scenario_DT!Q$13-Scenario_DT!Q$15)*Scenario_DT!Q$16</f>
        <v>2971.2039661147805</v>
      </c>
      <c r="AA338" s="28">
        <f>((Scenario_DT!R$11*(IF(Scenario_DT!R$18=1,1,1+$M338/Scenario_DT!$C$19)*(1+$N338)^MAX(0,Scenario_DT!R$18-3))*(Scenario_DT!R$12+$O338)-Scenario_DT!R$13)*(1-Scenario_DT!R$14)+Scenario_DT!R$13-Scenario_DT!R$15)*Scenario_DT!R$16</f>
        <v>3087.6866027833344</v>
      </c>
      <c r="AB338" s="17">
        <f>(Scenario_DT!$R$11*(1+$M338/Scenario_DT!$C$19)*(1+$N338)^7*(Scenario_DT!$R$12+$O338)*(1+MIN(DCF_FCFF!$C$26+$Q338,(DCF_FCFF!$C$25+$P338)-0.02))*(1-DCF_FCFF!$C$27)*(1-DCF_FCFF!$C$28)/((DCF_FCFF!$C$25+$P338)-MIN(DCF_FCFF!$C$26+$Q338,(DCF_FCFF!$C$25+$P338)-0.02)))*(1+(DCF_FCFF!$C$25+$P338))^(-(Inputs!$C$9+9))</f>
        <v>21330.208908218436</v>
      </c>
      <c r="AC338" s="17">
        <f>SUMPRODUCT(R338:AA338*(1+(DCF_FCFF!$C$25+$P338))^(-Scenario_DT!$I$17:$R$17))+AB338</f>
        <v>36970.278640662305</v>
      </c>
      <c r="AD338" s="68">
        <f>((AC338-DCF_FCFF!$C$48)*(1-DCF_FCFF!$C$50)+DCF_FCFF!$C$57+DCF_FCFF!$C$58)/DCF_FCFF!$C$60</f>
        <v>258.424717243712</v>
      </c>
      <c r="AE338" s="6"/>
      <c r="AF338" s="6"/>
      <c r="AG338" s="6"/>
    </row>
    <row r="339" spans="1:33" x14ac:dyDescent="0.3">
      <c r="A339" s="6"/>
      <c r="B339" s="72">
        <v>308</v>
      </c>
      <c r="C339" s="73">
        <v>0.48112310176314999</v>
      </c>
      <c r="D339" s="73">
        <v>0.78221119526779503</v>
      </c>
      <c r="E339" s="73">
        <v>0.74799012895244699</v>
      </c>
      <c r="F339" s="73">
        <v>0.81507309621875401</v>
      </c>
      <c r="G339" s="73">
        <v>0.44824063317060697</v>
      </c>
      <c r="H339" s="15">
        <f t="shared" si="41"/>
        <v>-4.7335037444821856E-2</v>
      </c>
      <c r="I339" s="15">
        <f t="shared" si="42"/>
        <v>0.77968279305975385</v>
      </c>
      <c r="J339" s="15">
        <f t="shared" si="43"/>
        <v>0.6681783678875246</v>
      </c>
      <c r="K339" s="15">
        <f t="shared" si="44"/>
        <v>0.89674723856110616</v>
      </c>
      <c r="L339" s="15">
        <f t="shared" si="45"/>
        <v>-0.13010763913578693</v>
      </c>
      <c r="M339" s="18">
        <f t="shared" si="46"/>
        <v>-9.4670074889643713E-4</v>
      </c>
      <c r="N339" s="18">
        <f t="shared" si="47"/>
        <v>5.2124606956875305E-3</v>
      </c>
      <c r="O339" s="18">
        <f t="shared" si="48"/>
        <v>8.018140414650295E-3</v>
      </c>
      <c r="P339" s="18">
        <f t="shared" si="49"/>
        <v>5.380483431366637E-3</v>
      </c>
      <c r="Q339" s="18">
        <f t="shared" si="50"/>
        <v>-5.2043055654314772E-4</v>
      </c>
      <c r="R339" s="28">
        <f>((Scenario_DT!I$11*(IF(Scenario_DT!I$18=1,1,1+$M339/Scenario_DT!$C$19)*(1+$N339)^MAX(0,Scenario_DT!I$18-3))*(Scenario_DT!I$12+$O339)-Scenario_DT!I$13)*(1-Scenario_DT!I$14)+Scenario_DT!I$13-Scenario_DT!I$15)*Scenario_DT!I$16</f>
        <v>922.2892526352083</v>
      </c>
      <c r="S339" s="28">
        <f>((Scenario_DT!J$11*(IF(Scenario_DT!J$18=1,1,1+$M339/Scenario_DT!$C$19)*(1+$N339)^MAX(0,Scenario_DT!J$18-3))*(Scenario_DT!J$12+$O339)-Scenario_DT!J$13)*(1-Scenario_DT!J$14)+Scenario_DT!J$13-Scenario_DT!J$15)*Scenario_DT!J$16</f>
        <v>1854.5333307933388</v>
      </c>
      <c r="T339" s="28">
        <f>((Scenario_DT!K$11*(IF(Scenario_DT!K$18=1,1,1+$M339/Scenario_DT!$C$19)*(1+$N339)^MAX(0,Scenario_DT!K$18-3))*(Scenario_DT!K$12+$O339)-Scenario_DT!K$13)*(1-Scenario_DT!K$14)+Scenario_DT!K$13-Scenario_DT!K$15)*Scenario_DT!K$16</f>
        <v>2119.9077209776538</v>
      </c>
      <c r="U339" s="28">
        <f>((Scenario_DT!L$11*(IF(Scenario_DT!L$18=1,1,1+$M339/Scenario_DT!$C$19)*(1+$N339)^MAX(0,Scenario_DT!L$18-3))*(Scenario_DT!L$12+$O339)-Scenario_DT!L$13)*(1-Scenario_DT!L$14)+Scenario_DT!L$13-Scenario_DT!L$15)*Scenario_DT!L$16</f>
        <v>2535.619162217894</v>
      </c>
      <c r="V339" s="28">
        <f>((Scenario_DT!M$11*(IF(Scenario_DT!M$18=1,1,1+$M339/Scenario_DT!$C$19)*(1+$N339)^MAX(0,Scenario_DT!M$18-3))*(Scenario_DT!M$12+$O339)-Scenario_DT!M$13)*(1-Scenario_DT!M$14)+Scenario_DT!M$13-Scenario_DT!M$15)*Scenario_DT!M$16</f>
        <v>2675.6487041502578</v>
      </c>
      <c r="W339" s="28">
        <f>((Scenario_DT!N$11*(IF(Scenario_DT!N$18=1,1,1+$M339/Scenario_DT!$C$19)*(1+$N339)^MAX(0,Scenario_DT!N$18-3))*(Scenario_DT!N$12+$O339)-Scenario_DT!N$13)*(1-Scenario_DT!N$14)+Scenario_DT!N$13-Scenario_DT!N$15)*Scenario_DT!N$16</f>
        <v>2823.411626835994</v>
      </c>
      <c r="X339" s="28">
        <f>((Scenario_DT!O$11*(IF(Scenario_DT!O$18=1,1,1+$M339/Scenario_DT!$C$19)*(1+$N339)^MAX(0,Scenario_DT!O$18-3))*(Scenario_DT!O$12+$O339)-Scenario_DT!O$13)*(1-Scenario_DT!O$14)+Scenario_DT!O$13-Scenario_DT!O$15)*Scenario_DT!O$16</f>
        <v>2979.3377952781452</v>
      </c>
      <c r="Y339" s="28">
        <f>((Scenario_DT!P$11*(IF(Scenario_DT!P$18=1,1,1+$M339/Scenario_DT!$C$19)*(1+$N339)^MAX(0,Scenario_DT!P$18-3))*(Scenario_DT!P$12+$O339)-Scenario_DT!P$13)*(1-Scenario_DT!P$14)+Scenario_DT!P$13-Scenario_DT!P$15)*Scenario_DT!P$16</f>
        <v>3143.8809832208149</v>
      </c>
      <c r="Z339" s="28">
        <f>((Scenario_DT!Q$11*(IF(Scenario_DT!Q$18=1,1,1+$M339/Scenario_DT!$C$19)*(1+$N339)^MAX(0,Scenario_DT!Q$18-3))*(Scenario_DT!Q$12+$O339)-Scenario_DT!Q$13)*(1-Scenario_DT!Q$14)+Scenario_DT!Q$13-Scenario_DT!Q$15)*Scenario_DT!Q$16</f>
        <v>3317.5202024734795</v>
      </c>
      <c r="AA339" s="28">
        <f>((Scenario_DT!R$11*(IF(Scenario_DT!R$18=1,1,1+$M339/Scenario_DT!$C$19)*(1+$N339)^MAX(0,Scenario_DT!R$18-3))*(Scenario_DT!R$12+$O339)-Scenario_DT!R$13)*(1-Scenario_DT!R$14)+Scenario_DT!R$13-Scenario_DT!R$15)*Scenario_DT!R$16</f>
        <v>3500.7611061140256</v>
      </c>
      <c r="AB339" s="17">
        <f>(Scenario_DT!$R$11*(1+$M339/Scenario_DT!$C$19)*(1+$N339)^7*(Scenario_DT!$R$12+$O339)*(1+MIN(DCF_FCFF!$C$26+$Q339,(DCF_FCFF!$C$25+$P339)-0.02))*(1-DCF_FCFF!$C$27)*(1-DCF_FCFF!$C$28)/((DCF_FCFF!$C$25+$P339)-MIN(DCF_FCFF!$C$26+$Q339,(DCF_FCFF!$C$25+$P339)-0.02)))*(1+(DCF_FCFF!$C$25+$P339))^(-(Inputs!$C$9+9))</f>
        <v>25207.725914446681</v>
      </c>
      <c r="AC339" s="17">
        <f>SUMPRODUCT(R339:AA339*(1+(DCF_FCFF!$C$25+$P339))^(-Scenario_DT!$I$17:$R$17))+AB339</f>
        <v>41690.671747114597</v>
      </c>
      <c r="AD339" s="68">
        <f>((AC339-DCF_FCFF!$C$48)*(1-DCF_FCFF!$C$50)+DCF_FCFF!$C$57+DCF_FCFF!$C$58)/DCF_FCFF!$C$60</f>
        <v>303.73467777369427</v>
      </c>
      <c r="AE339" s="6"/>
      <c r="AF339" s="6"/>
      <c r="AG339" s="6"/>
    </row>
    <row r="340" spans="1:33" x14ac:dyDescent="0.3">
      <c r="A340" s="6"/>
      <c r="B340" s="72">
        <v>309</v>
      </c>
      <c r="C340" s="73">
        <v>0.82055708263986105</v>
      </c>
      <c r="D340" s="73">
        <v>0.24075307121427</v>
      </c>
      <c r="E340" s="73">
        <v>0.360810561417515</v>
      </c>
      <c r="F340" s="73">
        <v>0.176355576417801</v>
      </c>
      <c r="G340" s="73">
        <v>0.46748453942857199</v>
      </c>
      <c r="H340" s="15">
        <f t="shared" si="41"/>
        <v>0.91749018322023812</v>
      </c>
      <c r="I340" s="15">
        <f t="shared" si="42"/>
        <v>-0.70388219191156676</v>
      </c>
      <c r="J340" s="15">
        <f t="shared" si="43"/>
        <v>-0.35629303763972292</v>
      </c>
      <c r="K340" s="15">
        <f t="shared" si="44"/>
        <v>-0.92934339494749241</v>
      </c>
      <c r="L340" s="15">
        <f t="shared" si="45"/>
        <v>-8.1594620995081357E-2</v>
      </c>
      <c r="M340" s="18">
        <f t="shared" si="46"/>
        <v>1.8349803664404762E-2</v>
      </c>
      <c r="N340" s="18">
        <f t="shared" si="47"/>
        <v>-1.20667814285417E-3</v>
      </c>
      <c r="O340" s="18">
        <f t="shared" si="48"/>
        <v>-4.2755164516766753E-3</v>
      </c>
      <c r="P340" s="18">
        <f t="shared" si="49"/>
        <v>-5.5760603696849544E-3</v>
      </c>
      <c r="Q340" s="18">
        <f t="shared" si="50"/>
        <v>-3.2637848398032543E-4</v>
      </c>
      <c r="R340" s="28">
        <f>((Scenario_DT!I$11*(IF(Scenario_DT!I$18=1,1,1+$M340/Scenario_DT!$C$19)*(1+$N340)^MAX(0,Scenario_DT!I$18-3))*(Scenario_DT!I$12+$O340)-Scenario_DT!I$13)*(1-Scenario_DT!I$14)+Scenario_DT!I$13-Scenario_DT!I$15)*Scenario_DT!I$16</f>
        <v>904.95651945331736</v>
      </c>
      <c r="S340" s="28">
        <f>((Scenario_DT!J$11*(IF(Scenario_DT!J$18=1,1,1+$M340/Scenario_DT!$C$19)*(1+$N340)^MAX(0,Scenario_DT!J$18-3))*(Scenario_DT!J$12+$O340)-Scenario_DT!J$13)*(1-Scenario_DT!J$14)+Scenario_DT!J$13-Scenario_DT!J$15)*Scenario_DT!J$16</f>
        <v>1862.3333464185534</v>
      </c>
      <c r="T340" s="28">
        <f>((Scenario_DT!K$11*(IF(Scenario_DT!K$18=1,1,1+$M340/Scenario_DT!$C$19)*(1+$N340)^MAX(0,Scenario_DT!K$18-3))*(Scenario_DT!K$12+$O340)-Scenario_DT!K$13)*(1-Scenario_DT!K$14)+Scenario_DT!K$13-Scenario_DT!K$15)*Scenario_DT!K$16</f>
        <v>2128.6472105821927</v>
      </c>
      <c r="U340" s="28">
        <f>((Scenario_DT!L$11*(IF(Scenario_DT!L$18=1,1,1+$M340/Scenario_DT!$C$19)*(1+$N340)^MAX(0,Scenario_DT!L$18-3))*(Scenario_DT!L$12+$O340)-Scenario_DT!L$13)*(1-Scenario_DT!L$14)+Scenario_DT!L$13-Scenario_DT!L$15)*Scenario_DT!L$16</f>
        <v>2528.5875029682929</v>
      </c>
      <c r="V340" s="28">
        <f>((Scenario_DT!M$11*(IF(Scenario_DT!M$18=1,1,1+$M340/Scenario_DT!$C$19)*(1+$N340)^MAX(0,Scenario_DT!M$18-3))*(Scenario_DT!M$12+$O340)-Scenario_DT!M$13)*(1-Scenario_DT!M$14)+Scenario_DT!M$13-Scenario_DT!M$15)*Scenario_DT!M$16</f>
        <v>2651.0703168156228</v>
      </c>
      <c r="W340" s="28">
        <f>((Scenario_DT!N$11*(IF(Scenario_DT!N$18=1,1,1+$M340/Scenario_DT!$C$19)*(1+$N340)^MAX(0,Scenario_DT!N$18-3))*(Scenario_DT!N$12+$O340)-Scenario_DT!N$13)*(1-Scenario_DT!N$14)+Scenario_DT!N$13-Scenario_DT!N$15)*Scenario_DT!N$16</f>
        <v>2779.4770449822236</v>
      </c>
      <c r="X340" s="28">
        <f>((Scenario_DT!O$11*(IF(Scenario_DT!O$18=1,1,1+$M340/Scenario_DT!$C$19)*(1+$N340)^MAX(0,Scenario_DT!O$18-3))*(Scenario_DT!O$12+$O340)-Scenario_DT!O$13)*(1-Scenario_DT!O$14)+Scenario_DT!O$13-Scenario_DT!O$15)*Scenario_DT!O$16</f>
        <v>2914.0964303650799</v>
      </c>
      <c r="Y340" s="28">
        <f>((Scenario_DT!P$11*(IF(Scenario_DT!P$18=1,1,1+$M340/Scenario_DT!$C$19)*(1+$N340)^MAX(0,Scenario_DT!P$18-3))*(Scenario_DT!P$12+$O340)-Scenario_DT!P$13)*(1-Scenario_DT!P$14)+Scenario_DT!P$13-Scenario_DT!P$15)*Scenario_DT!P$16</f>
        <v>3055.2313104776254</v>
      </c>
      <c r="Z340" s="28">
        <f>((Scenario_DT!Q$11*(IF(Scenario_DT!Q$18=1,1,1+$M340/Scenario_DT!$C$19)*(1+$N340)^MAX(0,Scenario_DT!Q$18-3))*(Scenario_DT!Q$12+$O340)-Scenario_DT!Q$13)*(1-Scenario_DT!Q$14)+Scenario_DT!Q$13-Scenario_DT!Q$15)*Scenario_DT!Q$16</f>
        <v>3203.1993055878179</v>
      </c>
      <c r="AA340" s="28">
        <f>((Scenario_DT!R$11*(IF(Scenario_DT!R$18=1,1,1+$M340/Scenario_DT!$C$19)*(1+$N340)^MAX(0,Scenario_DT!R$18-3))*(Scenario_DT!R$12+$O340)-Scenario_DT!R$13)*(1-Scenario_DT!R$14)+Scenario_DT!R$13-Scenario_DT!R$15)*Scenario_DT!R$16</f>
        <v>3358.3335404506552</v>
      </c>
      <c r="AB340" s="17">
        <f>(Scenario_DT!$R$11*(1+$M340/Scenario_DT!$C$19)*(1+$N340)^7*(Scenario_DT!$R$12+$O340)*(1+MIN(DCF_FCFF!$C$26+$Q340,(DCF_FCFF!$C$25+$P340)-0.02))*(1-DCF_FCFF!$C$27)*(1-DCF_FCFF!$C$28)/((DCF_FCFF!$C$25+$P340)-MIN(DCF_FCFF!$C$26+$Q340,(DCF_FCFF!$C$25+$P340)-0.02)))*(1+(DCF_FCFF!$C$25+$P340))^(-(Inputs!$C$9+9))</f>
        <v>33183.186120735685</v>
      </c>
      <c r="AC340" s="17">
        <f>SUMPRODUCT(R340:AA340*(1+(DCF_FCFF!$C$25+$P340))^(-Scenario_DT!$I$17:$R$17))+AB340</f>
        <v>50178.875641141232</v>
      </c>
      <c r="AD340" s="68">
        <f>((AC340-DCF_FCFF!$C$48)*(1-DCF_FCFF!$C$50)+DCF_FCFF!$C$57+DCF_FCFF!$C$58)/DCF_FCFF!$C$60</f>
        <v>385.21098170335642</v>
      </c>
      <c r="AE340" s="6"/>
      <c r="AF340" s="6"/>
      <c r="AG340" s="6"/>
    </row>
    <row r="341" spans="1:33" x14ac:dyDescent="0.3">
      <c r="A341" s="6"/>
      <c r="B341" s="72">
        <v>310</v>
      </c>
      <c r="C341" s="73">
        <v>0.39206002241544302</v>
      </c>
      <c r="D341" s="73">
        <v>0.240927116414312</v>
      </c>
      <c r="E341" s="73">
        <v>0.751780709230782</v>
      </c>
      <c r="F341" s="73">
        <v>0.31384677211164702</v>
      </c>
      <c r="G341" s="73">
        <v>0.27280433014583599</v>
      </c>
      <c r="H341" s="15">
        <f t="shared" si="41"/>
        <v>-0.27395390570195649</v>
      </c>
      <c r="I341" s="15">
        <f t="shared" si="42"/>
        <v>-0.70332339727908944</v>
      </c>
      <c r="J341" s="15">
        <f t="shared" si="43"/>
        <v>0.68010404797109447</v>
      </c>
      <c r="K341" s="15">
        <f t="shared" si="44"/>
        <v>-0.48497575446871538</v>
      </c>
      <c r="L341" s="15">
        <f t="shared" si="45"/>
        <v>-0.60435347562354702</v>
      </c>
      <c r="M341" s="18">
        <f t="shared" si="46"/>
        <v>-5.4790781140391298E-3</v>
      </c>
      <c r="N341" s="18">
        <f t="shared" si="47"/>
        <v>-5.9685830557651585E-3</v>
      </c>
      <c r="O341" s="18">
        <f t="shared" si="48"/>
        <v>8.161248575653134E-3</v>
      </c>
      <c r="P341" s="18">
        <f t="shared" si="49"/>
        <v>-2.9098545268122925E-3</v>
      </c>
      <c r="Q341" s="18">
        <f t="shared" si="50"/>
        <v>-2.4174139024941881E-3</v>
      </c>
      <c r="R341" s="28">
        <f>((Scenario_DT!I$11*(IF(Scenario_DT!I$18=1,1,1+$M341/Scenario_DT!$C$19)*(1+$N341)^MAX(0,Scenario_DT!I$18-3))*(Scenario_DT!I$12+$O341)-Scenario_DT!I$13)*(1-Scenario_DT!I$14)+Scenario_DT!I$13-Scenario_DT!I$15)*Scenario_DT!I$16</f>
        <v>922.49101974143082</v>
      </c>
      <c r="S341" s="28">
        <f>((Scenario_DT!J$11*(IF(Scenario_DT!J$18=1,1,1+$M341/Scenario_DT!$C$19)*(1+$N341)^MAX(0,Scenario_DT!J$18-3))*(Scenario_DT!J$12+$O341)-Scenario_DT!J$13)*(1-Scenario_DT!J$14)+Scenario_DT!J$13-Scenario_DT!J$15)*Scenario_DT!J$16</f>
        <v>1843.994678194792</v>
      </c>
      <c r="T341" s="28">
        <f>((Scenario_DT!K$11*(IF(Scenario_DT!K$18=1,1,1+$M341/Scenario_DT!$C$19)*(1+$N341)^MAX(0,Scenario_DT!K$18-3))*(Scenario_DT!K$12+$O341)-Scenario_DT!K$13)*(1-Scenario_DT!K$14)+Scenario_DT!K$13-Scenario_DT!K$15)*Scenario_DT!K$16</f>
        <v>2108.8321148049731</v>
      </c>
      <c r="U341" s="28">
        <f>((Scenario_DT!L$11*(IF(Scenario_DT!L$18=1,1,1+$M341/Scenario_DT!$C$19)*(1+$N341)^MAX(0,Scenario_DT!L$18-3))*(Scenario_DT!L$12+$O341)-Scenario_DT!L$13)*(1-Scenario_DT!L$14)+Scenario_DT!L$13-Scenario_DT!L$15)*Scenario_DT!L$16</f>
        <v>2495.5379698346355</v>
      </c>
      <c r="V341" s="28">
        <f>((Scenario_DT!M$11*(IF(Scenario_DT!M$18=1,1,1+$M341/Scenario_DT!$C$19)*(1+$N341)^MAX(0,Scenario_DT!M$18-3))*(Scenario_DT!M$12+$O341)-Scenario_DT!M$13)*(1-Scenario_DT!M$14)+Scenario_DT!M$13-Scenario_DT!M$15)*Scenario_DT!M$16</f>
        <v>2603.8481165374965</v>
      </c>
      <c r="W341" s="28">
        <f>((Scenario_DT!N$11*(IF(Scenario_DT!N$18=1,1,1+$M341/Scenario_DT!$C$19)*(1+$N341)^MAX(0,Scenario_DT!N$18-3))*(Scenario_DT!N$12+$O341)-Scenario_DT!N$13)*(1-Scenario_DT!N$14)+Scenario_DT!N$13-Scenario_DT!N$15)*Scenario_DT!N$16</f>
        <v>2716.8421245227237</v>
      </c>
      <c r="X341" s="28">
        <f>((Scenario_DT!O$11*(IF(Scenario_DT!O$18=1,1,1+$M341/Scenario_DT!$C$19)*(1+$N341)^MAX(0,Scenario_DT!O$18-3))*(Scenario_DT!O$12+$O341)-Scenario_DT!O$13)*(1-Scenario_DT!O$14)+Scenario_DT!O$13-Scenario_DT!O$15)*Scenario_DT!O$16</f>
        <v>2834.7242793165929</v>
      </c>
      <c r="Y341" s="28">
        <f>((Scenario_DT!P$11*(IF(Scenario_DT!P$18=1,1,1+$M341/Scenario_DT!$C$19)*(1+$N341)^MAX(0,Scenario_DT!P$18-3))*(Scenario_DT!P$12+$O341)-Scenario_DT!P$13)*(1-Scenario_DT!P$14)+Scenario_DT!P$13-Scenario_DT!P$15)*Scenario_DT!P$16</f>
        <v>2957.7077944782391</v>
      </c>
      <c r="Z341" s="28">
        <f>((Scenario_DT!Q$11*(IF(Scenario_DT!Q$18=1,1,1+$M341/Scenario_DT!$C$19)*(1+$N341)^MAX(0,Scenario_DT!Q$18-3))*(Scenario_DT!Q$12+$O341)-Scenario_DT!Q$13)*(1-Scenario_DT!Q$14)+Scenario_DT!Q$13-Scenario_DT!Q$15)*Scenario_DT!Q$16</f>
        <v>3086.015202003397</v>
      </c>
      <c r="AA341" s="28">
        <f>((Scenario_DT!R$11*(IF(Scenario_DT!R$18=1,1,1+$M341/Scenario_DT!$C$19)*(1+$N341)^MAX(0,Scenario_DT!R$18-3))*(Scenario_DT!R$12+$O341)-Scenario_DT!R$13)*(1-Scenario_DT!R$14)+Scenario_DT!R$13-Scenario_DT!R$15)*Scenario_DT!R$16</f>
        <v>3219.8787598035074</v>
      </c>
      <c r="AB341" s="17">
        <f>(Scenario_DT!$R$11*(1+$M341/Scenario_DT!$C$19)*(1+$N341)^7*(Scenario_DT!$R$12+$O341)*(1+MIN(DCF_FCFF!$C$26+$Q341,(DCF_FCFF!$C$25+$P341)-0.02))*(1-DCF_FCFF!$C$27)*(1-DCF_FCFF!$C$28)/((DCF_FCFF!$C$25+$P341)-MIN(DCF_FCFF!$C$26+$Q341,(DCF_FCFF!$C$25+$P341)-0.02)))*(1+(DCF_FCFF!$C$25+$P341))^(-(Inputs!$C$9+9))</f>
        <v>28074.375795345819</v>
      </c>
      <c r="AC341" s="17">
        <f>SUMPRODUCT(R341:AA341*(1+(DCF_FCFF!$C$25+$P341))^(-Scenario_DT!$I$17:$R$17))+AB341</f>
        <v>44532.895991513484</v>
      </c>
      <c r="AD341" s="68">
        <f>((AC341-DCF_FCFF!$C$48)*(1-DCF_FCFF!$C$50)+DCF_FCFF!$C$57+DCF_FCFF!$C$58)/DCF_FCFF!$C$60</f>
        <v>331.01653024378658</v>
      </c>
      <c r="AE341" s="6"/>
      <c r="AF341" s="6"/>
      <c r="AG341" s="6"/>
    </row>
    <row r="342" spans="1:33" x14ac:dyDescent="0.3">
      <c r="A342" s="6"/>
      <c r="B342" s="72">
        <v>311</v>
      </c>
      <c r="C342" s="73">
        <v>0.13089033085049501</v>
      </c>
      <c r="D342" s="73">
        <v>0.43882170180194902</v>
      </c>
      <c r="E342" s="73">
        <v>0.30296462883730202</v>
      </c>
      <c r="F342" s="73">
        <v>0.36927284134096899</v>
      </c>
      <c r="G342" s="73">
        <v>0.23599726262055301</v>
      </c>
      <c r="H342" s="15">
        <f t="shared" si="41"/>
        <v>-1.1221923568033987</v>
      </c>
      <c r="I342" s="15">
        <f t="shared" si="42"/>
        <v>-0.15395730019064696</v>
      </c>
      <c r="J342" s="15">
        <f t="shared" si="43"/>
        <v>-0.51589283634153438</v>
      </c>
      <c r="K342" s="15">
        <f t="shared" si="44"/>
        <v>-0.33377985923641856</v>
      </c>
      <c r="L342" s="15">
        <f t="shared" si="45"/>
        <v>-0.71923761742423198</v>
      </c>
      <c r="M342" s="18">
        <f t="shared" si="46"/>
        <v>-2.2443847136067976E-2</v>
      </c>
      <c r="N342" s="18">
        <f t="shared" si="47"/>
        <v>-5.555416891718931E-3</v>
      </c>
      <c r="O342" s="18">
        <f t="shared" si="48"/>
        <v>-6.1907140360984124E-3</v>
      </c>
      <c r="P342" s="18">
        <f t="shared" si="49"/>
        <v>-2.0026791554185112E-3</v>
      </c>
      <c r="Q342" s="18">
        <f t="shared" si="50"/>
        <v>-2.8769504696969281E-3</v>
      </c>
      <c r="R342" s="28">
        <f>((Scenario_DT!I$11*(IF(Scenario_DT!I$18=1,1,1+$M342/Scenario_DT!$C$19)*(1+$N342)^MAX(0,Scenario_DT!I$18-3))*(Scenario_DT!I$12+$O342)-Scenario_DT!I$13)*(1-Scenario_DT!I$14)+Scenario_DT!I$13-Scenario_DT!I$15)*Scenario_DT!I$16</f>
        <v>902.25629696603539</v>
      </c>
      <c r="S342" s="28">
        <f>((Scenario_DT!J$11*(IF(Scenario_DT!J$18=1,1,1+$M342/Scenario_DT!$C$19)*(1+$N342)^MAX(0,Scenario_DT!J$18-3))*(Scenario_DT!J$12+$O342)-Scenario_DT!J$13)*(1-Scenario_DT!J$14)+Scenario_DT!J$13-Scenario_DT!J$15)*Scenario_DT!J$16</f>
        <v>1759.3474836486653</v>
      </c>
      <c r="T342" s="28">
        <f>((Scenario_DT!K$11*(IF(Scenario_DT!K$18=1,1,1+$M342/Scenario_DT!$C$19)*(1+$N342)^MAX(0,Scenario_DT!K$18-3))*(Scenario_DT!K$12+$O342)-Scenario_DT!K$13)*(1-Scenario_DT!K$14)+Scenario_DT!K$13-Scenario_DT!K$15)*Scenario_DT!K$16</f>
        <v>2020.5330552695127</v>
      </c>
      <c r="U342" s="28">
        <f>((Scenario_DT!L$11*(IF(Scenario_DT!L$18=1,1,1+$M342/Scenario_DT!$C$19)*(1+$N342)^MAX(0,Scenario_DT!L$18-3))*(Scenario_DT!L$12+$O342)-Scenario_DT!L$13)*(1-Scenario_DT!L$14)+Scenario_DT!L$13-Scenario_DT!L$15)*Scenario_DT!L$16</f>
        <v>2403.3491758157338</v>
      </c>
      <c r="V342" s="28">
        <f>((Scenario_DT!M$11*(IF(Scenario_DT!M$18=1,1,1+$M342/Scenario_DT!$C$19)*(1+$N342)^MAX(0,Scenario_DT!M$18-3))*(Scenario_DT!M$12+$O342)-Scenario_DT!M$13)*(1-Scenario_DT!M$14)+Scenario_DT!M$13-Scenario_DT!M$15)*Scenario_DT!M$16</f>
        <v>2508.677583538733</v>
      </c>
      <c r="W342" s="28">
        <f>((Scenario_DT!N$11*(IF(Scenario_DT!N$18=1,1,1+$M342/Scenario_DT!$C$19)*(1+$N342)^MAX(0,Scenario_DT!N$18-3))*(Scenario_DT!N$12+$O342)-Scenario_DT!N$13)*(1-Scenario_DT!N$14)+Scenario_DT!N$13-Scenario_DT!N$15)*Scenario_DT!N$16</f>
        <v>2618.605825241269</v>
      </c>
      <c r="X342" s="28">
        <f>((Scenario_DT!O$11*(IF(Scenario_DT!O$18=1,1,1+$M342/Scenario_DT!$C$19)*(1+$N342)^MAX(0,Scenario_DT!O$18-3))*(Scenario_DT!O$12+$O342)-Scenario_DT!O$13)*(1-Scenario_DT!O$14)+Scenario_DT!O$13-Scenario_DT!O$15)*Scenario_DT!O$16</f>
        <v>2733.3365598344708</v>
      </c>
      <c r="Y342" s="28">
        <f>((Scenario_DT!P$11*(IF(Scenario_DT!P$18=1,1,1+$M342/Scenario_DT!$C$19)*(1+$N342)^MAX(0,Scenario_DT!P$18-3))*(Scenario_DT!P$12+$O342)-Scenario_DT!P$13)*(1-Scenario_DT!P$14)+Scenario_DT!P$13-Scenario_DT!P$15)*Scenario_DT!P$16</f>
        <v>2853.0813935858391</v>
      </c>
      <c r="Z342" s="28">
        <f>((Scenario_DT!Q$11*(IF(Scenario_DT!Q$18=1,1,1+$M342/Scenario_DT!$C$19)*(1+$N342)^MAX(0,Scenario_DT!Q$18-3))*(Scenario_DT!Q$12+$O342)-Scenario_DT!Q$13)*(1-Scenario_DT!Q$14)+Scenario_DT!Q$13-Scenario_DT!Q$15)*Scenario_DT!Q$16</f>
        <v>2978.0612753633959</v>
      </c>
      <c r="AA342" s="28">
        <f>((Scenario_DT!R$11*(IF(Scenario_DT!R$18=1,1,1+$M342/Scenario_DT!$C$19)*(1+$N342)^MAX(0,Scenario_DT!R$18-3))*(Scenario_DT!R$12+$O342)-Scenario_DT!R$13)*(1-Scenario_DT!R$14)+Scenario_DT!R$13-Scenario_DT!R$15)*Scenario_DT!R$16</f>
        <v>3108.506909343364</v>
      </c>
      <c r="AB342" s="17">
        <f>(Scenario_DT!$R$11*(1+$M342/Scenario_DT!$C$19)*(1+$N342)^7*(Scenario_DT!$R$12+$O342)*(1+MIN(DCF_FCFF!$C$26+$Q342,(DCF_FCFF!$C$25+$P342)-0.02))*(1-DCF_FCFF!$C$27)*(1-DCF_FCFF!$C$28)/((DCF_FCFF!$C$25+$P342)-MIN(DCF_FCFF!$C$26+$Q342,(DCF_FCFF!$C$25+$P342)-0.02)))*(1+(DCF_FCFF!$C$25+$P342))^(-(Inputs!$C$9+9))</f>
        <v>26169.868147377641</v>
      </c>
      <c r="AC342" s="17">
        <f>SUMPRODUCT(R342:AA342*(1+(DCF_FCFF!$C$25+$P342))^(-Scenario_DT!$I$17:$R$17))+AB342</f>
        <v>41962.829348261526</v>
      </c>
      <c r="AD342" s="68">
        <f>((AC342-DCF_FCFF!$C$48)*(1-DCF_FCFF!$C$50)+DCF_FCFF!$C$57+DCF_FCFF!$C$58)/DCF_FCFF!$C$60</f>
        <v>306.34705557524779</v>
      </c>
      <c r="AE342" s="6"/>
      <c r="AF342" s="6"/>
      <c r="AG342" s="6"/>
    </row>
    <row r="343" spans="1:33" x14ac:dyDescent="0.3">
      <c r="A343" s="6"/>
      <c r="B343" s="72">
        <v>312</v>
      </c>
      <c r="C343" s="73">
        <v>0.7631554898199</v>
      </c>
      <c r="D343" s="73">
        <v>0.93000334735471701</v>
      </c>
      <c r="E343" s="73">
        <v>0.49793185278888802</v>
      </c>
      <c r="F343" s="73">
        <v>0.64299842334083301</v>
      </c>
      <c r="G343" s="73">
        <v>0.86717227660670604</v>
      </c>
      <c r="H343" s="15">
        <f t="shared" si="41"/>
        <v>0.7164897078828516</v>
      </c>
      <c r="I343" s="15">
        <f t="shared" si="42"/>
        <v>1.4758159590519533</v>
      </c>
      <c r="J343" s="15">
        <f t="shared" si="43"/>
        <v>-5.1840994957274627E-3</v>
      </c>
      <c r="K343" s="15">
        <f t="shared" si="44"/>
        <v>0.36648506726732949</v>
      </c>
      <c r="L343" s="15">
        <f t="shared" si="45"/>
        <v>1.11312337271808</v>
      </c>
      <c r="M343" s="18">
        <f t="shared" si="46"/>
        <v>1.4329794157657033E-2</v>
      </c>
      <c r="N343" s="18">
        <f t="shared" si="47"/>
        <v>1.3090711726327298E-2</v>
      </c>
      <c r="O343" s="18">
        <f t="shared" si="48"/>
        <v>-6.2209193948729554E-5</v>
      </c>
      <c r="P343" s="18">
        <f t="shared" si="49"/>
        <v>2.1989104036039772E-3</v>
      </c>
      <c r="Q343" s="18">
        <f t="shared" si="50"/>
        <v>4.4524934908723203E-3</v>
      </c>
      <c r="R343" s="28">
        <f>((Scenario_DT!I$11*(IF(Scenario_DT!I$18=1,1,1+$M343/Scenario_DT!$C$19)*(1+$N343)^MAX(0,Scenario_DT!I$18-3))*(Scenario_DT!I$12+$O343)-Scenario_DT!I$13)*(1-Scenario_DT!I$14)+Scenario_DT!I$13-Scenario_DT!I$15)*Scenario_DT!I$16</f>
        <v>910.89682926557111</v>
      </c>
      <c r="S343" s="28">
        <f>((Scenario_DT!J$11*(IF(Scenario_DT!J$18=1,1,1+$M343/Scenario_DT!$C$19)*(1+$N343)^MAX(0,Scenario_DT!J$18-3))*(Scenario_DT!J$12+$O343)-Scenario_DT!J$13)*(1-Scenario_DT!J$14)+Scenario_DT!J$13-Scenario_DT!J$15)*Scenario_DT!J$16</f>
        <v>1866.0503953258967</v>
      </c>
      <c r="T343" s="28">
        <f>((Scenario_DT!K$11*(IF(Scenario_DT!K$18=1,1,1+$M343/Scenario_DT!$C$19)*(1+$N343)^MAX(0,Scenario_DT!K$18-3))*(Scenario_DT!K$12+$O343)-Scenario_DT!K$13)*(1-Scenario_DT!K$14)+Scenario_DT!K$13-Scenario_DT!K$15)*Scenario_DT!K$16</f>
        <v>2132.3626029900224</v>
      </c>
      <c r="U343" s="28">
        <f>((Scenario_DT!L$11*(IF(Scenario_DT!L$18=1,1,1+$M343/Scenario_DT!$C$19)*(1+$N343)^MAX(0,Scenario_DT!L$18-3))*(Scenario_DT!L$12+$O343)-Scenario_DT!L$13)*(1-Scenario_DT!L$14)+Scenario_DT!L$13-Scenario_DT!L$15)*Scenario_DT!L$16</f>
        <v>2569.0214993976397</v>
      </c>
      <c r="V343" s="28">
        <f>((Scenario_DT!M$11*(IF(Scenario_DT!M$18=1,1,1+$M343/Scenario_DT!$C$19)*(1+$N343)^MAX(0,Scenario_DT!M$18-3))*(Scenario_DT!M$12+$O343)-Scenario_DT!M$13)*(1-Scenario_DT!M$14)+Scenario_DT!M$13-Scenario_DT!M$15)*Scenario_DT!M$16</f>
        <v>2732.2949298290964</v>
      </c>
      <c r="W343" s="28">
        <f>((Scenario_DT!N$11*(IF(Scenario_DT!N$18=1,1,1+$M343/Scenario_DT!$C$19)*(1+$N343)^MAX(0,Scenario_DT!N$18-3))*(Scenario_DT!N$12+$O343)-Scenario_DT!N$13)*(1-Scenario_DT!N$14)+Scenario_DT!N$13-Scenario_DT!N$15)*Scenario_DT!N$16</f>
        <v>2905.9547230853836</v>
      </c>
      <c r="X343" s="28">
        <f>((Scenario_DT!O$11*(IF(Scenario_DT!O$18=1,1,1+$M343/Scenario_DT!$C$19)*(1+$N343)^MAX(0,Scenario_DT!O$18-3))*(Scenario_DT!O$12+$O343)-Scenario_DT!O$13)*(1-Scenario_DT!O$14)+Scenario_DT!O$13-Scenario_DT!O$15)*Scenario_DT!O$16</f>
        <v>3090.6648344940268</v>
      </c>
      <c r="Y343" s="28">
        <f>((Scenario_DT!P$11*(IF(Scenario_DT!P$18=1,1,1+$M343/Scenario_DT!$C$19)*(1+$N343)^MAX(0,Scenario_DT!P$18-3))*(Scenario_DT!P$12+$O343)-Scenario_DT!P$13)*(1-Scenario_DT!P$14)+Scenario_DT!P$13-Scenario_DT!P$15)*Scenario_DT!P$16</f>
        <v>3287.1316546509584</v>
      </c>
      <c r="Z343" s="28">
        <f>((Scenario_DT!Q$11*(IF(Scenario_DT!Q$18=1,1,1+$M343/Scenario_DT!$C$19)*(1+$N343)^MAX(0,Scenario_DT!Q$18-3))*(Scenario_DT!Q$12+$O343)-Scenario_DT!Q$13)*(1-Scenario_DT!Q$14)+Scenario_DT!Q$13-Scenario_DT!Q$15)*Scenario_DT!Q$16</f>
        <v>3496.106719669051</v>
      </c>
      <c r="AA343" s="28">
        <f>((Scenario_DT!R$11*(IF(Scenario_DT!R$18=1,1,1+$M343/Scenario_DT!$C$19)*(1+$N343)^MAX(0,Scenario_DT!R$18-3))*(Scenario_DT!R$12+$O343)-Scenario_DT!R$13)*(1-Scenario_DT!R$14)+Scenario_DT!R$13-Scenario_DT!R$15)*Scenario_DT!R$16</f>
        <v>3718.3895944243973</v>
      </c>
      <c r="AB343" s="17">
        <f>(Scenario_DT!$R$11*(1+$M343/Scenario_DT!$C$19)*(1+$N343)^7*(Scenario_DT!$R$12+$O343)*(1+MIN(DCF_FCFF!$C$26+$Q343,(DCF_FCFF!$C$25+$P343)-0.02))*(1-DCF_FCFF!$C$27)*(1-DCF_FCFF!$C$28)/((DCF_FCFF!$C$25+$P343)-MIN(DCF_FCFF!$C$26+$Q343,(DCF_FCFF!$C$25+$P343)-0.02)))*(1+(DCF_FCFF!$C$25+$P343))^(-(Inputs!$C$9+9))</f>
        <v>32322.923107643961</v>
      </c>
      <c r="AC343" s="17">
        <f>SUMPRODUCT(R343:AA343*(1+(DCF_FCFF!$C$25+$P343))^(-Scenario_DT!$I$17:$R$17))+AB343</f>
        <v>49486.332392648052</v>
      </c>
      <c r="AD343" s="68">
        <f>((AC343-DCF_FCFF!$C$48)*(1-DCF_FCFF!$C$50)+DCF_FCFF!$C$57+DCF_FCFF!$C$58)/DCF_FCFF!$C$60</f>
        <v>378.56341940358948</v>
      </c>
      <c r="AE343" s="6"/>
      <c r="AF343" s="6"/>
      <c r="AG343" s="6"/>
    </row>
    <row r="344" spans="1:33" x14ac:dyDescent="0.3">
      <c r="A344" s="6"/>
      <c r="B344" s="72">
        <v>313</v>
      </c>
      <c r="C344" s="73">
        <v>0.99882963733365904</v>
      </c>
      <c r="D344" s="73">
        <v>0.613516484729832</v>
      </c>
      <c r="E344" s="73">
        <v>0.88977946653986895</v>
      </c>
      <c r="F344" s="73">
        <v>0.90860824655564199</v>
      </c>
      <c r="G344" s="73">
        <v>0.79145148780762198</v>
      </c>
      <c r="H344" s="15">
        <f t="shared" si="41"/>
        <v>3.043205363257639</v>
      </c>
      <c r="I344" s="15">
        <f t="shared" si="42"/>
        <v>0.28849608024530565</v>
      </c>
      <c r="J344" s="15">
        <f t="shared" si="43"/>
        <v>1.2253561340844281</v>
      </c>
      <c r="K344" s="15">
        <f t="shared" si="44"/>
        <v>1.3322333923491885</v>
      </c>
      <c r="L344" s="15">
        <f t="shared" si="45"/>
        <v>0.81146789200190583</v>
      </c>
      <c r="M344" s="18">
        <f t="shared" si="46"/>
        <v>6.0864107265152782E-2</v>
      </c>
      <c r="N344" s="18">
        <f t="shared" si="47"/>
        <v>1.4171580928107906E-2</v>
      </c>
      <c r="O344" s="18">
        <f t="shared" si="48"/>
        <v>1.4704273609013137E-2</v>
      </c>
      <c r="P344" s="18">
        <f t="shared" si="49"/>
        <v>7.9934003540951312E-3</v>
      </c>
      <c r="Q344" s="18">
        <f t="shared" si="50"/>
        <v>3.2458715680076236E-3</v>
      </c>
      <c r="R344" s="28">
        <f>((Scenario_DT!I$11*(IF(Scenario_DT!I$18=1,1,1+$M344/Scenario_DT!$C$19)*(1+$N344)^MAX(0,Scenario_DT!I$18-3))*(Scenario_DT!I$12+$O344)-Scenario_DT!I$13)*(1-Scenario_DT!I$14)+Scenario_DT!I$13-Scenario_DT!I$15)*Scenario_DT!I$16</f>
        <v>931.71598090138457</v>
      </c>
      <c r="S344" s="28">
        <f>((Scenario_DT!J$11*(IF(Scenario_DT!J$18=1,1,1+$M344/Scenario_DT!$C$19)*(1+$N344)^MAX(0,Scenario_DT!J$18-3))*(Scenario_DT!J$12+$O344)-Scenario_DT!J$13)*(1-Scenario_DT!J$14)+Scenario_DT!J$13-Scenario_DT!J$15)*Scenario_DT!J$16</f>
        <v>2026.4082898313231</v>
      </c>
      <c r="T344" s="28">
        <f>((Scenario_DT!K$11*(IF(Scenario_DT!K$18=1,1,1+$M344/Scenario_DT!$C$19)*(1+$N344)^MAX(0,Scenario_DT!K$18-3))*(Scenario_DT!K$12+$O344)-Scenario_DT!K$13)*(1-Scenario_DT!K$14)+Scenario_DT!K$13-Scenario_DT!K$15)*Scenario_DT!K$16</f>
        <v>2300.1281724192418</v>
      </c>
      <c r="U344" s="28">
        <f>((Scenario_DT!L$11*(IF(Scenario_DT!L$18=1,1,1+$M344/Scenario_DT!$C$19)*(1+$N344)^MAX(0,Scenario_DT!L$18-3))*(Scenario_DT!L$12+$O344)-Scenario_DT!L$13)*(1-Scenario_DT!L$14)+Scenario_DT!L$13-Scenario_DT!L$15)*Scenario_DT!L$16</f>
        <v>2752.4344051691178</v>
      </c>
      <c r="V344" s="28">
        <f>((Scenario_DT!M$11*(IF(Scenario_DT!M$18=1,1,1+$M344/Scenario_DT!$C$19)*(1+$N344)^MAX(0,Scenario_DT!M$18-3))*(Scenario_DT!M$12+$O344)-Scenario_DT!M$13)*(1-Scenario_DT!M$14)+Scenario_DT!M$13-Scenario_DT!M$15)*Scenario_DT!M$16</f>
        <v>2930.5424608109956</v>
      </c>
      <c r="W344" s="28">
        <f>((Scenario_DT!N$11*(IF(Scenario_DT!N$18=1,1,1+$M344/Scenario_DT!$C$19)*(1+$N344)^MAX(0,Scenario_DT!N$18-3))*(Scenario_DT!N$12+$O344)-Scenario_DT!N$13)*(1-Scenario_DT!N$14)+Scenario_DT!N$13-Scenario_DT!N$15)*Scenario_DT!N$16</f>
        <v>3120.1864295535775</v>
      </c>
      <c r="X344" s="28">
        <f>((Scenario_DT!O$11*(IF(Scenario_DT!O$18=1,1,1+$M344/Scenario_DT!$C$19)*(1+$N344)^MAX(0,Scenario_DT!O$18-3))*(Scenario_DT!O$12+$O344)-Scenario_DT!O$13)*(1-Scenario_DT!O$14)+Scenario_DT!O$13-Scenario_DT!O$15)*Scenario_DT!O$16</f>
        <v>3322.1167750265354</v>
      </c>
      <c r="Y344" s="28">
        <f>((Scenario_DT!P$11*(IF(Scenario_DT!P$18=1,1,1+$M344/Scenario_DT!$C$19)*(1+$N344)^MAX(0,Scenario_DT!P$18-3))*(Scenario_DT!P$12+$O344)-Scenario_DT!P$13)*(1-Scenario_DT!P$14)+Scenario_DT!P$13-Scenario_DT!P$15)*Scenario_DT!P$16</f>
        <v>3537.1327689813866</v>
      </c>
      <c r="Z344" s="28">
        <f>((Scenario_DT!Q$11*(IF(Scenario_DT!Q$18=1,1,1+$M344/Scenario_DT!$C$19)*(1+$N344)^MAX(0,Scenario_DT!Q$18-3))*(Scenario_DT!Q$12+$O344)-Scenario_DT!Q$13)*(1-Scenario_DT!Q$14)+Scenario_DT!Q$13-Scenario_DT!Q$15)*Scenario_DT!Q$16</f>
        <v>3766.0856634697184</v>
      </c>
      <c r="AA344" s="28">
        <f>((Scenario_DT!R$11*(IF(Scenario_DT!R$18=1,1,1+$M344/Scenario_DT!$C$19)*(1+$N344)^MAX(0,Scenario_DT!R$18-3))*(Scenario_DT!R$12+$O344)-Scenario_DT!R$13)*(1-Scenario_DT!R$14)+Scenario_DT!R$13-Scenario_DT!R$15)*Scenario_DT!R$16</f>
        <v>4009.882069078159</v>
      </c>
      <c r="AB344" s="17">
        <f>(Scenario_DT!$R$11*(1+$M344/Scenario_DT!$C$19)*(1+$N344)^7*(Scenario_DT!$R$12+$O344)*(1+MIN(DCF_FCFF!$C$26+$Q344,(DCF_FCFF!$C$25+$P344)-0.02))*(1-DCF_FCFF!$C$27)*(1-DCF_FCFF!$C$28)/((DCF_FCFF!$C$25+$P344)-MIN(DCF_FCFF!$C$26+$Q344,(DCF_FCFF!$C$25+$P344)-0.02)))*(1+(DCF_FCFF!$C$25+$P344))^(-(Inputs!$C$9+9))</f>
        <v>28895.200633262892</v>
      </c>
      <c r="AC344" s="17">
        <f>SUMPRODUCT(R344:AA344*(1+(DCF_FCFF!$C$25+$P344))^(-Scenario_DT!$I$17:$R$17))+AB344</f>
        <v>46872.303008463001</v>
      </c>
      <c r="AD344" s="68">
        <f>((AC344-DCF_FCFF!$C$48)*(1-DCF_FCFF!$C$50)+DCF_FCFF!$C$57+DCF_FCFF!$C$58)/DCF_FCFF!$C$60</f>
        <v>353.47195656339909</v>
      </c>
      <c r="AE344" s="6"/>
      <c r="AF344" s="6"/>
      <c r="AG344" s="6"/>
    </row>
    <row r="345" spans="1:33" x14ac:dyDescent="0.3">
      <c r="A345" s="6"/>
      <c r="B345" s="72">
        <v>314</v>
      </c>
      <c r="C345" s="73">
        <v>0.46093139107310999</v>
      </c>
      <c r="D345" s="73">
        <v>8.1154000423899295E-2</v>
      </c>
      <c r="E345" s="73">
        <v>1.58055554401338E-2</v>
      </c>
      <c r="F345" s="73">
        <v>0.477200633282925</v>
      </c>
      <c r="G345" s="73">
        <v>0.49431453353461802</v>
      </c>
      <c r="H345" s="15">
        <f t="shared" si="41"/>
        <v>-9.808753912692042E-2</v>
      </c>
      <c r="I345" s="15">
        <f t="shared" si="42"/>
        <v>-1.3973511515712209</v>
      </c>
      <c r="J345" s="15">
        <f t="shared" si="43"/>
        <v>-2.1492938858971953</v>
      </c>
      <c r="K345" s="15">
        <f t="shared" si="44"/>
        <v>-5.7180681929607839E-2</v>
      </c>
      <c r="L345" s="15">
        <f t="shared" si="45"/>
        <v>-1.4251833441507071E-2</v>
      </c>
      <c r="M345" s="18">
        <f t="shared" si="46"/>
        <v>-1.9617507825384086E-3</v>
      </c>
      <c r="N345" s="18">
        <f t="shared" si="47"/>
        <v>-1.0073482918652617E-2</v>
      </c>
      <c r="O345" s="18">
        <f t="shared" si="48"/>
        <v>-2.5791526630766344E-2</v>
      </c>
      <c r="P345" s="18">
        <f t="shared" si="49"/>
        <v>-3.4308409157764706E-4</v>
      </c>
      <c r="Q345" s="18">
        <f t="shared" si="50"/>
        <v>-5.7007333766028282E-5</v>
      </c>
      <c r="R345" s="28">
        <f>((Scenario_DT!I$11*(IF(Scenario_DT!I$18=1,1,1+$M345/Scenario_DT!$C$19)*(1+$N345)^MAX(0,Scenario_DT!I$18-3))*(Scenario_DT!I$12+$O345)-Scenario_DT!I$13)*(1-Scenario_DT!I$14)+Scenario_DT!I$13-Scenario_DT!I$15)*Scenario_DT!I$16</f>
        <v>874.6212605772954</v>
      </c>
      <c r="S345" s="28">
        <f>((Scenario_DT!J$11*(IF(Scenario_DT!J$18=1,1,1+$M345/Scenario_DT!$C$19)*(1+$N345)^MAX(0,Scenario_DT!J$18-3))*(Scenario_DT!J$12+$O345)-Scenario_DT!J$13)*(1-Scenario_DT!J$14)+Scenario_DT!J$13-Scenario_DT!J$15)*Scenario_DT!J$16</f>
        <v>1747.2221026113357</v>
      </c>
      <c r="T345" s="28">
        <f>((Scenario_DT!K$11*(IF(Scenario_DT!K$18=1,1,1+$M345/Scenario_DT!$C$19)*(1+$N345)^MAX(0,Scenario_DT!K$18-3))*(Scenario_DT!K$12+$O345)-Scenario_DT!K$13)*(1-Scenario_DT!K$14)+Scenario_DT!K$13-Scenario_DT!K$15)*Scenario_DT!K$16</f>
        <v>2008.663618532446</v>
      </c>
      <c r="U345" s="28">
        <f>((Scenario_DT!L$11*(IF(Scenario_DT!L$18=1,1,1+$M345/Scenario_DT!$C$19)*(1+$N345)^MAX(0,Scenario_DT!L$18-3))*(Scenario_DT!L$12+$O345)-Scenario_DT!L$13)*(1-Scenario_DT!L$14)+Scenario_DT!L$13-Scenario_DT!L$15)*Scenario_DT!L$16</f>
        <v>2379.8776151630036</v>
      </c>
      <c r="V345" s="28">
        <f>((Scenario_DT!M$11*(IF(Scenario_DT!M$18=1,1,1+$M345/Scenario_DT!$C$19)*(1+$N345)^MAX(0,Scenario_DT!M$18-3))*(Scenario_DT!M$12+$O345)-Scenario_DT!M$13)*(1-Scenario_DT!M$14)+Scenario_DT!M$13-Scenario_DT!M$15)*Scenario_DT!M$16</f>
        <v>2472.7992385514503</v>
      </c>
      <c r="W345" s="28">
        <f>((Scenario_DT!N$11*(IF(Scenario_DT!N$18=1,1,1+$M345/Scenario_DT!$C$19)*(1+$N345)^MAX(0,Scenario_DT!N$18-3))*(Scenario_DT!N$12+$O345)-Scenario_DT!N$13)*(1-Scenario_DT!N$14)+Scenario_DT!N$13-Scenario_DT!N$15)*Scenario_DT!N$16</f>
        <v>2569.3244853373344</v>
      </c>
      <c r="X345" s="28">
        <f>((Scenario_DT!O$11*(IF(Scenario_DT!O$18=1,1,1+$M345/Scenario_DT!$C$19)*(1+$N345)^MAX(0,Scenario_DT!O$18-3))*(Scenario_DT!O$12+$O345)-Scenario_DT!O$13)*(1-Scenario_DT!O$14)+Scenario_DT!O$13-Scenario_DT!O$15)*Scenario_DT!O$16</f>
        <v>2669.594343993635</v>
      </c>
      <c r="Y345" s="28">
        <f>((Scenario_DT!P$11*(IF(Scenario_DT!P$18=1,1,1+$M345/Scenario_DT!$C$19)*(1+$N345)^MAX(0,Scenario_DT!P$18-3))*(Scenario_DT!P$12+$O345)-Scenario_DT!P$13)*(1-Scenario_DT!P$14)+Scenario_DT!P$13-Scenario_DT!P$15)*Scenario_DT!P$16</f>
        <v>2773.7553299222777</v>
      </c>
      <c r="Z345" s="28">
        <f>((Scenario_DT!Q$11*(IF(Scenario_DT!Q$18=1,1,1+$M345/Scenario_DT!$C$19)*(1+$N345)^MAX(0,Scenario_DT!Q$18-3))*(Scenario_DT!Q$12+$O345)-Scenario_DT!Q$13)*(1-Scenario_DT!Q$14)+Scenario_DT!Q$13-Scenario_DT!Q$15)*Scenario_DT!Q$16</f>
        <v>2881.9597021653562</v>
      </c>
      <c r="AA345" s="28">
        <f>((Scenario_DT!R$11*(IF(Scenario_DT!R$18=1,1,1+$M345/Scenario_DT!$C$19)*(1+$N345)^MAX(0,Scenario_DT!R$18-3))*(Scenario_DT!R$12+$O345)-Scenario_DT!R$13)*(1-Scenario_DT!R$14)+Scenario_DT!R$13-Scenario_DT!R$15)*Scenario_DT!R$16</f>
        <v>2994.3656886119466</v>
      </c>
      <c r="AB345" s="17">
        <f>(Scenario_DT!$R$11*(1+$M345/Scenario_DT!$C$19)*(1+$N345)^7*(Scenario_DT!$R$12+$O345)*(1+MIN(DCF_FCFF!$C$26+$Q345,(DCF_FCFF!$C$25+$P345)-0.02))*(1-DCF_FCFF!$C$27)*(1-DCF_FCFF!$C$28)/((DCF_FCFF!$C$25+$P345)-MIN(DCF_FCFF!$C$26+$Q345,(DCF_FCFF!$C$25+$P345)-0.02)))*(1+(DCF_FCFF!$C$25+$P345))^(-(Inputs!$C$9+9))</f>
        <v>25500.986391349154</v>
      </c>
      <c r="AC345" s="17">
        <f>SUMPRODUCT(R345:AA345*(1+(DCF_FCFF!$C$25+$P345))^(-Scenario_DT!$I$17:$R$17))+AB345</f>
        <v>40877.661968929555</v>
      </c>
      <c r="AD345" s="68">
        <f>((AC345-DCF_FCFF!$C$48)*(1-DCF_FCFF!$C$50)+DCF_FCFF!$C$57+DCF_FCFF!$C$58)/DCF_FCFF!$C$60</f>
        <v>295.93078514667963</v>
      </c>
      <c r="AE345" s="6"/>
      <c r="AF345" s="6"/>
      <c r="AG345" s="6"/>
    </row>
    <row r="346" spans="1:33" x14ac:dyDescent="0.3">
      <c r="A346" s="6"/>
      <c r="B346" s="72">
        <v>315</v>
      </c>
      <c r="C346" s="73">
        <v>0.40736238786297202</v>
      </c>
      <c r="D346" s="73">
        <v>0.56816735129136497</v>
      </c>
      <c r="E346" s="73">
        <v>0.55216270330442696</v>
      </c>
      <c r="F346" s="73">
        <v>0.83661304103269296</v>
      </c>
      <c r="G346" s="73">
        <v>0.10865710326226199</v>
      </c>
      <c r="H346" s="15">
        <f t="shared" si="41"/>
        <v>-0.23433518091861102</v>
      </c>
      <c r="I346" s="15">
        <f t="shared" si="42"/>
        <v>0.17171028784601522</v>
      </c>
      <c r="J346" s="15">
        <f t="shared" si="43"/>
        <v>0.1311273151041018</v>
      </c>
      <c r="K346" s="15">
        <f t="shared" si="44"/>
        <v>0.98063266922106729</v>
      </c>
      <c r="L346" s="15">
        <f t="shared" si="45"/>
        <v>-1.2337013611875094</v>
      </c>
      <c r="M346" s="18">
        <f t="shared" si="46"/>
        <v>-4.686703618372221E-3</v>
      </c>
      <c r="N346" s="18">
        <f t="shared" si="47"/>
        <v>2.5230304725185602E-4</v>
      </c>
      <c r="O346" s="18">
        <f t="shared" si="48"/>
        <v>1.5735277812492217E-3</v>
      </c>
      <c r="P346" s="18">
        <f t="shared" si="49"/>
        <v>5.8837960153264035E-3</v>
      </c>
      <c r="Q346" s="18">
        <f t="shared" si="50"/>
        <v>-4.9348054447500376E-3</v>
      </c>
      <c r="R346" s="28">
        <f>((Scenario_DT!I$11*(IF(Scenario_DT!I$18=1,1,1+$M346/Scenario_DT!$C$19)*(1+$N346)^MAX(0,Scenario_DT!I$18-3))*(Scenario_DT!I$12+$O346)-Scenario_DT!I$13)*(1-Scenario_DT!I$14)+Scenario_DT!I$13-Scenario_DT!I$15)*Scenario_DT!I$16</f>
        <v>913.20304236840434</v>
      </c>
      <c r="S346" s="28">
        <f>((Scenario_DT!J$11*(IF(Scenario_DT!J$18=1,1,1+$M346/Scenario_DT!$C$19)*(1+$N346)^MAX(0,Scenario_DT!J$18-3))*(Scenario_DT!J$12+$O346)-Scenario_DT!J$13)*(1-Scenario_DT!J$14)+Scenario_DT!J$13-Scenario_DT!J$15)*Scenario_DT!J$16</f>
        <v>1825.5439501142841</v>
      </c>
      <c r="T346" s="28">
        <f>((Scenario_DT!K$11*(IF(Scenario_DT!K$18=1,1,1+$M346/Scenario_DT!$C$19)*(1+$N346)^MAX(0,Scenario_DT!K$18-3))*(Scenario_DT!K$12+$O346)-Scenario_DT!K$13)*(1-Scenario_DT!K$14)+Scenario_DT!K$13-Scenario_DT!K$15)*Scenario_DT!K$16</f>
        <v>2089.7380580880763</v>
      </c>
      <c r="U346" s="28">
        <f>((Scenario_DT!L$11*(IF(Scenario_DT!L$18=1,1,1+$M346/Scenario_DT!$C$19)*(1+$N346)^MAX(0,Scenario_DT!L$18-3))*(Scenario_DT!L$12+$O346)-Scenario_DT!L$13)*(1-Scenario_DT!L$14)+Scenario_DT!L$13-Scenario_DT!L$15)*Scenario_DT!L$16</f>
        <v>2490.9825038417589</v>
      </c>
      <c r="V346" s="28">
        <f>((Scenario_DT!M$11*(IF(Scenario_DT!M$18=1,1,1+$M346/Scenario_DT!$C$19)*(1+$N346)^MAX(0,Scenario_DT!M$18-3))*(Scenario_DT!M$12+$O346)-Scenario_DT!M$13)*(1-Scenario_DT!M$14)+Scenario_DT!M$13-Scenario_DT!M$15)*Scenario_DT!M$16</f>
        <v>2615.4745763068886</v>
      </c>
      <c r="W346" s="28">
        <f>((Scenario_DT!N$11*(IF(Scenario_DT!N$18=1,1,1+$M346/Scenario_DT!$C$19)*(1+$N346)^MAX(0,Scenario_DT!N$18-3))*(Scenario_DT!N$12+$O346)-Scenario_DT!N$13)*(1-Scenario_DT!N$14)+Scenario_DT!N$13-Scenario_DT!N$15)*Scenario_DT!N$16</f>
        <v>2746.1815911759732</v>
      </c>
      <c r="X346" s="28">
        <f>((Scenario_DT!O$11*(IF(Scenario_DT!O$18=1,1,1+$M346/Scenario_DT!$C$19)*(1+$N346)^MAX(0,Scenario_DT!O$18-3))*(Scenario_DT!O$12+$O346)-Scenario_DT!O$13)*(1-Scenario_DT!O$14)+Scenario_DT!O$13-Scenario_DT!O$15)*Scenario_DT!O$16</f>
        <v>2883.416180718169</v>
      </c>
      <c r="Y346" s="28">
        <f>((Scenario_DT!P$11*(IF(Scenario_DT!P$18=1,1,1+$M346/Scenario_DT!$C$19)*(1+$N346)^MAX(0,Scenario_DT!P$18-3))*(Scenario_DT!P$12+$O346)-Scenario_DT!P$13)*(1-Scenario_DT!P$14)+Scenario_DT!P$13-Scenario_DT!P$15)*Scenario_DT!P$16</f>
        <v>3027.506723926253</v>
      </c>
      <c r="Z346" s="28">
        <f>((Scenario_DT!Q$11*(IF(Scenario_DT!Q$18=1,1,1+$M346/Scenario_DT!$C$19)*(1+$N346)^MAX(0,Scenario_DT!Q$18-3))*(Scenario_DT!Q$12+$O346)-Scenario_DT!Q$13)*(1-Scenario_DT!Q$14)+Scenario_DT!Q$13-Scenario_DT!Q$15)*Scenario_DT!Q$16</f>
        <v>3178.7981396914015</v>
      </c>
      <c r="AA346" s="28">
        <f>((Scenario_DT!R$11*(IF(Scenario_DT!R$18=1,1,1+$M346/Scenario_DT!$C$19)*(1+$N346)^MAX(0,Scenario_DT!R$18-3))*(Scenario_DT!R$12+$O346)-Scenario_DT!R$13)*(1-Scenario_DT!R$14)+Scenario_DT!R$13-Scenario_DT!R$15)*Scenario_DT!R$16</f>
        <v>3337.6527199239026</v>
      </c>
      <c r="AB346" s="17">
        <f>(Scenario_DT!$R$11*(1+$M346/Scenario_DT!$C$19)*(1+$N346)^7*(Scenario_DT!$R$12+$O346)*(1+MIN(DCF_FCFF!$C$26+$Q346,(DCF_FCFF!$C$25+$P346)-0.02))*(1-DCF_FCFF!$C$27)*(1-DCF_FCFF!$C$28)/((DCF_FCFF!$C$25+$P346)-MIN(DCF_FCFF!$C$26+$Q346,(DCF_FCFF!$C$25+$P346)-0.02)))*(1+(DCF_FCFF!$C$25+$P346))^(-(Inputs!$C$9+9))</f>
        <v>21921.753700418238</v>
      </c>
      <c r="AC346" s="17">
        <f>SUMPRODUCT(R346:AA346*(1+(DCF_FCFF!$C$25+$P346))^(-Scenario_DT!$I$17:$R$17))+AB346</f>
        <v>37929.812049878878</v>
      </c>
      <c r="AD346" s="68">
        <f>((AC346-DCF_FCFF!$C$48)*(1-DCF_FCFF!$C$50)+DCF_FCFF!$C$57+DCF_FCFF!$C$58)/DCF_FCFF!$C$60</f>
        <v>267.63505628080929</v>
      </c>
      <c r="AE346" s="6"/>
      <c r="AF346" s="6"/>
      <c r="AG346" s="6"/>
    </row>
    <row r="347" spans="1:33" x14ac:dyDescent="0.3">
      <c r="A347" s="6"/>
      <c r="B347" s="72">
        <v>316</v>
      </c>
      <c r="C347" s="73">
        <v>0.22517766610554599</v>
      </c>
      <c r="D347" s="73">
        <v>0.79300497895962996</v>
      </c>
      <c r="E347" s="73">
        <v>0.84783686722365503</v>
      </c>
      <c r="F347" s="73">
        <v>0.99482421362086804</v>
      </c>
      <c r="G347" s="73">
        <v>0.87291201638708404</v>
      </c>
      <c r="H347" s="15">
        <f t="shared" si="41"/>
        <v>-0.75482276573111784</v>
      </c>
      <c r="I347" s="15">
        <f t="shared" si="42"/>
        <v>0.81689218880729797</v>
      </c>
      <c r="J347" s="15">
        <f t="shared" si="43"/>
        <v>1.0272000691713685</v>
      </c>
      <c r="K347" s="15">
        <f t="shared" si="44"/>
        <v>2.5638585296055547</v>
      </c>
      <c r="L347" s="15">
        <f t="shared" si="45"/>
        <v>1.1402648738193333</v>
      </c>
      <c r="M347" s="18">
        <f t="shared" si="46"/>
        <v>-1.5096455314622358E-2</v>
      </c>
      <c r="N347" s="18">
        <f t="shared" si="47"/>
        <v>2.640304038357081E-3</v>
      </c>
      <c r="O347" s="18">
        <f t="shared" si="48"/>
        <v>1.2326400830056422E-2</v>
      </c>
      <c r="P347" s="18">
        <f t="shared" si="49"/>
        <v>1.5383151177633329E-2</v>
      </c>
      <c r="Q347" s="18">
        <f t="shared" si="50"/>
        <v>4.5610594952773332E-3</v>
      </c>
      <c r="R347" s="28">
        <f>((Scenario_DT!I$11*(IF(Scenario_DT!I$18=1,1,1+$M347/Scenario_DT!$C$19)*(1+$N347)^MAX(0,Scenario_DT!I$18-3))*(Scenario_DT!I$12+$O347)-Scenario_DT!I$13)*(1-Scenario_DT!I$14)+Scenario_DT!I$13-Scenario_DT!I$15)*Scenario_DT!I$16</f>
        <v>928.36343618126705</v>
      </c>
      <c r="S347" s="28">
        <f>((Scenario_DT!J$11*(IF(Scenario_DT!J$18=1,1,1+$M347/Scenario_DT!$C$19)*(1+$N347)^MAX(0,Scenario_DT!J$18-3))*(Scenario_DT!J$12+$O347)-Scenario_DT!J$13)*(1-Scenario_DT!J$14)+Scenario_DT!J$13-Scenario_DT!J$15)*Scenario_DT!J$16</f>
        <v>1833.4260836066564</v>
      </c>
      <c r="T347" s="28">
        <f>((Scenario_DT!K$11*(IF(Scenario_DT!K$18=1,1,1+$M347/Scenario_DT!$C$19)*(1+$N347)^MAX(0,Scenario_DT!K$18-3))*(Scenario_DT!K$12+$O347)-Scenario_DT!K$13)*(1-Scenario_DT!K$14)+Scenario_DT!K$13-Scenario_DT!K$15)*Scenario_DT!K$16</f>
        <v>2097.5525792058706</v>
      </c>
      <c r="U347" s="28">
        <f>((Scenario_DT!L$11*(IF(Scenario_DT!L$18=1,1,1+$M347/Scenario_DT!$C$19)*(1+$N347)^MAX(0,Scenario_DT!L$18-3))*(Scenario_DT!L$12+$O347)-Scenario_DT!L$13)*(1-Scenario_DT!L$14)+Scenario_DT!L$13-Scenario_DT!L$15)*Scenario_DT!L$16</f>
        <v>2505.2889454950637</v>
      </c>
      <c r="V347" s="28">
        <f>((Scenario_DT!M$11*(IF(Scenario_DT!M$18=1,1,1+$M347/Scenario_DT!$C$19)*(1+$N347)^MAX(0,Scenario_DT!M$18-3))*(Scenario_DT!M$12+$O347)-Scenario_DT!M$13)*(1-Scenario_DT!M$14)+Scenario_DT!M$13-Scenario_DT!M$15)*Scenario_DT!M$16</f>
        <v>2636.8242062788731</v>
      </c>
      <c r="W347" s="28">
        <f>((Scenario_DT!N$11*(IF(Scenario_DT!N$18=1,1,1+$M347/Scenario_DT!$C$19)*(1+$N347)^MAX(0,Scenario_DT!N$18-3))*(Scenario_DT!N$12+$O347)-Scenario_DT!N$13)*(1-Scenario_DT!N$14)+Scenario_DT!N$13-Scenario_DT!N$15)*Scenario_DT!N$16</f>
        <v>2775.2621709194268</v>
      </c>
      <c r="X347" s="28">
        <f>((Scenario_DT!O$11*(IF(Scenario_DT!O$18=1,1,1+$M347/Scenario_DT!$C$19)*(1+$N347)^MAX(0,Scenario_DT!O$18-3))*(Scenario_DT!O$12+$O347)-Scenario_DT!O$13)*(1-Scenario_DT!O$14)+Scenario_DT!O$13-Scenario_DT!O$15)*Scenario_DT!O$16</f>
        <v>2920.9676539906504</v>
      </c>
      <c r="Y347" s="28">
        <f>((Scenario_DT!P$11*(IF(Scenario_DT!P$18=1,1,1+$M347/Scenario_DT!$C$19)*(1+$N347)^MAX(0,Scenario_DT!P$18-3))*(Scenario_DT!P$12+$O347)-Scenario_DT!P$13)*(1-Scenario_DT!P$14)+Scenario_DT!P$13-Scenario_DT!P$15)*Scenario_DT!P$16</f>
        <v>3074.3247691571264</v>
      </c>
      <c r="Z347" s="28">
        <f>((Scenario_DT!Q$11*(IF(Scenario_DT!Q$18=1,1,1+$M347/Scenario_DT!$C$19)*(1+$N347)^MAX(0,Scenario_DT!Q$18-3))*(Scenario_DT!Q$12+$O347)-Scenario_DT!Q$13)*(1-Scenario_DT!Q$14)+Scenario_DT!Q$13-Scenario_DT!Q$15)*Scenario_DT!Q$16</f>
        <v>3235.7379499563658</v>
      </c>
      <c r="AA347" s="28">
        <f>((Scenario_DT!R$11*(IF(Scenario_DT!R$18=1,1,1+$M347/Scenario_DT!$C$19)*(1+$N347)^MAX(0,Scenario_DT!R$18-3))*(Scenario_DT!R$12+$O347)-Scenario_DT!R$13)*(1-Scenario_DT!R$14)+Scenario_DT!R$13-Scenario_DT!R$15)*Scenario_DT!R$16</f>
        <v>3405.6330245560748</v>
      </c>
      <c r="AB347" s="17">
        <f>(Scenario_DT!$R$11*(1+$M347/Scenario_DT!$C$19)*(1+$N347)^7*(Scenario_DT!$R$12+$O347)*(1+MIN(DCF_FCFF!$C$26+$Q347,(DCF_FCFF!$C$25+$P347)-0.02))*(1-DCF_FCFF!$C$27)*(1-DCF_FCFF!$C$28)/((DCF_FCFF!$C$25+$P347)-MIN(DCF_FCFF!$C$26+$Q347,(DCF_FCFF!$C$25+$P347)-0.02)))*(1+(DCF_FCFF!$C$25+$P347))^(-(Inputs!$C$9+9))</f>
        <v>20797.549606613014</v>
      </c>
      <c r="AC347" s="17">
        <f>SUMPRODUCT(R347:AA347*(1+(DCF_FCFF!$C$25+$P347))^(-Scenario_DT!$I$17:$R$17))+AB347</f>
        <v>36358.970101806714</v>
      </c>
      <c r="AD347" s="68">
        <f>((AC347-DCF_FCFF!$C$48)*(1-DCF_FCFF!$C$50)+DCF_FCFF!$C$57+DCF_FCFF!$C$58)/DCF_FCFF!$C$60</f>
        <v>252.55690811372088</v>
      </c>
      <c r="AE347" s="6"/>
      <c r="AF347" s="6"/>
      <c r="AG347" s="6"/>
    </row>
    <row r="348" spans="1:33" x14ac:dyDescent="0.3">
      <c r="A348" s="6"/>
      <c r="B348" s="72">
        <v>317</v>
      </c>
      <c r="C348" s="73">
        <v>0.88989900707233105</v>
      </c>
      <c r="D348" s="73">
        <v>0.31434794262990501</v>
      </c>
      <c r="E348" s="73">
        <v>0.40166163400937599</v>
      </c>
      <c r="F348" s="73">
        <v>0.26808510482055098</v>
      </c>
      <c r="G348" s="73">
        <v>0.60629939819271605</v>
      </c>
      <c r="H348" s="15">
        <f t="shared" si="41"/>
        <v>1.2259912020291257</v>
      </c>
      <c r="I348" s="15">
        <f t="shared" si="42"/>
        <v>-0.48356321633063098</v>
      </c>
      <c r="J348" s="15">
        <f t="shared" si="43"/>
        <v>-0.24904849671020482</v>
      </c>
      <c r="K348" s="15">
        <f t="shared" si="44"/>
        <v>-0.6186147089034495</v>
      </c>
      <c r="L348" s="15">
        <f t="shared" si="45"/>
        <v>0.26968681672064126</v>
      </c>
      <c r="M348" s="18">
        <f t="shared" si="46"/>
        <v>2.4519824040582516E-2</v>
      </c>
      <c r="N348" s="18">
        <f t="shared" si="47"/>
        <v>1.5537405706922108E-3</v>
      </c>
      <c r="O348" s="18">
        <f t="shared" si="48"/>
        <v>-2.9885819605224577E-3</v>
      </c>
      <c r="P348" s="18">
        <f t="shared" si="49"/>
        <v>-3.7116882534206971E-3</v>
      </c>
      <c r="Q348" s="18">
        <f t="shared" si="50"/>
        <v>1.078747266882565E-3</v>
      </c>
      <c r="R348" s="28">
        <f>((Scenario_DT!I$11*(IF(Scenario_DT!I$18=1,1,1+$M348/Scenario_DT!$C$19)*(1+$N348)^MAX(0,Scenario_DT!I$18-3))*(Scenario_DT!I$12+$O348)-Scenario_DT!I$13)*(1-Scenario_DT!I$14)+Scenario_DT!I$13-Scenario_DT!I$15)*Scenario_DT!I$16</f>
        <v>906.77095859053156</v>
      </c>
      <c r="S348" s="28">
        <f>((Scenario_DT!J$11*(IF(Scenario_DT!J$18=1,1,1+$M348/Scenario_DT!$C$19)*(1+$N348)^MAX(0,Scenario_DT!J$18-3))*(Scenario_DT!J$12+$O348)-Scenario_DT!J$13)*(1-Scenario_DT!J$14)+Scenario_DT!J$13-Scenario_DT!J$15)*Scenario_DT!J$16</f>
        <v>1881.1348460525019</v>
      </c>
      <c r="T348" s="28">
        <f>((Scenario_DT!K$11*(IF(Scenario_DT!K$18=1,1,1+$M348/Scenario_DT!$C$19)*(1+$N348)^MAX(0,Scenario_DT!K$18-3))*(Scenario_DT!K$12+$O348)-Scenario_DT!K$13)*(1-Scenario_DT!K$14)+Scenario_DT!K$13-Scenario_DT!K$15)*Scenario_DT!K$16</f>
        <v>2148.341516281585</v>
      </c>
      <c r="U348" s="28">
        <f>((Scenario_DT!L$11*(IF(Scenario_DT!L$18=1,1,1+$M348/Scenario_DT!$C$19)*(1+$N348)^MAX(0,Scenario_DT!L$18-3))*(Scenario_DT!L$12+$O348)-Scenario_DT!L$13)*(1-Scenario_DT!L$14)+Scenario_DT!L$13-Scenario_DT!L$15)*Scenario_DT!L$16</f>
        <v>2556.5659855452495</v>
      </c>
      <c r="V348" s="28">
        <f>((Scenario_DT!M$11*(IF(Scenario_DT!M$18=1,1,1+$M348/Scenario_DT!$C$19)*(1+$N348)^MAX(0,Scenario_DT!M$18-3))*(Scenario_DT!M$12+$O348)-Scenario_DT!M$13)*(1-Scenario_DT!M$14)+Scenario_DT!M$13-Scenario_DT!M$15)*Scenario_DT!M$16</f>
        <v>2687.87123748474</v>
      </c>
      <c r="W348" s="28">
        <f>((Scenario_DT!N$11*(IF(Scenario_DT!N$18=1,1,1+$M348/Scenario_DT!$C$19)*(1+$N348)^MAX(0,Scenario_DT!N$18-3))*(Scenario_DT!N$12+$O348)-Scenario_DT!N$13)*(1-Scenario_DT!N$14)+Scenario_DT!N$13-Scenario_DT!N$15)*Scenario_DT!N$16</f>
        <v>2825.915464422792</v>
      </c>
      <c r="X348" s="28">
        <f>((Scenario_DT!O$11*(IF(Scenario_DT!O$18=1,1,1+$M348/Scenario_DT!$C$19)*(1+$N348)^MAX(0,Scenario_DT!O$18-3))*(Scenario_DT!O$12+$O348)-Scenario_DT!O$13)*(1-Scenario_DT!O$14)+Scenario_DT!O$13-Scenario_DT!O$15)*Scenario_DT!O$16</f>
        <v>2971.0470137345114</v>
      </c>
      <c r="Y348" s="28">
        <f>((Scenario_DT!P$11*(IF(Scenario_DT!P$18=1,1,1+$M348/Scenario_DT!$C$19)*(1+$N348)^MAX(0,Scenario_DT!P$18-3))*(Scenario_DT!P$12+$O348)-Scenario_DT!P$13)*(1-Scenario_DT!P$14)+Scenario_DT!P$13-Scenario_DT!P$15)*Scenario_DT!P$16</f>
        <v>3123.6322587620875</v>
      </c>
      <c r="Z348" s="28">
        <f>((Scenario_DT!Q$11*(IF(Scenario_DT!Q$18=1,1,1+$M348/Scenario_DT!$C$19)*(1+$N348)^MAX(0,Scenario_DT!Q$18-3))*(Scenario_DT!Q$12+$O348)-Scenario_DT!Q$13)*(1-Scenario_DT!Q$14)+Scenario_DT!Q$13-Scenario_DT!Q$15)*Scenario_DT!Q$16</f>
        <v>3284.0565315465474</v>
      </c>
      <c r="AA348" s="28">
        <f>((Scenario_DT!R$11*(IF(Scenario_DT!R$18=1,1,1+$M348/Scenario_DT!$C$19)*(1+$N348)^MAX(0,Scenario_DT!R$18-3))*(Scenario_DT!R$12+$O348)-Scenario_DT!R$13)*(1-Scenario_DT!R$14)+Scenario_DT!R$13-Scenario_DT!R$15)*Scenario_DT!R$16</f>
        <v>3452.725103810571</v>
      </c>
      <c r="AB348" s="17">
        <f>(Scenario_DT!$R$11*(1+$M348/Scenario_DT!$C$19)*(1+$N348)^7*(Scenario_DT!$R$12+$O348)*(1+MIN(DCF_FCFF!$C$26+$Q348,(DCF_FCFF!$C$25+$P348)-0.02))*(1-DCF_FCFF!$C$27)*(1-DCF_FCFF!$C$28)/((DCF_FCFF!$C$25+$P348)-MIN(DCF_FCFF!$C$26+$Q348,(DCF_FCFF!$C$25+$P348)-0.02)))*(1+(DCF_FCFF!$C$25+$P348))^(-(Inputs!$C$9+9))</f>
        <v>33264.845443447397</v>
      </c>
      <c r="AC348" s="17">
        <f>SUMPRODUCT(R348:AA348*(1+(DCF_FCFF!$C$25+$P348))^(-Scenario_DT!$I$17:$R$17))+AB348</f>
        <v>50400.204310351364</v>
      </c>
      <c r="AD348" s="68">
        <f>((AC348-DCF_FCFF!$C$48)*(1-DCF_FCFF!$C$50)+DCF_FCFF!$C$57+DCF_FCFF!$C$58)/DCF_FCFF!$C$60</f>
        <v>387.33546435552296</v>
      </c>
      <c r="AE348" s="6"/>
      <c r="AF348" s="6"/>
      <c r="AG348" s="6"/>
    </row>
    <row r="349" spans="1:33" x14ac:dyDescent="0.3">
      <c r="A349" s="6"/>
      <c r="B349" s="72">
        <v>318</v>
      </c>
      <c r="C349" s="73">
        <v>0.93880535420703803</v>
      </c>
      <c r="D349" s="73">
        <v>0.34464088651161801</v>
      </c>
      <c r="E349" s="73">
        <v>0.55700178188145</v>
      </c>
      <c r="F349" s="73">
        <v>0.29629963045348501</v>
      </c>
      <c r="G349" s="73">
        <v>0.169799973772708</v>
      </c>
      <c r="H349" s="15">
        <f t="shared" si="41"/>
        <v>1.5448221353963294</v>
      </c>
      <c r="I349" s="15">
        <f t="shared" si="42"/>
        <v>-0.39982994550636697</v>
      </c>
      <c r="J349" s="15">
        <f t="shared" si="43"/>
        <v>0.14337194811319914</v>
      </c>
      <c r="K349" s="15">
        <f t="shared" si="44"/>
        <v>-0.53507317131070964</v>
      </c>
      <c r="L349" s="15">
        <f t="shared" si="45"/>
        <v>-0.95495600169394668</v>
      </c>
      <c r="M349" s="18">
        <f t="shared" si="46"/>
        <v>3.0896442707926589E-2</v>
      </c>
      <c r="N349" s="18">
        <f t="shared" si="47"/>
        <v>3.4091854215672255E-3</v>
      </c>
      <c r="O349" s="18">
        <f t="shared" si="48"/>
        <v>1.7204633773583897E-3</v>
      </c>
      <c r="P349" s="18">
        <f t="shared" si="49"/>
        <v>-3.210439027864258E-3</v>
      </c>
      <c r="Q349" s="18">
        <f t="shared" si="50"/>
        <v>-3.8198240067757868E-3</v>
      </c>
      <c r="R349" s="28">
        <f>((Scenario_DT!I$11*(IF(Scenario_DT!I$18=1,1,1+$M349/Scenario_DT!$C$19)*(1+$N349)^MAX(0,Scenario_DT!I$18-3))*(Scenario_DT!I$12+$O349)-Scenario_DT!I$13)*(1-Scenario_DT!I$14)+Scenario_DT!I$13-Scenario_DT!I$15)*Scenario_DT!I$16</f>
        <v>913.41020574623224</v>
      </c>
      <c r="S349" s="28">
        <f>((Scenario_DT!J$11*(IF(Scenario_DT!J$18=1,1,1+$M349/Scenario_DT!$C$19)*(1+$N349)^MAX(0,Scenario_DT!J$18-3))*(Scenario_DT!J$12+$O349)-Scenario_DT!J$13)*(1-Scenario_DT!J$14)+Scenario_DT!J$13-Scenario_DT!J$15)*Scenario_DT!J$16</f>
        <v>1911.4669738001062</v>
      </c>
      <c r="T349" s="28">
        <f>((Scenario_DT!K$11*(IF(Scenario_DT!K$18=1,1,1+$M349/Scenario_DT!$C$19)*(1+$N349)^MAX(0,Scenario_DT!K$18-3))*(Scenario_DT!K$12+$O349)-Scenario_DT!K$13)*(1-Scenario_DT!K$14)+Scenario_DT!K$13-Scenario_DT!K$15)*Scenario_DT!K$16</f>
        <v>2179.99235501153</v>
      </c>
      <c r="U349" s="28">
        <f>((Scenario_DT!L$11*(IF(Scenario_DT!L$18=1,1,1+$M349/Scenario_DT!$C$19)*(1+$N349)^MAX(0,Scenario_DT!L$18-3))*(Scenario_DT!L$12+$O349)-Scenario_DT!L$13)*(1-Scenario_DT!L$14)+Scenario_DT!L$13-Scenario_DT!L$15)*Scenario_DT!L$16</f>
        <v>2595.0541587251064</v>
      </c>
      <c r="V349" s="28">
        <f>((Scenario_DT!M$11*(IF(Scenario_DT!M$18=1,1,1+$M349/Scenario_DT!$C$19)*(1+$N349)^MAX(0,Scenario_DT!M$18-3))*(Scenario_DT!M$12+$O349)-Scenario_DT!M$13)*(1-Scenario_DT!M$14)+Scenario_DT!M$13-Scenario_DT!M$15)*Scenario_DT!M$16</f>
        <v>2733.4352147904242</v>
      </c>
      <c r="W349" s="28">
        <f>((Scenario_DT!N$11*(IF(Scenario_DT!N$18=1,1,1+$M349/Scenario_DT!$C$19)*(1+$N349)^MAX(0,Scenario_DT!N$18-3))*(Scenario_DT!N$12+$O349)-Scenario_DT!N$13)*(1-Scenario_DT!N$14)+Scenario_DT!N$13-Scenario_DT!N$15)*Scenario_DT!N$16</f>
        <v>2879.1932253598366</v>
      </c>
      <c r="X349" s="28">
        <f>((Scenario_DT!O$11*(IF(Scenario_DT!O$18=1,1,1+$M349/Scenario_DT!$C$19)*(1+$N349)^MAX(0,Scenario_DT!O$18-3))*(Scenario_DT!O$12+$O349)-Scenario_DT!O$13)*(1-Scenario_DT!O$14)+Scenario_DT!O$13-Scenario_DT!O$15)*Scenario_DT!O$16</f>
        <v>3032.7240858574623</v>
      </c>
      <c r="Y349" s="28">
        <f>((Scenario_DT!P$11*(IF(Scenario_DT!P$18=1,1,1+$M349/Scenario_DT!$C$19)*(1+$N349)^MAX(0,Scenario_DT!P$18-3))*(Scenario_DT!P$12+$O349)-Scenario_DT!P$13)*(1-Scenario_DT!P$14)+Scenario_DT!P$13-Scenario_DT!P$15)*Scenario_DT!P$16</f>
        <v>3194.44495535334</v>
      </c>
      <c r="Z349" s="28">
        <f>((Scenario_DT!Q$11*(IF(Scenario_DT!Q$18=1,1,1+$M349/Scenario_DT!$C$19)*(1+$N349)^MAX(0,Scenario_DT!Q$18-3))*(Scenario_DT!Q$12+$O349)-Scenario_DT!Q$13)*(1-Scenario_DT!Q$14)+Scenario_DT!Q$13-Scenario_DT!Q$15)*Scenario_DT!Q$16</f>
        <v>3364.7953983982256</v>
      </c>
      <c r="AA349" s="28">
        <f>((Scenario_DT!R$11*(IF(Scenario_DT!R$18=1,1,1+$M349/Scenario_DT!$C$19)*(1+$N349)^MAX(0,Scenario_DT!R$18-3))*(Scenario_DT!R$12+$O349)-Scenario_DT!R$13)*(1-Scenario_DT!R$14)+Scenario_DT!R$13-Scenario_DT!R$15)*Scenario_DT!R$16</f>
        <v>3544.2385881527189</v>
      </c>
      <c r="AB349" s="17">
        <f>(Scenario_DT!$R$11*(1+$M349/Scenario_DT!$C$19)*(1+$N349)^7*(Scenario_DT!$R$12+$O349)*(1+MIN(DCF_FCFF!$C$26+$Q349,(DCF_FCFF!$C$25+$P349)-0.02))*(1-DCF_FCFF!$C$27)*(1-DCF_FCFF!$C$28)/((DCF_FCFF!$C$25+$P349)-MIN(DCF_FCFF!$C$26+$Q349,(DCF_FCFF!$C$25+$P349)-0.02)))*(1+(DCF_FCFF!$C$25+$P349))^(-(Inputs!$C$9+9))</f>
        <v>30249.187288501576</v>
      </c>
      <c r="AC349" s="17">
        <f>SUMPRODUCT(R349:AA349*(1+(DCF_FCFF!$C$25+$P349))^(-Scenario_DT!$I$17:$R$17))+AB349</f>
        <v>47668.77541257417</v>
      </c>
      <c r="AD349" s="68">
        <f>((AC349-DCF_FCFF!$C$48)*(1-DCF_FCFF!$C$50)+DCF_FCFF!$C$57+DCF_FCFF!$C$58)/DCF_FCFF!$C$60</f>
        <v>361.11711076552865</v>
      </c>
      <c r="AE349" s="6"/>
      <c r="AF349" s="6"/>
      <c r="AG349" s="6"/>
    </row>
    <row r="350" spans="1:33" x14ac:dyDescent="0.3">
      <c r="A350" s="6"/>
      <c r="B350" s="72">
        <v>319</v>
      </c>
      <c r="C350" s="73">
        <v>0.195185529818656</v>
      </c>
      <c r="D350" s="73">
        <v>5.7945344538129898E-2</v>
      </c>
      <c r="E350" s="73">
        <v>0.94929352300925696</v>
      </c>
      <c r="F350" s="73">
        <v>0.40287960850762999</v>
      </c>
      <c r="G350" s="73">
        <v>0.83412089200210804</v>
      </c>
      <c r="H350" s="15">
        <f t="shared" si="41"/>
        <v>-0.85894463961401912</v>
      </c>
      <c r="I350" s="15">
        <f t="shared" si="42"/>
        <v>-1.5722581731635938</v>
      </c>
      <c r="J350" s="15">
        <f t="shared" si="43"/>
        <v>1.6380418978748346</v>
      </c>
      <c r="K350" s="15">
        <f t="shared" si="44"/>
        <v>-0.24590055135284944</v>
      </c>
      <c r="L350" s="15">
        <f t="shared" si="45"/>
        <v>0.97057850129105627</v>
      </c>
      <c r="M350" s="18">
        <f t="shared" si="46"/>
        <v>-1.7178892792280381E-2</v>
      </c>
      <c r="N350" s="18">
        <f t="shared" si="47"/>
        <v>-1.4328702712595159E-2</v>
      </c>
      <c r="O350" s="18">
        <f t="shared" si="48"/>
        <v>1.9656502774498014E-2</v>
      </c>
      <c r="P350" s="18">
        <f t="shared" si="49"/>
        <v>-1.4754033081170966E-3</v>
      </c>
      <c r="Q350" s="18">
        <f t="shared" si="50"/>
        <v>3.8823140051642254E-3</v>
      </c>
      <c r="R350" s="28">
        <f>((Scenario_DT!I$11*(IF(Scenario_DT!I$18=1,1,1+$M350/Scenario_DT!$C$19)*(1+$N350)^MAX(0,Scenario_DT!I$18-3))*(Scenario_DT!I$12+$O350)-Scenario_DT!I$13)*(1-Scenario_DT!I$14)+Scenario_DT!I$13-Scenario_DT!I$15)*Scenario_DT!I$16</f>
        <v>938.6980910834277</v>
      </c>
      <c r="S350" s="28">
        <f>((Scenario_DT!J$11*(IF(Scenario_DT!J$18=1,1,1+$M350/Scenario_DT!$C$19)*(1+$N350)^MAX(0,Scenario_DT!J$18-3))*(Scenario_DT!J$12+$O350)-Scenario_DT!J$13)*(1-Scenario_DT!J$14)+Scenario_DT!J$13-Scenario_DT!J$15)*Scenario_DT!J$16</f>
        <v>1850.7151726578618</v>
      </c>
      <c r="T350" s="28">
        <f>((Scenario_DT!K$11*(IF(Scenario_DT!K$18=1,1,1+$M350/Scenario_DT!$C$19)*(1+$N350)^MAX(0,Scenario_DT!K$18-3))*(Scenario_DT!K$12+$O350)-Scenario_DT!K$13)*(1-Scenario_DT!K$14)+Scenario_DT!K$13-Scenario_DT!K$15)*Scenario_DT!K$16</f>
        <v>2115.3989327142285</v>
      </c>
      <c r="U350" s="28">
        <f>((Scenario_DT!L$11*(IF(Scenario_DT!L$18=1,1,1+$M350/Scenario_DT!$C$19)*(1+$N350)^MAX(0,Scenario_DT!L$18-3))*(Scenario_DT!L$12+$O350)-Scenario_DT!L$13)*(1-Scenario_DT!L$14)+Scenario_DT!L$13-Scenario_DT!L$15)*Scenario_DT!L$16</f>
        <v>2481.2803700663521</v>
      </c>
      <c r="V350" s="28">
        <f>((Scenario_DT!M$11*(IF(Scenario_DT!M$18=1,1,1+$M350/Scenario_DT!$C$19)*(1+$N350)^MAX(0,Scenario_DT!M$18-3))*(Scenario_DT!M$12+$O350)-Scenario_DT!M$13)*(1-Scenario_DT!M$14)+Scenario_DT!M$13-Scenario_DT!M$15)*Scenario_DT!M$16</f>
        <v>2567.0378686854247</v>
      </c>
      <c r="W350" s="28">
        <f>((Scenario_DT!N$11*(IF(Scenario_DT!N$18=1,1,1+$M350/Scenario_DT!$C$19)*(1+$N350)^MAX(0,Scenario_DT!N$18-3))*(Scenario_DT!N$12+$O350)-Scenario_DT!N$13)*(1-Scenario_DT!N$14)+Scenario_DT!N$13-Scenario_DT!N$15)*Scenario_DT!N$16</f>
        <v>2655.7264045142183</v>
      </c>
      <c r="X350" s="28">
        <f>((Scenario_DT!O$11*(IF(Scenario_DT!O$18=1,1,1+$M350/Scenario_DT!$C$19)*(1+$N350)^MAX(0,Scenario_DT!O$18-3))*(Scenario_DT!O$12+$O350)-Scenario_DT!O$13)*(1-Scenario_DT!O$14)+Scenario_DT!O$13-Scenario_DT!O$15)*Scenario_DT!O$16</f>
        <v>2747.4468129160996</v>
      </c>
      <c r="Y350" s="28">
        <f>((Scenario_DT!P$11*(IF(Scenario_DT!P$18=1,1,1+$M350/Scenario_DT!$C$19)*(1+$N350)^MAX(0,Scenario_DT!P$18-3))*(Scenario_DT!P$12+$O350)-Scenario_DT!P$13)*(1-Scenario_DT!P$14)+Scenario_DT!P$13-Scenario_DT!P$15)*Scenario_DT!P$16</f>
        <v>2842.3033965244863</v>
      </c>
      <c r="Z350" s="28">
        <f>((Scenario_DT!Q$11*(IF(Scenario_DT!Q$18=1,1,1+$M350/Scenario_DT!$C$19)*(1+$N350)^MAX(0,Scenario_DT!Q$18-3))*(Scenario_DT!Q$12+$O350)-Scenario_DT!Q$13)*(1-Scenario_DT!Q$14)+Scenario_DT!Q$13-Scenario_DT!Q$15)*Scenario_DT!Q$16</f>
        <v>2940.404044093144</v>
      </c>
      <c r="AA350" s="28">
        <f>((Scenario_DT!R$11*(IF(Scenario_DT!R$18=1,1,1+$M350/Scenario_DT!$C$19)*(1+$N350)^MAX(0,Scenario_DT!R$18-3))*(Scenario_DT!R$12+$O350)-Scenario_DT!R$13)*(1-Scenario_DT!R$14)+Scenario_DT!R$13-Scenario_DT!R$15)*Scenario_DT!R$16</f>
        <v>3041.8603534016884</v>
      </c>
      <c r="AB350" s="17">
        <f>(Scenario_DT!$R$11*(1+$M350/Scenario_DT!$C$19)*(1+$N350)^7*(Scenario_DT!$R$12+$O350)*(1+MIN(DCF_FCFF!$C$26+$Q350,(DCF_FCFF!$C$25+$P350)-0.02))*(1-DCF_FCFF!$C$27)*(1-DCF_FCFF!$C$28)/((DCF_FCFF!$C$25+$P350)-MIN(DCF_FCFF!$C$26+$Q350,(DCF_FCFF!$C$25+$P350)-0.02)))*(1+(DCF_FCFF!$C$25+$P350))^(-(Inputs!$C$9+9))</f>
        <v>29213.635190956251</v>
      </c>
      <c r="AC350" s="17">
        <f>SUMPRODUCT(R350:AA350*(1+(DCF_FCFF!$C$25+$P350))^(-Scenario_DT!$I$17:$R$17))+AB350</f>
        <v>45250.454993938722</v>
      </c>
      <c r="AD350" s="68">
        <f>((AC350-DCF_FCFF!$C$48)*(1-DCF_FCFF!$C$50)+DCF_FCFF!$C$57+DCF_FCFF!$C$58)/DCF_FCFF!$C$60</f>
        <v>337.90421297372274</v>
      </c>
      <c r="AE350" s="6"/>
      <c r="AF350" s="6"/>
      <c r="AG350" s="6"/>
    </row>
    <row r="351" spans="1:33" x14ac:dyDescent="0.3">
      <c r="A351" s="6"/>
      <c r="B351" s="72">
        <v>320</v>
      </c>
      <c r="C351" s="73">
        <v>0.68132947268969102</v>
      </c>
      <c r="D351" s="73">
        <v>0.19192116141108501</v>
      </c>
      <c r="E351" s="73">
        <v>0.17546224657908799</v>
      </c>
      <c r="F351" s="73">
        <v>0.81198820151054496</v>
      </c>
      <c r="G351" s="73">
        <v>0.26471171061953702</v>
      </c>
      <c r="H351" s="15">
        <f t="shared" ref="H351:H414" si="51">NORMSINV(C351)</f>
        <v>0.47141969443063098</v>
      </c>
      <c r="I351" s="15">
        <f t="shared" ref="I351:I414" si="52">NORMSINV(D351)</f>
        <v>-0.87083853227719898</v>
      </c>
      <c r="J351" s="15">
        <f t="shared" ref="J351:J414" si="53">NORMSINV(E351)</f>
        <v>-0.93279757572748734</v>
      </c>
      <c r="K351" s="15">
        <f t="shared" ref="K351:K414" si="54">NORMSINV(F351)</f>
        <v>0.88524668707461962</v>
      </c>
      <c r="L351" s="15">
        <f t="shared" ref="L351:L414" si="55">NORMSINV(G351)</f>
        <v>-0.62888641381606181</v>
      </c>
      <c r="M351" s="18">
        <f t="shared" ref="M351:M414" si="56">H351*$C$5</f>
        <v>9.4283938886126194E-3</v>
      </c>
      <c r="N351" s="18">
        <f t="shared" ref="N351:N414" si="57">($C$10*H351+SQRT(1-$C$10^2)*I351)*$C$6</f>
        <v>-4.1476675546487487E-3</v>
      </c>
      <c r="O351" s="18">
        <f t="shared" ref="O351:O414" si="58">J351*$C$7</f>
        <v>-1.1193570908729848E-2</v>
      </c>
      <c r="P351" s="18">
        <f t="shared" ref="P351:P414" si="59">K351*$C$8</f>
        <v>5.3114801224477181E-3</v>
      </c>
      <c r="Q351" s="18">
        <f t="shared" ref="Q351:Q414" si="60">L351*$C$9</f>
        <v>-2.5155456552642475E-3</v>
      </c>
      <c r="R351" s="28">
        <f>((Scenario_DT!I$11*(IF(Scenario_DT!I$18=1,1,1+$M351/Scenario_DT!$C$19)*(1+$N351)^MAX(0,Scenario_DT!I$18-3))*(Scenario_DT!I$12+$O351)-Scenario_DT!I$13)*(1-Scenario_DT!I$14)+Scenario_DT!I$13-Scenario_DT!I$15)*Scenario_DT!I$16</f>
        <v>895.20280716528896</v>
      </c>
      <c r="S351" s="28">
        <f>((Scenario_DT!J$11*(IF(Scenario_DT!J$18=1,1,1+$M351/Scenario_DT!$C$19)*(1+$N351)^MAX(0,Scenario_DT!J$18-3))*(Scenario_DT!J$12+$O351)-Scenario_DT!J$13)*(1-Scenario_DT!J$14)+Scenario_DT!J$13-Scenario_DT!J$15)*Scenario_DT!J$16</f>
        <v>1819.3664658747675</v>
      </c>
      <c r="T351" s="28">
        <f>((Scenario_DT!K$11*(IF(Scenario_DT!K$18=1,1,1+$M351/Scenario_DT!$C$19)*(1+$N351)^MAX(0,Scenario_DT!K$18-3))*(Scenario_DT!K$12+$O351)-Scenario_DT!K$13)*(1-Scenario_DT!K$14)+Scenario_DT!K$13-Scenario_DT!K$15)*Scenario_DT!K$16</f>
        <v>2083.816100900583</v>
      </c>
      <c r="U351" s="28">
        <f>((Scenario_DT!L$11*(IF(Scenario_DT!L$18=1,1,1+$M351/Scenario_DT!$C$19)*(1+$N351)^MAX(0,Scenario_DT!L$18-3))*(Scenario_DT!L$12+$O351)-Scenario_DT!L$13)*(1-Scenario_DT!L$14)+Scenario_DT!L$13-Scenario_DT!L$15)*Scenario_DT!L$16</f>
        <v>2473.6890700166086</v>
      </c>
      <c r="V351" s="28">
        <f>((Scenario_DT!M$11*(IF(Scenario_DT!M$18=1,1,1+$M351/Scenario_DT!$C$19)*(1+$N351)^MAX(0,Scenario_DT!M$18-3))*(Scenario_DT!M$12+$O351)-Scenario_DT!M$13)*(1-Scenario_DT!M$14)+Scenario_DT!M$13-Scenario_DT!M$15)*Scenario_DT!M$16</f>
        <v>2585.8055608775785</v>
      </c>
      <c r="W351" s="28">
        <f>((Scenario_DT!N$11*(IF(Scenario_DT!N$18=1,1,1+$M351/Scenario_DT!$C$19)*(1+$N351)^MAX(0,Scenario_DT!N$18-3))*(Scenario_DT!N$12+$O351)-Scenario_DT!N$13)*(1-Scenario_DT!N$14)+Scenario_DT!N$13-Scenario_DT!N$15)*Scenario_DT!N$16</f>
        <v>2702.9897307640767</v>
      </c>
      <c r="X351" s="28">
        <f>((Scenario_DT!O$11*(IF(Scenario_DT!O$18=1,1,1+$M351/Scenario_DT!$C$19)*(1+$N351)^MAX(0,Scenario_DT!O$18-3))*(Scenario_DT!O$12+$O351)-Scenario_DT!O$13)*(1-Scenario_DT!O$14)+Scenario_DT!O$13-Scenario_DT!O$15)*Scenario_DT!O$16</f>
        <v>2825.4725718542468</v>
      </c>
      <c r="Y351" s="28">
        <f>((Scenario_DT!P$11*(IF(Scenario_DT!P$18=1,1,1+$M351/Scenario_DT!$C$19)*(1+$N351)^MAX(0,Scenario_DT!P$18-3))*(Scenario_DT!P$12+$O351)-Scenario_DT!P$13)*(1-Scenario_DT!P$14)+Scenario_DT!P$13-Scenario_DT!P$15)*Scenario_DT!P$16</f>
        <v>2953.4956251713952</v>
      </c>
      <c r="Z351" s="28">
        <f>((Scenario_DT!Q$11*(IF(Scenario_DT!Q$18=1,1,1+$M351/Scenario_DT!$C$19)*(1+$N351)^MAX(0,Scenario_DT!Q$18-3))*(Scenario_DT!Q$12+$O351)-Scenario_DT!Q$13)*(1-Scenario_DT!Q$14)+Scenario_DT!Q$13-Scenario_DT!Q$15)*Scenario_DT!Q$16</f>
        <v>3087.3114625410376</v>
      </c>
      <c r="AA351" s="28">
        <f>((Scenario_DT!R$11*(IF(Scenario_DT!R$18=1,1,1+$M351/Scenario_DT!$C$19)*(1+$N351)^MAX(0,Scenario_DT!R$18-3))*(Scenario_DT!R$12+$O351)-Scenario_DT!R$13)*(1-Scenario_DT!R$14)+Scenario_DT!R$13-Scenario_DT!R$15)*Scenario_DT!R$16</f>
        <v>3227.1841905707151</v>
      </c>
      <c r="AB351" s="17">
        <f>(Scenario_DT!$R$11*(1+$M351/Scenario_DT!$C$19)*(1+$N351)^7*(Scenario_DT!$R$12+$O351)*(1+MIN(DCF_FCFF!$C$26+$Q351,(DCF_FCFF!$C$25+$P351)-0.02))*(1-DCF_FCFF!$C$27)*(1-DCF_FCFF!$C$28)/((DCF_FCFF!$C$25+$P351)-MIN(DCF_FCFF!$C$26+$Q351,(DCF_FCFF!$C$25+$P351)-0.02)))*(1+(DCF_FCFF!$C$25+$P351))^(-(Inputs!$C$9+9))</f>
        <v>22454.530937901516</v>
      </c>
      <c r="AC351" s="17">
        <f>SUMPRODUCT(R351:AA351*(1+(DCF_FCFF!$C$25+$P351))^(-Scenario_DT!$I$17:$R$17))+AB351</f>
        <v>38245.86841312563</v>
      </c>
      <c r="AD351" s="68">
        <f>((AC351-DCF_FCFF!$C$48)*(1-DCF_FCFF!$C$50)+DCF_FCFF!$C$57+DCF_FCFF!$C$58)/DCF_FCFF!$C$60</f>
        <v>270.66880813600653</v>
      </c>
      <c r="AE351" s="6"/>
      <c r="AF351" s="6"/>
      <c r="AG351" s="6"/>
    </row>
    <row r="352" spans="1:33" x14ac:dyDescent="0.3">
      <c r="A352" s="6"/>
      <c r="B352" s="72">
        <v>321</v>
      </c>
      <c r="C352" s="73">
        <v>0.91328518370197598</v>
      </c>
      <c r="D352" s="73">
        <v>0.14005540468949099</v>
      </c>
      <c r="E352" s="73">
        <v>0.67770861445446995</v>
      </c>
      <c r="F352" s="73">
        <v>0.81447387603093402</v>
      </c>
      <c r="G352" s="73">
        <v>0.235256388415645</v>
      </c>
      <c r="H352" s="15">
        <f t="shared" si="51"/>
        <v>1.3612660345930794</v>
      </c>
      <c r="I352" s="15">
        <f t="shared" si="52"/>
        <v>-1.0800704502561536</v>
      </c>
      <c r="J352" s="15">
        <f t="shared" si="53"/>
        <v>0.46130085573393637</v>
      </c>
      <c r="K352" s="15">
        <f t="shared" si="54"/>
        <v>0.89450407969784262</v>
      </c>
      <c r="L352" s="15">
        <f t="shared" si="55"/>
        <v>-0.72164498064667626</v>
      </c>
      <c r="M352" s="18">
        <f t="shared" si="56"/>
        <v>2.722532069186159E-2</v>
      </c>
      <c r="N352" s="18">
        <f t="shared" si="57"/>
        <v>-2.0378834440174885E-3</v>
      </c>
      <c r="O352" s="18">
        <f t="shared" si="58"/>
        <v>5.5356102688072367E-3</v>
      </c>
      <c r="P352" s="18">
        <f t="shared" si="59"/>
        <v>5.3670244781870557E-3</v>
      </c>
      <c r="Q352" s="18">
        <f t="shared" si="60"/>
        <v>-2.8865799225867052E-3</v>
      </c>
      <c r="R352" s="28">
        <f>((Scenario_DT!I$11*(IF(Scenario_DT!I$18=1,1,1+$M352/Scenario_DT!$C$19)*(1+$N352)^MAX(0,Scenario_DT!I$18-3))*(Scenario_DT!I$12+$O352)-Scenario_DT!I$13)*(1-Scenario_DT!I$14)+Scenario_DT!I$13-Scenario_DT!I$15)*Scenario_DT!I$16</f>
        <v>918.789152290635</v>
      </c>
      <c r="S352" s="28">
        <f>((Scenario_DT!J$11*(IF(Scenario_DT!J$18=1,1,1+$M352/Scenario_DT!$C$19)*(1+$N352)^MAX(0,Scenario_DT!J$18-3))*(Scenario_DT!J$12+$O352)-Scenario_DT!J$13)*(1-Scenario_DT!J$14)+Scenario_DT!J$13-Scenario_DT!J$15)*Scenario_DT!J$16</f>
        <v>1914.848709413051</v>
      </c>
      <c r="T352" s="28">
        <f>((Scenario_DT!K$11*(IF(Scenario_DT!K$18=1,1,1+$M352/Scenario_DT!$C$19)*(1+$N352)^MAX(0,Scenario_DT!K$18-3))*(Scenario_DT!K$12+$O352)-Scenario_DT!K$13)*(1-Scenario_DT!K$14)+Scenario_DT!K$13-Scenario_DT!K$15)*Scenario_DT!K$16</f>
        <v>2183.3721158355088</v>
      </c>
      <c r="U352" s="28">
        <f>((Scenario_DT!L$11*(IF(Scenario_DT!L$18=1,1,1+$M352/Scenario_DT!$C$19)*(1+$N352)^MAX(0,Scenario_DT!L$18-3))*(Scenario_DT!L$12+$O352)-Scenario_DT!L$13)*(1-Scenario_DT!L$14)+Scenario_DT!L$13-Scenario_DT!L$15)*Scenario_DT!L$16</f>
        <v>2584.4563796336192</v>
      </c>
      <c r="V352" s="28">
        <f>((Scenario_DT!M$11*(IF(Scenario_DT!M$18=1,1,1+$M352/Scenario_DT!$C$19)*(1+$N352)^MAX(0,Scenario_DT!M$18-3))*(Scenario_DT!M$12+$O352)-Scenario_DT!M$13)*(1-Scenario_DT!M$14)+Scenario_DT!M$13-Scenario_DT!M$15)*Scenario_DT!M$16</f>
        <v>2707.3914984250441</v>
      </c>
      <c r="W352" s="28">
        <f>((Scenario_DT!N$11*(IF(Scenario_DT!N$18=1,1,1+$M352/Scenario_DT!$C$19)*(1+$N352)^MAX(0,Scenario_DT!N$18-3))*(Scenario_DT!N$12+$O352)-Scenario_DT!N$13)*(1-Scenario_DT!N$14)+Scenario_DT!N$13-Scenario_DT!N$15)*Scenario_DT!N$16</f>
        <v>2836.1639141388073</v>
      </c>
      <c r="X352" s="28">
        <f>((Scenario_DT!O$11*(IF(Scenario_DT!O$18=1,1,1+$M352/Scenario_DT!$C$19)*(1+$N352)^MAX(0,Scenario_DT!O$18-3))*(Scenario_DT!O$12+$O352)-Scenario_DT!O$13)*(1-Scenario_DT!O$14)+Scenario_DT!O$13-Scenario_DT!O$15)*Scenario_DT!O$16</f>
        <v>2971.0529480762275</v>
      </c>
      <c r="Y352" s="28">
        <f>((Scenario_DT!P$11*(IF(Scenario_DT!P$18=1,1,1+$M352/Scenario_DT!$C$19)*(1+$N352)^MAX(0,Scenario_DT!P$18-3))*(Scenario_DT!P$12+$O352)-Scenario_DT!P$13)*(1-Scenario_DT!P$14)+Scenario_DT!P$13-Scenario_DT!P$15)*Scenario_DT!P$16</f>
        <v>3112.3513081168635</v>
      </c>
      <c r="Z352" s="28">
        <f>((Scenario_DT!Q$11*(IF(Scenario_DT!Q$18=1,1,1+$M352/Scenario_DT!$C$19)*(1+$N352)^MAX(0,Scenario_DT!Q$18-3))*(Scenario_DT!Q$12+$O352)-Scenario_DT!Q$13)*(1-Scenario_DT!Q$14)+Scenario_DT!Q$13-Scenario_DT!Q$15)*Scenario_DT!Q$16</f>
        <v>3260.365730439561</v>
      </c>
      <c r="AA352" s="28">
        <f>((Scenario_DT!R$11*(IF(Scenario_DT!R$18=1,1,1+$M352/Scenario_DT!$C$19)*(1+$N352)^MAX(0,Scenario_DT!R$18-3))*(Scenario_DT!R$12+$O352)-Scenario_DT!R$13)*(1-Scenario_DT!R$14)+Scenario_DT!R$13-Scenario_DT!R$15)*Scenario_DT!R$16</f>
        <v>3415.4176520057968</v>
      </c>
      <c r="AB352" s="17">
        <f>(Scenario_DT!$R$11*(1+$M352/Scenario_DT!$C$19)*(1+$N352)^7*(Scenario_DT!$R$12+$O352)*(1+MIN(DCF_FCFF!$C$26+$Q352,(DCF_FCFF!$C$25+$P352)-0.02))*(1-DCF_FCFF!$C$27)*(1-DCF_FCFF!$C$28)/((DCF_FCFF!$C$25+$P352)-MIN(DCF_FCFF!$C$26+$Q352,(DCF_FCFF!$C$25+$P352)-0.02)))*(1+(DCF_FCFF!$C$25+$P352))^(-(Inputs!$C$9+9))</f>
        <v>23560.392731863994</v>
      </c>
      <c r="AC352" s="17">
        <f>SUMPRODUCT(R352:AA352*(1+(DCF_FCFF!$C$25+$P352))^(-Scenario_DT!$I$17:$R$17))+AB352</f>
        <v>40129.808283739636</v>
      </c>
      <c r="AD352" s="68">
        <f>((AC352-DCF_FCFF!$C$48)*(1-DCF_FCFF!$C$50)+DCF_FCFF!$C$57+DCF_FCFF!$C$58)/DCF_FCFF!$C$60</f>
        <v>288.75231077092491</v>
      </c>
      <c r="AE352" s="6"/>
      <c r="AF352" s="6"/>
      <c r="AG352" s="6"/>
    </row>
    <row r="353" spans="1:33" x14ac:dyDescent="0.3">
      <c r="A353" s="6"/>
      <c r="B353" s="72">
        <v>322</v>
      </c>
      <c r="C353" s="73">
        <v>0.27620736345656599</v>
      </c>
      <c r="D353" s="73">
        <v>0.964518886139202</v>
      </c>
      <c r="E353" s="73">
        <v>0.264597605346158</v>
      </c>
      <c r="F353" s="73">
        <v>0.42995704990004802</v>
      </c>
      <c r="G353" s="73">
        <v>0.43251559324236599</v>
      </c>
      <c r="H353" s="15">
        <f t="shared" si="51"/>
        <v>-0.59414561056481074</v>
      </c>
      <c r="I353" s="15">
        <f t="shared" si="52"/>
        <v>1.8057190996008614</v>
      </c>
      <c r="J353" s="15">
        <f t="shared" si="53"/>
        <v>-0.62923501157327288</v>
      </c>
      <c r="K353" s="15">
        <f t="shared" si="54"/>
        <v>-0.1764835133953831</v>
      </c>
      <c r="L353" s="15">
        <f t="shared" si="55"/>
        <v>-0.16997323401700135</v>
      </c>
      <c r="M353" s="18">
        <f t="shared" si="56"/>
        <v>-1.1882912211296216E-2</v>
      </c>
      <c r="N353" s="18">
        <f t="shared" si="57"/>
        <v>1.0133806456565628E-2</v>
      </c>
      <c r="O353" s="18">
        <f t="shared" si="58"/>
        <v>-7.550820138879275E-3</v>
      </c>
      <c r="P353" s="18">
        <f t="shared" si="59"/>
        <v>-1.0589010803722986E-3</v>
      </c>
      <c r="Q353" s="18">
        <f t="shared" si="60"/>
        <v>-6.7989293606800542E-4</v>
      </c>
      <c r="R353" s="28">
        <f>((Scenario_DT!I$11*(IF(Scenario_DT!I$18=1,1,1+$M353/Scenario_DT!$C$19)*(1+$N353)^MAX(0,Scenario_DT!I$18-3))*(Scenario_DT!I$12+$O353)-Scenario_DT!I$13)*(1-Scenario_DT!I$14)+Scenario_DT!I$13-Scenario_DT!I$15)*Scenario_DT!I$16</f>
        <v>900.33869373089578</v>
      </c>
      <c r="S353" s="28">
        <f>((Scenario_DT!J$11*(IF(Scenario_DT!J$18=1,1,1+$M353/Scenario_DT!$C$19)*(1+$N353)^MAX(0,Scenario_DT!J$18-3))*(Scenario_DT!J$12+$O353)-Scenario_DT!J$13)*(1-Scenario_DT!J$14)+Scenario_DT!J$13-Scenario_DT!J$15)*Scenario_DT!J$16</f>
        <v>1780.2647880707918</v>
      </c>
      <c r="T353" s="28">
        <f>((Scenario_DT!K$11*(IF(Scenario_DT!K$18=1,1,1+$M353/Scenario_DT!$C$19)*(1+$N353)^MAX(0,Scenario_DT!K$18-3))*(Scenario_DT!K$12+$O353)-Scenario_DT!K$13)*(1-Scenario_DT!K$14)+Scenario_DT!K$13-Scenario_DT!K$15)*Scenario_DT!K$16</f>
        <v>2042.5693273808897</v>
      </c>
      <c r="U353" s="28">
        <f>((Scenario_DT!L$11*(IF(Scenario_DT!L$18=1,1,1+$M353/Scenario_DT!$C$19)*(1+$N353)^MAX(0,Scenario_DT!L$18-3))*(Scenario_DT!L$12+$O353)-Scenario_DT!L$13)*(1-Scenario_DT!L$14)+Scenario_DT!L$13-Scenario_DT!L$15)*Scenario_DT!L$16</f>
        <v>2465.1674514876099</v>
      </c>
      <c r="V353" s="28">
        <f>((Scenario_DT!M$11*(IF(Scenario_DT!M$18=1,1,1+$M353/Scenario_DT!$C$19)*(1+$N353)^MAX(0,Scenario_DT!M$18-3))*(Scenario_DT!M$12+$O353)-Scenario_DT!M$13)*(1-Scenario_DT!M$14)+Scenario_DT!M$13-Scenario_DT!M$15)*Scenario_DT!M$16</f>
        <v>2614.1145577002626</v>
      </c>
      <c r="W353" s="28">
        <f>((Scenario_DT!N$11*(IF(Scenario_DT!N$18=1,1,1+$M353/Scenario_DT!$C$19)*(1+$N353)^MAX(0,Scenario_DT!N$18-3))*(Scenario_DT!N$12+$O353)-Scenario_DT!N$13)*(1-Scenario_DT!N$14)+Scenario_DT!N$13-Scenario_DT!N$15)*Scenario_DT!N$16</f>
        <v>2772.0674885758326</v>
      </c>
      <c r="X353" s="28">
        <f>((Scenario_DT!O$11*(IF(Scenario_DT!O$18=1,1,1+$M353/Scenario_DT!$C$19)*(1+$N353)^MAX(0,Scenario_DT!O$18-3))*(Scenario_DT!O$12+$O353)-Scenario_DT!O$13)*(1-Scenario_DT!O$14)+Scenario_DT!O$13-Scenario_DT!O$15)*Scenario_DT!O$16</f>
        <v>2939.5738592042817</v>
      </c>
      <c r="Y353" s="28">
        <f>((Scenario_DT!P$11*(IF(Scenario_DT!P$18=1,1,1+$M353/Scenario_DT!$C$19)*(1+$N353)^MAX(0,Scenario_DT!P$18-3))*(Scenario_DT!P$12+$O353)-Scenario_DT!P$13)*(1-Scenario_DT!P$14)+Scenario_DT!P$13-Scenario_DT!P$15)*Scenario_DT!P$16</f>
        <v>3117.2145854072282</v>
      </c>
      <c r="Z353" s="28">
        <f>((Scenario_DT!Q$11*(IF(Scenario_DT!Q$18=1,1,1+$M353/Scenario_DT!$C$19)*(1+$N353)^MAX(0,Scenario_DT!Q$18-3))*(Scenario_DT!Q$12+$O353)-Scenario_DT!Q$13)*(1-Scenario_DT!Q$14)+Scenario_DT!Q$13-Scenario_DT!Q$15)*Scenario_DT!Q$16</f>
        <v>3305.6059074985787</v>
      </c>
      <c r="AA353" s="28">
        <f>((Scenario_DT!R$11*(IF(Scenario_DT!R$18=1,1,1+$M353/Scenario_DT!$C$19)*(1+$N353)^MAX(0,Scenario_DT!R$18-3))*(Scenario_DT!R$12+$O353)-Scenario_DT!R$13)*(1-Scenario_DT!R$14)+Scenario_DT!R$13-Scenario_DT!R$15)*Scenario_DT!R$16</f>
        <v>3505.4015369635376</v>
      </c>
      <c r="AB353" s="17">
        <f>(Scenario_DT!$R$11*(1+$M353/Scenario_DT!$C$19)*(1+$N353)^7*(Scenario_DT!$R$12+$O353)*(1+MIN(DCF_FCFF!$C$26+$Q353,(DCF_FCFF!$C$25+$P353)-0.02))*(1-DCF_FCFF!$C$27)*(1-DCF_FCFF!$C$28)/((DCF_FCFF!$C$25+$P353)-MIN(DCF_FCFF!$C$26+$Q353,(DCF_FCFF!$C$25+$P353)-0.02)))*(1+(DCF_FCFF!$C$25+$P353))^(-(Inputs!$C$9+9))</f>
        <v>30036.312768535343</v>
      </c>
      <c r="AC353" s="17">
        <f>SUMPRODUCT(R353:AA353*(1+(DCF_FCFF!$C$25+$P353))^(-Scenario_DT!$I$17:$R$17))+AB353</f>
        <v>46644.975887455585</v>
      </c>
      <c r="AD353" s="68">
        <f>((AC353-DCF_FCFF!$C$48)*(1-DCF_FCFF!$C$50)+DCF_FCFF!$C$57+DCF_FCFF!$C$58)/DCF_FCFF!$C$60</f>
        <v>351.28989616123448</v>
      </c>
      <c r="AE353" s="6"/>
      <c r="AF353" s="6"/>
      <c r="AG353" s="6"/>
    </row>
    <row r="354" spans="1:33" x14ac:dyDescent="0.3">
      <c r="A354" s="6"/>
      <c r="B354" s="72">
        <v>323</v>
      </c>
      <c r="C354" s="73">
        <v>0.253034749929684</v>
      </c>
      <c r="D354" s="73">
        <v>0.77579108643709105</v>
      </c>
      <c r="E354" s="73">
        <v>0.77184934322915499</v>
      </c>
      <c r="F354" s="73">
        <v>0.37831801422378603</v>
      </c>
      <c r="G354" s="73">
        <v>0.83512579108073404</v>
      </c>
      <c r="H354" s="15">
        <f t="shared" si="51"/>
        <v>-0.6649702838712015</v>
      </c>
      <c r="I354" s="15">
        <f t="shared" si="52"/>
        <v>0.75805538485566959</v>
      </c>
      <c r="J354" s="15">
        <f t="shared" si="53"/>
        <v>0.74495104773252785</v>
      </c>
      <c r="K354" s="15">
        <f t="shared" si="54"/>
        <v>-0.30990128124722072</v>
      </c>
      <c r="L354" s="15">
        <f t="shared" si="55"/>
        <v>0.97462074819705036</v>
      </c>
      <c r="M354" s="18">
        <f t="shared" si="56"/>
        <v>-1.329940567742403E-2</v>
      </c>
      <c r="N354" s="18">
        <f t="shared" si="57"/>
        <v>2.5920806305999885E-3</v>
      </c>
      <c r="O354" s="18">
        <f t="shared" si="58"/>
        <v>8.939412572790335E-3</v>
      </c>
      <c r="P354" s="18">
        <f t="shared" si="59"/>
        <v>-1.8594076874833244E-3</v>
      </c>
      <c r="Q354" s="18">
        <f t="shared" si="60"/>
        <v>3.8984829927882015E-3</v>
      </c>
      <c r="R354" s="28">
        <f>((Scenario_DT!I$11*(IF(Scenario_DT!I$18=1,1,1+$M354/Scenario_DT!$C$19)*(1+$N354)^MAX(0,Scenario_DT!I$18-3))*(Scenario_DT!I$12+$O354)-Scenario_DT!I$13)*(1-Scenario_DT!I$14)+Scenario_DT!I$13-Scenario_DT!I$15)*Scenario_DT!I$16</f>
        <v>923.5881472341523</v>
      </c>
      <c r="S354" s="28">
        <f>((Scenario_DT!J$11*(IF(Scenario_DT!J$18=1,1,1+$M354/Scenario_DT!$C$19)*(1+$N354)^MAX(0,Scenario_DT!J$18-3))*(Scenario_DT!J$12+$O354)-Scenario_DT!J$13)*(1-Scenario_DT!J$14)+Scenario_DT!J$13-Scenario_DT!J$15)*Scenario_DT!J$16</f>
        <v>1827.4284376208043</v>
      </c>
      <c r="T354" s="28">
        <f>((Scenario_DT!K$11*(IF(Scenario_DT!K$18=1,1,1+$M354/Scenario_DT!$C$19)*(1+$N354)^MAX(0,Scenario_DT!K$18-3))*(Scenario_DT!K$12+$O354)-Scenario_DT!K$13)*(1-Scenario_DT!K$14)+Scenario_DT!K$13-Scenario_DT!K$15)*Scenario_DT!K$16</f>
        <v>2091.3981561891669</v>
      </c>
      <c r="U354" s="28">
        <f>((Scenario_DT!L$11*(IF(Scenario_DT!L$18=1,1,1+$M354/Scenario_DT!$C$19)*(1+$N354)^MAX(0,Scenario_DT!L$18-3))*(Scenario_DT!L$12+$O354)-Scenario_DT!L$13)*(1-Scenario_DT!L$14)+Scenario_DT!L$13-Scenario_DT!L$15)*Scenario_DT!L$16</f>
        <v>2498.6160751994271</v>
      </c>
      <c r="V354" s="28">
        <f>((Scenario_DT!M$11*(IF(Scenario_DT!M$18=1,1,1+$M354/Scenario_DT!$C$19)*(1+$N354)^MAX(0,Scenario_DT!M$18-3))*(Scenario_DT!M$12+$O354)-Scenario_DT!M$13)*(1-Scenario_DT!M$14)+Scenario_DT!M$13-Scenario_DT!M$15)*Scenario_DT!M$16</f>
        <v>2629.6718223184316</v>
      </c>
      <c r="W354" s="28">
        <f>((Scenario_DT!N$11*(IF(Scenario_DT!N$18=1,1,1+$M354/Scenario_DT!$C$19)*(1+$N354)^MAX(0,Scenario_DT!N$18-3))*(Scenario_DT!N$12+$O354)-Scenario_DT!N$13)*(1-Scenario_DT!N$14)+Scenario_DT!N$13-Scenario_DT!N$15)*Scenario_DT!N$16</f>
        <v>2767.5982530416004</v>
      </c>
      <c r="X354" s="28">
        <f>((Scenario_DT!O$11*(IF(Scenario_DT!O$18=1,1,1+$M354/Scenario_DT!$C$19)*(1+$N354)^MAX(0,Scenario_DT!O$18-3))*(Scenario_DT!O$12+$O354)-Scenario_DT!O$13)*(1-Scenario_DT!O$14)+Scenario_DT!O$13-Scenario_DT!O$15)*Scenario_DT!O$16</f>
        <v>2912.7581381229793</v>
      </c>
      <c r="Y354" s="28">
        <f>((Scenario_DT!P$11*(IF(Scenario_DT!P$18=1,1,1+$M354/Scenario_DT!$C$19)*(1+$N354)^MAX(0,Scenario_DT!P$18-3))*(Scenario_DT!P$12+$O354)-Scenario_DT!P$13)*(1-Scenario_DT!P$14)+Scenario_DT!P$13-Scenario_DT!P$15)*Scenario_DT!P$16</f>
        <v>3065.5334208847339</v>
      </c>
      <c r="Z354" s="28">
        <f>((Scenario_DT!Q$11*(IF(Scenario_DT!Q$18=1,1,1+$M354/Scenario_DT!$C$19)*(1+$N354)^MAX(0,Scenario_DT!Q$18-3))*(Scenario_DT!Q$12+$O354)-Scenario_DT!Q$13)*(1-Scenario_DT!Q$14)+Scenario_DT!Q$13-Scenario_DT!Q$15)*Scenario_DT!Q$16</f>
        <v>3226.3262303384649</v>
      </c>
      <c r="AA354" s="28">
        <f>((Scenario_DT!R$11*(IF(Scenario_DT!R$18=1,1,1+$M354/Scenario_DT!$C$19)*(1+$N354)^MAX(0,Scenario_DT!R$18-3))*(Scenario_DT!R$12+$O354)-Scenario_DT!R$13)*(1-Scenario_DT!R$14)+Scenario_DT!R$13-Scenario_DT!R$15)*Scenario_DT!R$16</f>
        <v>3395.5599478253398</v>
      </c>
      <c r="AB354" s="17">
        <f>(Scenario_DT!$R$11*(1+$M354/Scenario_DT!$C$19)*(1+$N354)^7*(Scenario_DT!$R$12+$O354)*(1+MIN(DCF_FCFF!$C$26+$Q354,(DCF_FCFF!$C$25+$P354)-0.02))*(1-DCF_FCFF!$C$27)*(1-DCF_FCFF!$C$28)/((DCF_FCFF!$C$25+$P354)-MIN(DCF_FCFF!$C$26+$Q354,(DCF_FCFF!$C$25+$P354)-0.02)))*(1+(DCF_FCFF!$C$25+$P354))^(-(Inputs!$C$9+9))</f>
        <v>32981.873506375712</v>
      </c>
      <c r="AC354" s="17">
        <f>SUMPRODUCT(R354:AA354*(1+(DCF_FCFF!$C$25+$P354))^(-Scenario_DT!$I$17:$R$17))+AB354</f>
        <v>49653.088601264273</v>
      </c>
      <c r="AD354" s="68">
        <f>((AC354-DCF_FCFF!$C$48)*(1-DCF_FCFF!$C$50)+DCF_FCFF!$C$57+DCF_FCFF!$C$58)/DCF_FCFF!$C$60</f>
        <v>380.16407364151786</v>
      </c>
      <c r="AE354" s="6"/>
      <c r="AF354" s="6"/>
      <c r="AG354" s="6"/>
    </row>
    <row r="355" spans="1:33" x14ac:dyDescent="0.3">
      <c r="A355" s="6"/>
      <c r="B355" s="72">
        <v>324</v>
      </c>
      <c r="C355" s="73">
        <v>0.21307493439900199</v>
      </c>
      <c r="D355" s="73">
        <v>4.3057756676786497E-3</v>
      </c>
      <c r="E355" s="73">
        <v>0.57116736205574103</v>
      </c>
      <c r="F355" s="73">
        <v>0.99407777245237905</v>
      </c>
      <c r="G355" s="73">
        <v>3.8644309826884597E-2</v>
      </c>
      <c r="H355" s="15">
        <f t="shared" si="51"/>
        <v>-0.7957972871616712</v>
      </c>
      <c r="I355" s="15">
        <f t="shared" si="52"/>
        <v>-2.6271020110008387</v>
      </c>
      <c r="J355" s="15">
        <f t="shared" si="53"/>
        <v>0.17934695990549127</v>
      </c>
      <c r="K355" s="15">
        <f t="shared" si="54"/>
        <v>2.5167449048403774</v>
      </c>
      <c r="L355" s="15">
        <f t="shared" si="55"/>
        <v>-1.7666395103363592</v>
      </c>
      <c r="M355" s="18">
        <f t="shared" si="56"/>
        <v>-1.5915945743233424E-2</v>
      </c>
      <c r="N355" s="18">
        <f t="shared" si="57"/>
        <v>-2.1384285787525981E-2</v>
      </c>
      <c r="O355" s="18">
        <f t="shared" si="58"/>
        <v>2.152163518865895E-3</v>
      </c>
      <c r="P355" s="18">
        <f t="shared" si="59"/>
        <v>1.5100469429042265E-2</v>
      </c>
      <c r="Q355" s="18">
        <f t="shared" si="60"/>
        <v>-7.0665580413454372E-3</v>
      </c>
      <c r="R355" s="28">
        <f>((Scenario_DT!I$11*(IF(Scenario_DT!I$18=1,1,1+$M355/Scenario_DT!$C$19)*(1+$N355)^MAX(0,Scenario_DT!I$18-3))*(Scenario_DT!I$12+$O355)-Scenario_DT!I$13)*(1-Scenario_DT!I$14)+Scenario_DT!I$13-Scenario_DT!I$15)*Scenario_DT!I$16</f>
        <v>914.01885648772361</v>
      </c>
      <c r="S355" s="28">
        <f>((Scenario_DT!J$11*(IF(Scenario_DT!J$18=1,1,1+$M355/Scenario_DT!$C$19)*(1+$N355)^MAX(0,Scenario_DT!J$18-3))*(Scenario_DT!J$12+$O355)-Scenario_DT!J$13)*(1-Scenario_DT!J$14)+Scenario_DT!J$13-Scenario_DT!J$15)*Scenario_DT!J$16</f>
        <v>1800.3452259630217</v>
      </c>
      <c r="T355" s="28">
        <f>((Scenario_DT!K$11*(IF(Scenario_DT!K$18=1,1,1+$M355/Scenario_DT!$C$19)*(1+$N355)^MAX(0,Scenario_DT!K$18-3))*(Scenario_DT!K$12+$O355)-Scenario_DT!K$13)*(1-Scenario_DT!K$14)+Scenario_DT!K$13-Scenario_DT!K$15)*Scenario_DT!K$16</f>
        <v>2063.2421087719295</v>
      </c>
      <c r="U355" s="28">
        <f>((Scenario_DT!L$11*(IF(Scenario_DT!L$18=1,1,1+$M355/Scenario_DT!$C$19)*(1+$N355)^MAX(0,Scenario_DT!L$18-3))*(Scenario_DT!L$12+$O355)-Scenario_DT!L$13)*(1-Scenario_DT!L$14)+Scenario_DT!L$13-Scenario_DT!L$15)*Scenario_DT!L$16</f>
        <v>2409.2035210021231</v>
      </c>
      <c r="V355" s="28">
        <f>((Scenario_DT!M$11*(IF(Scenario_DT!M$18=1,1,1+$M355/Scenario_DT!$C$19)*(1+$N355)^MAX(0,Scenario_DT!M$18-3))*(Scenario_DT!M$12+$O355)-Scenario_DT!M$13)*(1-Scenario_DT!M$14)+Scenario_DT!M$13-Scenario_DT!M$15)*Scenario_DT!M$16</f>
        <v>2474.468315712501</v>
      </c>
      <c r="W355" s="28">
        <f>((Scenario_DT!N$11*(IF(Scenario_DT!N$18=1,1,1+$M355/Scenario_DT!$C$19)*(1+$N355)^MAX(0,Scenario_DT!N$18-3))*(Scenario_DT!N$12+$O355)-Scenario_DT!N$13)*(1-Scenario_DT!N$14)+Scenario_DT!N$13-Scenario_DT!N$15)*Scenario_DT!N$16</f>
        <v>2541.4527273781973</v>
      </c>
      <c r="X355" s="28">
        <f>((Scenario_DT!O$11*(IF(Scenario_DT!O$18=1,1,1+$M355/Scenario_DT!$C$19)*(1+$N355)^MAX(0,Scenario_DT!O$18-3))*(Scenario_DT!O$12+$O355)-Scenario_DT!O$13)*(1-Scenario_DT!O$14)+Scenario_DT!O$13-Scenario_DT!O$15)*Scenario_DT!O$16</f>
        <v>2610.2016080455496</v>
      </c>
      <c r="Y355" s="28">
        <f>((Scenario_DT!P$11*(IF(Scenario_DT!P$18=1,1,1+$M355/Scenario_DT!$C$19)*(1+$N355)^MAX(0,Scenario_DT!P$18-3))*(Scenario_DT!P$12+$O355)-Scenario_DT!P$13)*(1-Scenario_DT!P$14)+Scenario_DT!P$13-Scenario_DT!P$15)*Scenario_DT!P$16</f>
        <v>2680.7609444546847</v>
      </c>
      <c r="Z355" s="28">
        <f>((Scenario_DT!Q$11*(IF(Scenario_DT!Q$18=1,1,1+$M355/Scenario_DT!$C$19)*(1+$N355)^MAX(0,Scenario_DT!Q$18-3))*(Scenario_DT!Q$12+$O355)-Scenario_DT!Q$13)*(1-Scenario_DT!Q$14)+Scenario_DT!Q$13-Scenario_DT!Q$15)*Scenario_DT!Q$16</f>
        <v>2753.1778850060819</v>
      </c>
      <c r="AA355" s="28">
        <f>((Scenario_DT!R$11*(IF(Scenario_DT!R$18=1,1,1+$M355/Scenario_DT!$C$19)*(1+$N355)^MAX(0,Scenario_DT!R$18-3))*(Scenario_DT!R$12+$O355)-Scenario_DT!R$13)*(1-Scenario_DT!R$14)+Scenario_DT!R$13-Scenario_DT!R$15)*Scenario_DT!R$16</f>
        <v>2827.5007672854485</v>
      </c>
      <c r="AB355" s="17">
        <f>(Scenario_DT!$R$11*(1+$M355/Scenario_DT!$C$19)*(1+$N355)^7*(Scenario_DT!$R$12+$O355)*(1+MIN(DCF_FCFF!$C$26+$Q355,(DCF_FCFF!$C$25+$P355)-0.02))*(1-DCF_FCFF!$C$27)*(1-DCF_FCFF!$C$28)/((DCF_FCFF!$C$25+$P355)-MIN(DCF_FCFF!$C$26+$Q355,(DCF_FCFF!$C$25+$P355)-0.02)))*(1+(DCF_FCFF!$C$25+$P355))^(-(Inputs!$C$9+9))</f>
        <v>14464.455435874626</v>
      </c>
      <c r="AC355" s="17">
        <f>SUMPRODUCT(R355:AA355*(1+(DCF_FCFF!$C$25+$P355))^(-Scenario_DT!$I$17:$R$17))+AB355</f>
        <v>28830.954502123393</v>
      </c>
      <c r="AD355" s="68">
        <f>((AC355-DCF_FCFF!$C$48)*(1-DCF_FCFF!$C$50)+DCF_FCFF!$C$57+DCF_FCFF!$C$58)/DCF_FCFF!$C$60</f>
        <v>180.29722931186396</v>
      </c>
      <c r="AE355" s="6"/>
      <c r="AF355" s="6"/>
      <c r="AG355" s="6"/>
    </row>
    <row r="356" spans="1:33" x14ac:dyDescent="0.3">
      <c r="A356" s="6"/>
      <c r="B356" s="72">
        <v>325</v>
      </c>
      <c r="C356" s="73">
        <v>0.20799807370846099</v>
      </c>
      <c r="D356" s="73">
        <v>0.51891464248708397</v>
      </c>
      <c r="E356" s="73">
        <v>0.80994073644487097</v>
      </c>
      <c r="F356" s="73">
        <v>8.9042005075053193E-2</v>
      </c>
      <c r="G356" s="73">
        <v>0.39523465375889399</v>
      </c>
      <c r="H356" s="15">
        <f t="shared" si="51"/>
        <v>-0.81338710985067919</v>
      </c>
      <c r="I356" s="15">
        <f t="shared" si="52"/>
        <v>4.7429754514285084E-2</v>
      </c>
      <c r="J356" s="15">
        <f t="shared" si="53"/>
        <v>0.87767792564086966</v>
      </c>
      <c r="K356" s="15">
        <f t="shared" si="54"/>
        <v>-1.3466778466189937</v>
      </c>
      <c r="L356" s="15">
        <f t="shared" si="55"/>
        <v>-0.26570124104150522</v>
      </c>
      <c r="M356" s="18">
        <f t="shared" si="56"/>
        <v>-1.6267742197013584E-2</v>
      </c>
      <c r="N356" s="18">
        <f t="shared" si="57"/>
        <v>-2.9249454609656723E-3</v>
      </c>
      <c r="O356" s="18">
        <f t="shared" si="58"/>
        <v>1.0532135107690436E-2</v>
      </c>
      <c r="P356" s="18">
        <f t="shared" si="59"/>
        <v>-8.0800670797139627E-3</v>
      </c>
      <c r="Q356" s="18">
        <f t="shared" si="60"/>
        <v>-1.062804964166021E-3</v>
      </c>
      <c r="R356" s="28">
        <f>((Scenario_DT!I$11*(IF(Scenario_DT!I$18=1,1,1+$M356/Scenario_DT!$C$19)*(1+$N356)^MAX(0,Scenario_DT!I$18-3))*(Scenario_DT!I$12+$O356)-Scenario_DT!I$13)*(1-Scenario_DT!I$14)+Scenario_DT!I$13-Scenario_DT!I$15)*Scenario_DT!I$16</f>
        <v>925.8337146052271</v>
      </c>
      <c r="S356" s="28">
        <f>((Scenario_DT!J$11*(IF(Scenario_DT!J$18=1,1,1+$M356/Scenario_DT!$C$19)*(1+$N356)^MAX(0,Scenario_DT!J$18-3))*(Scenario_DT!J$12+$O356)-Scenario_DT!J$13)*(1-Scenario_DT!J$14)+Scenario_DT!J$13-Scenario_DT!J$15)*Scenario_DT!J$16</f>
        <v>1825.092023878959</v>
      </c>
      <c r="T356" s="28">
        <f>((Scenario_DT!K$11*(IF(Scenario_DT!K$18=1,1,1+$M356/Scenario_DT!$C$19)*(1+$N356)^MAX(0,Scenario_DT!K$18-3))*(Scenario_DT!K$12+$O356)-Scenario_DT!K$13)*(1-Scenario_DT!K$14)+Scenario_DT!K$13-Scenario_DT!K$15)*Scenario_DT!K$16</f>
        <v>2088.8759369997829</v>
      </c>
      <c r="U356" s="28">
        <f>((Scenario_DT!L$11*(IF(Scenario_DT!L$18=1,1,1+$M356/Scenario_DT!$C$19)*(1+$N356)^MAX(0,Scenario_DT!L$18-3))*(Scenario_DT!L$12+$O356)-Scenario_DT!L$13)*(1-Scenario_DT!L$14)+Scenario_DT!L$13-Scenario_DT!L$15)*Scenario_DT!L$16</f>
        <v>2482.1037246489414</v>
      </c>
      <c r="V356" s="28">
        <f>((Scenario_DT!M$11*(IF(Scenario_DT!M$18=1,1,1+$M356/Scenario_DT!$C$19)*(1+$N356)^MAX(0,Scenario_DT!M$18-3))*(Scenario_DT!M$12+$O356)-Scenario_DT!M$13)*(1-Scenario_DT!M$14)+Scenario_DT!M$13-Scenario_DT!M$15)*Scenario_DT!M$16</f>
        <v>2597.8126361603736</v>
      </c>
      <c r="W356" s="28">
        <f>((Scenario_DT!N$11*(IF(Scenario_DT!N$18=1,1,1+$M356/Scenario_DT!$C$19)*(1+$N356)^MAX(0,Scenario_DT!N$18-3))*(Scenario_DT!N$12+$O356)-Scenario_DT!N$13)*(1-Scenario_DT!N$14)+Scenario_DT!N$13-Scenario_DT!N$15)*Scenario_DT!N$16</f>
        <v>2718.9037658507846</v>
      </c>
      <c r="X356" s="28">
        <f>((Scenario_DT!O$11*(IF(Scenario_DT!O$18=1,1,1+$M356/Scenario_DT!$C$19)*(1+$N356)^MAX(0,Scenario_DT!O$18-3))*(Scenario_DT!O$12+$O356)-Scenario_DT!O$13)*(1-Scenario_DT!O$14)+Scenario_DT!O$13-Scenario_DT!O$15)*Scenario_DT!O$16</f>
        <v>2845.6295287778498</v>
      </c>
      <c r="Y356" s="28">
        <f>((Scenario_DT!P$11*(IF(Scenario_DT!P$18=1,1,1+$M356/Scenario_DT!$C$19)*(1+$N356)^MAX(0,Scenario_DT!P$18-3))*(Scenario_DT!P$12+$O356)-Scenario_DT!P$13)*(1-Scenario_DT!P$14)+Scenario_DT!P$13-Scenario_DT!P$15)*Scenario_DT!P$16</f>
        <v>2978.2541982781472</v>
      </c>
      <c r="Z356" s="28">
        <f>((Scenario_DT!Q$11*(IF(Scenario_DT!Q$18=1,1,1+$M356/Scenario_DT!$C$19)*(1+$N356)^MAX(0,Scenario_DT!Q$18-3))*(Scenario_DT!Q$12+$O356)-Scenario_DT!Q$13)*(1-Scenario_DT!Q$14)+Scenario_DT!Q$13-Scenario_DT!Q$15)*Scenario_DT!Q$16</f>
        <v>3117.054463254246</v>
      </c>
      <c r="AA356" s="28">
        <f>((Scenario_DT!R$11*(IF(Scenario_DT!R$18=1,1,1+$M356/Scenario_DT!$C$19)*(1+$N356)^MAX(0,Scenario_DT!R$18-3))*(Scenario_DT!R$12+$O356)-Scenario_DT!R$13)*(1-Scenario_DT!R$14)+Scenario_DT!R$13-Scenario_DT!R$15)*Scenario_DT!R$16</f>
        <v>3262.3200116532671</v>
      </c>
      <c r="AB356" s="17">
        <f>(Scenario_DT!$R$11*(1+$M356/Scenario_DT!$C$19)*(1+$N356)^7*(Scenario_DT!$R$12+$O356)*(1+MIN(DCF_FCFF!$C$26+$Q356,(DCF_FCFF!$C$25+$P356)-0.02))*(1-DCF_FCFF!$C$27)*(1-DCF_FCFF!$C$28)/((DCF_FCFF!$C$25+$P356)-MIN(DCF_FCFF!$C$26+$Q356,(DCF_FCFF!$C$25+$P356)-0.02)))*(1+(DCF_FCFF!$C$25+$P356))^(-(Inputs!$C$9+9))</f>
        <v>34274.391903418575</v>
      </c>
      <c r="AC356" s="17">
        <f>SUMPRODUCT(R356:AA356*(1+(DCF_FCFF!$C$25+$P356))^(-Scenario_DT!$I$17:$R$17))+AB356</f>
        <v>51108.876110624296</v>
      </c>
      <c r="AD356" s="68">
        <f>((AC356-DCF_FCFF!$C$48)*(1-DCF_FCFF!$C$50)+DCF_FCFF!$C$57+DCF_FCFF!$C$58)/DCF_FCFF!$C$60</f>
        <v>394.13784088962706</v>
      </c>
      <c r="AE356" s="6"/>
      <c r="AF356" s="6"/>
      <c r="AG356" s="6"/>
    </row>
    <row r="357" spans="1:33" x14ac:dyDescent="0.3">
      <c r="A357" s="6"/>
      <c r="B357" s="72">
        <v>326</v>
      </c>
      <c r="C357" s="73">
        <v>0.74707580062988599</v>
      </c>
      <c r="D357" s="73">
        <v>0.37154320840636201</v>
      </c>
      <c r="E357" s="73">
        <v>0.18883642047563901</v>
      </c>
      <c r="F357" s="73">
        <v>0.195495827396587</v>
      </c>
      <c r="G357" s="73">
        <v>0.41004878691499402</v>
      </c>
      <c r="H357" s="15">
        <f t="shared" si="51"/>
        <v>0.66531600041604122</v>
      </c>
      <c r="I357" s="15">
        <f t="shared" si="52"/>
        <v>-0.32776888259880493</v>
      </c>
      <c r="J357" s="15">
        <f t="shared" si="53"/>
        <v>-0.88219227086518071</v>
      </c>
      <c r="K357" s="15">
        <f t="shared" si="54"/>
        <v>-0.85782037932309629</v>
      </c>
      <c r="L357" s="15">
        <f t="shared" si="55"/>
        <v>-0.22741948053172062</v>
      </c>
      <c r="M357" s="18">
        <f t="shared" si="56"/>
        <v>1.3306320008320825E-2</v>
      </c>
      <c r="N357" s="18">
        <f t="shared" si="57"/>
        <v>3.9041457045933071E-4</v>
      </c>
      <c r="O357" s="18">
        <f t="shared" si="58"/>
        <v>-1.058630725038217E-2</v>
      </c>
      <c r="P357" s="18">
        <f t="shared" si="59"/>
        <v>-5.1469222759385775E-3</v>
      </c>
      <c r="Q357" s="18">
        <f t="shared" si="60"/>
        <v>-9.0967792212688246E-4</v>
      </c>
      <c r="R357" s="28">
        <f>((Scenario_DT!I$11*(IF(Scenario_DT!I$18=1,1,1+$M357/Scenario_DT!$C$19)*(1+$N357)^MAX(0,Scenario_DT!I$18-3))*(Scenario_DT!I$12+$O357)-Scenario_DT!I$13)*(1-Scenario_DT!I$14)+Scenario_DT!I$13-Scenario_DT!I$15)*Scenario_DT!I$16</f>
        <v>896.05898357200431</v>
      </c>
      <c r="S357" s="28">
        <f>((Scenario_DT!J$11*(IF(Scenario_DT!J$18=1,1,1+$M357/Scenario_DT!$C$19)*(1+$N357)^MAX(0,Scenario_DT!J$18-3))*(Scenario_DT!J$12+$O357)-Scenario_DT!J$13)*(1-Scenario_DT!J$14)+Scenario_DT!J$13-Scenario_DT!J$15)*Scenario_DT!J$16</f>
        <v>1830.4294828128018</v>
      </c>
      <c r="T357" s="28">
        <f>((Scenario_DT!K$11*(IF(Scenario_DT!K$18=1,1,1+$M357/Scenario_DT!$C$19)*(1+$N357)^MAX(0,Scenario_DT!K$18-3))*(Scenario_DT!K$12+$O357)-Scenario_DT!K$13)*(1-Scenario_DT!K$14)+Scenario_DT!K$13-Scenario_DT!K$15)*Scenario_DT!K$16</f>
        <v>2095.412867723312</v>
      </c>
      <c r="U357" s="28">
        <f>((Scenario_DT!L$11*(IF(Scenario_DT!L$18=1,1,1+$M357/Scenario_DT!$C$19)*(1+$N357)^MAX(0,Scenario_DT!L$18-3))*(Scenario_DT!L$12+$O357)-Scenario_DT!L$13)*(1-Scenario_DT!L$14)+Scenario_DT!L$13-Scenario_DT!L$15)*Scenario_DT!L$16</f>
        <v>2497.3565153788613</v>
      </c>
      <c r="V357" s="28">
        <f>((Scenario_DT!M$11*(IF(Scenario_DT!M$18=1,1,1+$M357/Scenario_DT!$C$19)*(1+$N357)^MAX(0,Scenario_DT!M$18-3))*(Scenario_DT!M$12+$O357)-Scenario_DT!M$13)*(1-Scenario_DT!M$14)+Scenario_DT!M$13-Scenario_DT!M$15)*Scenario_DT!M$16</f>
        <v>2622.5335835565174</v>
      </c>
      <c r="W357" s="28">
        <f>((Scenario_DT!N$11*(IF(Scenario_DT!N$18=1,1,1+$M357/Scenario_DT!$C$19)*(1+$N357)^MAX(0,Scenario_DT!N$18-3))*(Scenario_DT!N$12+$O357)-Scenario_DT!N$13)*(1-Scenario_DT!N$14)+Scenario_DT!N$13-Scenario_DT!N$15)*Scenario_DT!N$16</f>
        <v>2753.9784051838783</v>
      </c>
      <c r="X357" s="28">
        <f>((Scenario_DT!O$11*(IF(Scenario_DT!O$18=1,1,1+$M357/Scenario_DT!$C$19)*(1+$N357)^MAX(0,Scenario_DT!O$18-3))*(Scenario_DT!O$12+$O357)-Scenario_DT!O$13)*(1-Scenario_DT!O$14)+Scenario_DT!O$13-Scenario_DT!O$15)*Scenario_DT!O$16</f>
        <v>2892.0071935971368</v>
      </c>
      <c r="Y357" s="28">
        <f>((Scenario_DT!P$11*(IF(Scenario_DT!P$18=1,1,1+$M357/Scenario_DT!$C$19)*(1+$N357)^MAX(0,Scenario_DT!P$18-3))*(Scenario_DT!P$12+$O357)-Scenario_DT!P$13)*(1-Scenario_DT!P$14)+Scenario_DT!P$13-Scenario_DT!P$15)*Scenario_DT!P$16</f>
        <v>3036.9521355641659</v>
      </c>
      <c r="Z357" s="28">
        <f>((Scenario_DT!Q$11*(IF(Scenario_DT!Q$18=1,1,1+$M357/Scenario_DT!$C$19)*(1+$N357)^MAX(0,Scenario_DT!Q$18-3))*(Scenario_DT!Q$12+$O357)-Scenario_DT!Q$13)*(1-Scenario_DT!Q$14)+Scenario_DT!Q$13-Scenario_DT!Q$15)*Scenario_DT!Q$16</f>
        <v>3189.1621982092161</v>
      </c>
      <c r="AA357" s="28">
        <f>((Scenario_DT!R$11*(IF(Scenario_DT!R$18=1,1,1+$M357/Scenario_DT!$C$19)*(1+$N357)^MAX(0,Scenario_DT!R$18-3))*(Scenario_DT!R$12+$O357)-Scenario_DT!R$13)*(1-Scenario_DT!R$14)+Scenario_DT!R$13-Scenario_DT!R$15)*Scenario_DT!R$16</f>
        <v>3349.0039766933542</v>
      </c>
      <c r="AB357" s="17">
        <f>(Scenario_DT!$R$11*(1+$M357/Scenario_DT!$C$19)*(1+$N357)^7*(Scenario_DT!$R$12+$O357)*(1+MIN(DCF_FCFF!$C$26+$Q357,(DCF_FCFF!$C$25+$P357)-0.02))*(1-DCF_FCFF!$C$27)*(1-DCF_FCFF!$C$28)/((DCF_FCFF!$C$25+$P357)-MIN(DCF_FCFF!$C$26+$Q357,(DCF_FCFF!$C$25+$P357)-0.02)))*(1+(DCF_FCFF!$C$25+$P357))^(-(Inputs!$C$9+9))</f>
        <v>32226.860223031566</v>
      </c>
      <c r="AC357" s="17">
        <f>SUMPRODUCT(R357:AA357*(1+(DCF_FCFF!$C$25+$P357))^(-Scenario_DT!$I$17:$R$17))+AB357</f>
        <v>49027.165742534286</v>
      </c>
      <c r="AD357" s="68">
        <f>((AC357-DCF_FCFF!$C$48)*(1-DCF_FCFF!$C$50)+DCF_FCFF!$C$57+DCF_FCFF!$C$58)/DCF_FCFF!$C$60</f>
        <v>374.15598503866323</v>
      </c>
      <c r="AE357" s="6"/>
      <c r="AF357" s="6"/>
      <c r="AG357" s="6"/>
    </row>
    <row r="358" spans="1:33" x14ac:dyDescent="0.3">
      <c r="A358" s="6"/>
      <c r="B358" s="72">
        <v>327</v>
      </c>
      <c r="C358" s="73">
        <v>0.47941707480589102</v>
      </c>
      <c r="D358" s="73">
        <v>0.86181441781601398</v>
      </c>
      <c r="E358" s="73">
        <v>0.64225241856799398</v>
      </c>
      <c r="F358" s="73">
        <v>0.69040195451550201</v>
      </c>
      <c r="G358" s="73">
        <v>0.98298717153590698</v>
      </c>
      <c r="H358" s="15">
        <f t="shared" si="51"/>
        <v>-5.161665330256935E-2</v>
      </c>
      <c r="I358" s="15">
        <f t="shared" si="52"/>
        <v>1.088507416271008</v>
      </c>
      <c r="J358" s="15">
        <f t="shared" si="53"/>
        <v>0.36448595098259495</v>
      </c>
      <c r="K358" s="15">
        <f t="shared" si="54"/>
        <v>0.49699001732876796</v>
      </c>
      <c r="L358" s="15">
        <f t="shared" si="55"/>
        <v>2.1197675052106031</v>
      </c>
      <c r="M358" s="18">
        <f t="shared" si="56"/>
        <v>-1.0323330660513871E-3</v>
      </c>
      <c r="N358" s="18">
        <f t="shared" si="57"/>
        <v>7.3349339843773688E-3</v>
      </c>
      <c r="O358" s="18">
        <f t="shared" si="58"/>
        <v>4.3738314117911393E-3</v>
      </c>
      <c r="P358" s="18">
        <f t="shared" si="59"/>
        <v>2.9819401039726076E-3</v>
      </c>
      <c r="Q358" s="18">
        <f t="shared" si="60"/>
        <v>8.4790700208424129E-3</v>
      </c>
      <c r="R358" s="28">
        <f>((Scenario_DT!I$11*(IF(Scenario_DT!I$18=1,1,1+$M358/Scenario_DT!$C$19)*(1+$N358)^MAX(0,Scenario_DT!I$18-3))*(Scenario_DT!I$12+$O358)-Scenario_DT!I$13)*(1-Scenario_DT!I$14)+Scenario_DT!I$13-Scenario_DT!I$15)*Scenario_DT!I$16</f>
        <v>917.15116912875078</v>
      </c>
      <c r="S358" s="28">
        <f>((Scenario_DT!J$11*(IF(Scenario_DT!J$18=1,1,1+$M358/Scenario_DT!$C$19)*(1+$N358)^MAX(0,Scenario_DT!J$18-3))*(Scenario_DT!J$12+$O358)-Scenario_DT!J$13)*(1-Scenario_DT!J$14)+Scenario_DT!J$13-Scenario_DT!J$15)*Scenario_DT!J$16</f>
        <v>1843.0127854659622</v>
      </c>
      <c r="T358" s="28">
        <f>((Scenario_DT!K$11*(IF(Scenario_DT!K$18=1,1,1+$M358/Scenario_DT!$C$19)*(1+$N358)^MAX(0,Scenario_DT!K$18-3))*(Scenario_DT!K$12+$O358)-Scenario_DT!K$13)*(1-Scenario_DT!K$14)+Scenario_DT!K$13-Scenario_DT!K$15)*Scenario_DT!K$16</f>
        <v>2107.9657500913027</v>
      </c>
      <c r="U358" s="28">
        <f>((Scenario_DT!L$11*(IF(Scenario_DT!L$18=1,1,1+$M358/Scenario_DT!$C$19)*(1+$N358)^MAX(0,Scenario_DT!L$18-3))*(Scenario_DT!L$12+$O358)-Scenario_DT!L$13)*(1-Scenario_DT!L$14)+Scenario_DT!L$13-Scenario_DT!L$15)*Scenario_DT!L$16</f>
        <v>2528.2359548601803</v>
      </c>
      <c r="V358" s="28">
        <f>((Scenario_DT!M$11*(IF(Scenario_DT!M$18=1,1,1+$M358/Scenario_DT!$C$19)*(1+$N358)^MAX(0,Scenario_DT!M$18-3))*(Scenario_DT!M$12+$O358)-Scenario_DT!M$13)*(1-Scenario_DT!M$14)+Scenario_DT!M$13-Scenario_DT!M$15)*Scenario_DT!M$16</f>
        <v>2673.5279537631768</v>
      </c>
      <c r="W358" s="28">
        <f>((Scenario_DT!N$11*(IF(Scenario_DT!N$18=1,1,1+$M358/Scenario_DT!$C$19)*(1+$N358)^MAX(0,Scenario_DT!N$18-3))*(Scenario_DT!N$12+$O358)-Scenario_DT!N$13)*(1-Scenario_DT!N$14)+Scenario_DT!N$13-Scenario_DT!N$15)*Scenario_DT!N$16</f>
        <v>2827.1725435832473</v>
      </c>
      <c r="X358" s="28">
        <f>((Scenario_DT!O$11*(IF(Scenario_DT!O$18=1,1,1+$M358/Scenario_DT!$C$19)*(1+$N358)^MAX(0,Scenario_DT!O$18-3))*(Scenario_DT!O$12+$O358)-Scenario_DT!O$13)*(1-Scenario_DT!O$14)+Scenario_DT!O$13-Scenario_DT!O$15)*Scenario_DT!O$16</f>
        <v>2989.6528237410753</v>
      </c>
      <c r="Y358" s="28">
        <f>((Scenario_DT!P$11*(IF(Scenario_DT!P$18=1,1,1+$M358/Scenario_DT!$C$19)*(1+$N358)^MAX(0,Scenario_DT!P$18-3))*(Scenario_DT!P$12+$O358)-Scenario_DT!P$13)*(1-Scenario_DT!P$14)+Scenario_DT!P$13-Scenario_DT!P$15)*Scenario_DT!P$16</f>
        <v>3161.4798451673655</v>
      </c>
      <c r="Z358" s="28">
        <f>((Scenario_DT!Q$11*(IF(Scenario_DT!Q$18=1,1,1+$M358/Scenario_DT!$C$19)*(1+$N358)^MAX(0,Scenario_DT!Q$18-3))*(Scenario_DT!Q$12+$O358)-Scenario_DT!Q$13)*(1-Scenario_DT!Q$14)+Scenario_DT!Q$13-Scenario_DT!Q$15)*Scenario_DT!Q$16</f>
        <v>3343.1942267690406</v>
      </c>
      <c r="AA358" s="28">
        <f>((Scenario_DT!R$11*(IF(Scenario_DT!R$18=1,1,1+$M358/Scenario_DT!$C$19)*(1+$N358)^MAX(0,Scenario_DT!R$18-3))*(Scenario_DT!R$12+$O358)-Scenario_DT!R$13)*(1-Scenario_DT!R$14)+Scenario_DT!R$13-Scenario_DT!R$15)*Scenario_DT!R$16</f>
        <v>3535.3678653309516</v>
      </c>
      <c r="AB358" s="17">
        <f>(Scenario_DT!$R$11*(1+$M358/Scenario_DT!$C$19)*(1+$N358)^7*(Scenario_DT!$R$12+$O358)*(1+MIN(DCF_FCFF!$C$26+$Q358,(DCF_FCFF!$C$25+$P358)-0.02))*(1-DCF_FCFF!$C$27)*(1-DCF_FCFF!$C$28)/((DCF_FCFF!$C$25+$P358)-MIN(DCF_FCFF!$C$26+$Q358,(DCF_FCFF!$C$25+$P358)-0.02)))*(1+(DCF_FCFF!$C$25+$P358))^(-(Inputs!$C$9+9))</f>
        <v>32868.15584709902</v>
      </c>
      <c r="AC358" s="17">
        <f>SUMPRODUCT(R358:AA358*(1+(DCF_FCFF!$C$25+$P358))^(-Scenario_DT!$I$17:$R$17))+AB358</f>
        <v>49531.74103901886</v>
      </c>
      <c r="AD358" s="68">
        <f>((AC358-DCF_FCFF!$C$48)*(1-DCF_FCFF!$C$50)+DCF_FCFF!$C$57+DCF_FCFF!$C$58)/DCF_FCFF!$C$60</f>
        <v>378.99928648677138</v>
      </c>
      <c r="AE358" s="6"/>
      <c r="AF358" s="6"/>
      <c r="AG358" s="6"/>
    </row>
    <row r="359" spans="1:33" x14ac:dyDescent="0.3">
      <c r="A359" s="6"/>
      <c r="B359" s="72">
        <v>328</v>
      </c>
      <c r="C359" s="73">
        <v>0.41184344030097397</v>
      </c>
      <c r="D359" s="73">
        <v>0.40335440324912802</v>
      </c>
      <c r="E359" s="73">
        <v>0.92334696772581204</v>
      </c>
      <c r="F359" s="73">
        <v>0.24587558700505899</v>
      </c>
      <c r="G359" s="73">
        <v>0.72981524630286698</v>
      </c>
      <c r="H359" s="15">
        <f t="shared" si="51"/>
        <v>-0.22280550850775438</v>
      </c>
      <c r="I359" s="15">
        <f t="shared" si="52"/>
        <v>-0.24467407067207797</v>
      </c>
      <c r="J359" s="15">
        <f t="shared" si="53"/>
        <v>1.4279506462163269</v>
      </c>
      <c r="K359" s="15">
        <f t="shared" si="54"/>
        <v>-0.68752623537788637</v>
      </c>
      <c r="L359" s="15">
        <f t="shared" si="55"/>
        <v>0.6122543199590007</v>
      </c>
      <c r="M359" s="18">
        <f t="shared" si="56"/>
        <v>-4.456110170155088E-3</v>
      </c>
      <c r="N359" s="18">
        <f t="shared" si="57"/>
        <v>-2.5863737208259661E-3</v>
      </c>
      <c r="O359" s="18">
        <f t="shared" si="58"/>
        <v>1.7135407754595922E-2</v>
      </c>
      <c r="P359" s="18">
        <f t="shared" si="59"/>
        <v>-4.1251574122673183E-3</v>
      </c>
      <c r="Q359" s="18">
        <f t="shared" si="60"/>
        <v>2.4490172798360028E-3</v>
      </c>
      <c r="R359" s="28">
        <f>((Scenario_DT!I$11*(IF(Scenario_DT!I$18=1,1,1+$M359/Scenario_DT!$C$19)*(1+$N359)^MAX(0,Scenario_DT!I$18-3))*(Scenario_DT!I$12+$O359)-Scenario_DT!I$13)*(1-Scenario_DT!I$14)+Scenario_DT!I$13-Scenario_DT!I$15)*Scenario_DT!I$16</f>
        <v>935.14361841664561</v>
      </c>
      <c r="S359" s="28">
        <f>((Scenario_DT!J$11*(IF(Scenario_DT!J$18=1,1,1+$M359/Scenario_DT!$C$19)*(1+$N359)^MAX(0,Scenario_DT!J$18-3))*(Scenario_DT!J$12+$O359)-Scenario_DT!J$13)*(1-Scenario_DT!J$14)+Scenario_DT!J$13-Scenario_DT!J$15)*Scenario_DT!J$16</f>
        <v>1874.2306604599576</v>
      </c>
      <c r="T359" s="28">
        <f>((Scenario_DT!K$11*(IF(Scenario_DT!K$18=1,1,1+$M359/Scenario_DT!$C$19)*(1+$N359)^MAX(0,Scenario_DT!K$18-3))*(Scenario_DT!K$12+$O359)-Scenario_DT!K$13)*(1-Scenario_DT!K$14)+Scenario_DT!K$13-Scenario_DT!K$15)*Scenario_DT!K$16</f>
        <v>2140.201280957071</v>
      </c>
      <c r="U359" s="28">
        <f>((Scenario_DT!L$11*(IF(Scenario_DT!L$18=1,1,1+$M359/Scenario_DT!$C$19)*(1+$N359)^MAX(0,Scenario_DT!L$18-3))*(Scenario_DT!L$12+$O359)-Scenario_DT!L$13)*(1-Scenario_DT!L$14)+Scenario_DT!L$13-Scenario_DT!L$15)*Scenario_DT!L$16</f>
        <v>2537.3074141032971</v>
      </c>
      <c r="V359" s="28">
        <f>((Scenario_DT!M$11*(IF(Scenario_DT!M$18=1,1,1+$M359/Scenario_DT!$C$19)*(1+$N359)^MAX(0,Scenario_DT!M$18-3))*(Scenario_DT!M$12+$O359)-Scenario_DT!M$13)*(1-Scenario_DT!M$14)+Scenario_DT!M$13-Scenario_DT!M$15)*Scenario_DT!M$16</f>
        <v>2656.514981558435</v>
      </c>
      <c r="W359" s="28">
        <f>((Scenario_DT!N$11*(IF(Scenario_DT!N$18=1,1,1+$M359/Scenario_DT!$C$19)*(1+$N359)^MAX(0,Scenario_DT!N$18-3))*(Scenario_DT!N$12+$O359)-Scenario_DT!N$13)*(1-Scenario_DT!N$14)+Scenario_DT!N$13-Scenario_DT!N$15)*Scenario_DT!N$16</f>
        <v>2781.3118896920373</v>
      </c>
      <c r="X359" s="28">
        <f>((Scenario_DT!O$11*(IF(Scenario_DT!O$18=1,1,1+$M359/Scenario_DT!$C$19)*(1+$N359)^MAX(0,Scenario_DT!O$18-3))*(Scenario_DT!O$12+$O359)-Scenario_DT!O$13)*(1-Scenario_DT!O$14)+Scenario_DT!O$13-Scenario_DT!O$15)*Scenario_DT!O$16</f>
        <v>2911.9623037135148</v>
      </c>
      <c r="Y359" s="28">
        <f>((Scenario_DT!P$11*(IF(Scenario_DT!P$18=1,1,1+$M359/Scenario_DT!$C$19)*(1+$N359)^MAX(0,Scenario_DT!P$18-3))*(Scenario_DT!P$12+$O359)-Scenario_DT!P$13)*(1-Scenario_DT!P$14)+Scenario_DT!P$13-Scenario_DT!P$15)*Scenario_DT!P$16</f>
        <v>3048.7428945255483</v>
      </c>
      <c r="Z359" s="28">
        <f>((Scenario_DT!Q$11*(IF(Scenario_DT!Q$18=1,1,1+$M359/Scenario_DT!$C$19)*(1+$N359)^MAX(0,Scenario_DT!Q$18-3))*(Scenario_DT!Q$12+$O359)-Scenario_DT!Q$13)*(1-Scenario_DT!Q$14)+Scenario_DT!Q$13-Scenario_DT!Q$15)*Scenario_DT!Q$16</f>
        <v>3191.9434309325579</v>
      </c>
      <c r="AA359" s="28">
        <f>((Scenario_DT!R$11*(IF(Scenario_DT!R$18=1,1,1+$M359/Scenario_DT!$C$19)*(1+$N359)^MAX(0,Scenario_DT!R$18-3))*(Scenario_DT!R$12+$O359)-Scenario_DT!R$13)*(1-Scenario_DT!R$14)+Scenario_DT!R$13-Scenario_DT!R$15)*Scenario_DT!R$16</f>
        <v>3341.8673998940835</v>
      </c>
      <c r="AB359" s="17">
        <f>(Scenario_DT!$R$11*(1+$M359/Scenario_DT!$C$19)*(1+$N359)^7*(Scenario_DT!$R$12+$O359)*(1+MIN(DCF_FCFF!$C$26+$Q359,(DCF_FCFF!$C$25+$P359)-0.02))*(1-DCF_FCFF!$C$27)*(1-DCF_FCFF!$C$28)/((DCF_FCFF!$C$25+$P359)-MIN(DCF_FCFF!$C$26+$Q359,(DCF_FCFF!$C$25+$P359)-0.02)))*(1+(DCF_FCFF!$C$25+$P359))^(-(Inputs!$C$9+9))</f>
        <v>33681.609431037366</v>
      </c>
      <c r="AC359" s="17">
        <f>SUMPRODUCT(R359:AA359*(1+(DCF_FCFF!$C$25+$P359))^(-Scenario_DT!$I$17:$R$17))+AB359</f>
        <v>50616.129499962655</v>
      </c>
      <c r="AD359" s="68">
        <f>((AC359-DCF_FCFF!$C$48)*(1-DCF_FCFF!$C$50)+DCF_FCFF!$C$57+DCF_FCFF!$C$58)/DCF_FCFF!$C$60</f>
        <v>389.40808025807212</v>
      </c>
      <c r="AE359" s="6"/>
      <c r="AF359" s="6"/>
      <c r="AG359" s="6"/>
    </row>
    <row r="360" spans="1:33" x14ac:dyDescent="0.3">
      <c r="A360" s="6"/>
      <c r="B360" s="72">
        <v>329</v>
      </c>
      <c r="C360" s="73">
        <v>0.75457313821813499</v>
      </c>
      <c r="D360" s="73">
        <v>9.7787997445443101E-2</v>
      </c>
      <c r="E360" s="73">
        <v>0.46823140569358401</v>
      </c>
      <c r="F360" s="73">
        <v>0.200562471321554</v>
      </c>
      <c r="G360" s="73">
        <v>0.185375272802486</v>
      </c>
      <c r="H360" s="15">
        <f t="shared" si="51"/>
        <v>0.68895160395287114</v>
      </c>
      <c r="I360" s="15">
        <f t="shared" si="52"/>
        <v>-1.2942589376842106</v>
      </c>
      <c r="J360" s="15">
        <f t="shared" si="53"/>
        <v>-7.9716405360056322E-2</v>
      </c>
      <c r="K360" s="15">
        <f t="shared" si="54"/>
        <v>-0.83961382952372454</v>
      </c>
      <c r="L360" s="15">
        <f t="shared" si="55"/>
        <v>-0.89506836130197576</v>
      </c>
      <c r="M360" s="18">
        <f t="shared" si="56"/>
        <v>1.3779032079057424E-2</v>
      </c>
      <c r="N360" s="18">
        <f t="shared" si="57"/>
        <v>-6.2110825370652115E-3</v>
      </c>
      <c r="O360" s="18">
        <f t="shared" si="58"/>
        <v>-9.5659686432067589E-4</v>
      </c>
      <c r="P360" s="18">
        <f t="shared" si="59"/>
        <v>-5.037682977142347E-3</v>
      </c>
      <c r="Q360" s="18">
        <f t="shared" si="60"/>
        <v>-3.5802734452079032E-3</v>
      </c>
      <c r="R360" s="28">
        <f>((Scenario_DT!I$11*(IF(Scenario_DT!I$18=1,1,1+$M360/Scenario_DT!$C$19)*(1+$N360)^MAX(0,Scenario_DT!I$18-3))*(Scenario_DT!I$12+$O360)-Scenario_DT!I$13)*(1-Scenario_DT!I$14)+Scenario_DT!I$13-Scenario_DT!I$15)*Scenario_DT!I$16</f>
        <v>909.63583890116684</v>
      </c>
      <c r="S360" s="28">
        <f>((Scenario_DT!J$11*(IF(Scenario_DT!J$18=1,1,1+$M360/Scenario_DT!$C$19)*(1+$N360)^MAX(0,Scenario_DT!J$18-3))*(Scenario_DT!J$12+$O360)-Scenario_DT!J$13)*(1-Scenario_DT!J$14)+Scenario_DT!J$13-Scenario_DT!J$15)*Scenario_DT!J$16</f>
        <v>1861.9105175864056</v>
      </c>
      <c r="T360" s="28">
        <f>((Scenario_DT!K$11*(IF(Scenario_DT!K$18=1,1,1+$M360/Scenario_DT!$C$19)*(1+$N360)^MAX(0,Scenario_DT!K$18-3))*(Scenario_DT!K$12+$O360)-Scenario_DT!K$13)*(1-Scenario_DT!K$14)+Scenario_DT!K$13-Scenario_DT!K$15)*Scenario_DT!K$16</f>
        <v>2128.0536064161788</v>
      </c>
      <c r="U360" s="28">
        <f>((Scenario_DT!L$11*(IF(Scenario_DT!L$18=1,1,1+$M360/Scenario_DT!$C$19)*(1+$N360)^MAX(0,Scenario_DT!L$18-3))*(Scenario_DT!L$12+$O360)-Scenario_DT!L$13)*(1-Scenario_DT!L$14)+Scenario_DT!L$13-Scenario_DT!L$15)*Scenario_DT!L$16</f>
        <v>2515.2072293937176</v>
      </c>
      <c r="V360" s="28">
        <f>((Scenario_DT!M$11*(IF(Scenario_DT!M$18=1,1,1+$M360/Scenario_DT!$C$19)*(1+$N360)^MAX(0,Scenario_DT!M$18-3))*(Scenario_DT!M$12+$O360)-Scenario_DT!M$13)*(1-Scenario_DT!M$14)+Scenario_DT!M$13-Scenario_DT!M$15)*Scenario_DT!M$16</f>
        <v>2623.7328415568522</v>
      </c>
      <c r="W360" s="28">
        <f>((Scenario_DT!N$11*(IF(Scenario_DT!N$18=1,1,1+$M360/Scenario_DT!$C$19)*(1+$N360)^MAX(0,Scenario_DT!N$18-3))*(Scenario_DT!N$12+$O360)-Scenario_DT!N$13)*(1-Scenario_DT!N$14)+Scenario_DT!N$13-Scenario_DT!N$15)*Scenario_DT!N$16</f>
        <v>2736.9237061442905</v>
      </c>
      <c r="X360" s="28">
        <f>((Scenario_DT!O$11*(IF(Scenario_DT!O$18=1,1,1+$M360/Scenario_DT!$C$19)*(1+$N360)^MAX(0,Scenario_DT!O$18-3))*(Scenario_DT!O$12+$O360)-Scenario_DT!O$13)*(1-Scenario_DT!O$14)+Scenario_DT!O$13-Scenario_DT!O$15)*Scenario_DT!O$16</f>
        <v>2854.9820760842817</v>
      </c>
      <c r="Y360" s="28">
        <f>((Scenario_DT!P$11*(IF(Scenario_DT!P$18=1,1,1+$M360/Scenario_DT!$C$19)*(1+$N360)^MAX(0,Scenario_DT!P$18-3))*(Scenario_DT!P$12+$O360)-Scenario_DT!P$13)*(1-Scenario_DT!P$14)+Scenario_DT!P$13-Scenario_DT!P$15)*Scenario_DT!P$16</f>
        <v>2978.1189904559183</v>
      </c>
      <c r="Z360" s="28">
        <f>((Scenario_DT!Q$11*(IF(Scenario_DT!Q$18=1,1,1+$M360/Scenario_DT!$C$19)*(1+$N360)^MAX(0,Scenario_DT!Q$18-3))*(Scenario_DT!Q$12+$O360)-Scenario_DT!Q$13)*(1-Scenario_DT!Q$14)+Scenario_DT!Q$13-Scenario_DT!Q$15)*Scenario_DT!Q$16</f>
        <v>3106.5546563840126</v>
      </c>
      <c r="AA360" s="28">
        <f>((Scenario_DT!R$11*(IF(Scenario_DT!R$18=1,1,1+$M360/Scenario_DT!$C$19)*(1+$N360)^MAX(0,Scenario_DT!R$18-3))*(Scenario_DT!R$12+$O360)-Scenario_DT!R$13)*(1-Scenario_DT!R$14)+Scenario_DT!R$13-Scenario_DT!R$15)*Scenario_DT!R$16</f>
        <v>3240.5188475370546</v>
      </c>
      <c r="AB360" s="17">
        <f>(Scenario_DT!$R$11*(1+$M360/Scenario_DT!$C$19)*(1+$N360)^7*(Scenario_DT!$R$12+$O360)*(1+MIN(DCF_FCFF!$C$26+$Q360,(DCF_FCFF!$C$25+$P360)-0.02))*(1-DCF_FCFF!$C$27)*(1-DCF_FCFF!$C$28)/((DCF_FCFF!$C$25+$P360)-MIN(DCF_FCFF!$C$26+$Q360,(DCF_FCFF!$C$25+$P360)-0.02)))*(1+(DCF_FCFF!$C$25+$P360))^(-(Inputs!$C$9+9))</f>
        <v>29316.362905837905</v>
      </c>
      <c r="AC360" s="17">
        <f>SUMPRODUCT(R360:AA360*(1+(DCF_FCFF!$C$25+$P360))^(-Scenario_DT!$I$17:$R$17))+AB360</f>
        <v>46031.524063364952</v>
      </c>
      <c r="AD360" s="68">
        <f>((AC360-DCF_FCFF!$C$48)*(1-DCF_FCFF!$C$50)+DCF_FCFF!$C$57+DCF_FCFF!$C$58)/DCF_FCFF!$C$60</f>
        <v>345.40151413250078</v>
      </c>
      <c r="AE360" s="6"/>
      <c r="AF360" s="6"/>
      <c r="AG360" s="6"/>
    </row>
    <row r="361" spans="1:33" x14ac:dyDescent="0.3">
      <c r="A361" s="6"/>
      <c r="B361" s="72">
        <v>330</v>
      </c>
      <c r="C361" s="73">
        <v>0.46382811046287598</v>
      </c>
      <c r="D361" s="73">
        <v>0.28942970750806502</v>
      </c>
      <c r="E361" s="73">
        <v>0.79606044762587103</v>
      </c>
      <c r="F361" s="73">
        <v>0.90760489139048195</v>
      </c>
      <c r="G361" s="73">
        <v>0.80272060528836597</v>
      </c>
      <c r="H361" s="15">
        <f t="shared" si="51"/>
        <v>-9.0794071408404398E-2</v>
      </c>
      <c r="I361" s="15">
        <f t="shared" si="52"/>
        <v>-0.55505152947581604</v>
      </c>
      <c r="J361" s="15">
        <f t="shared" si="53"/>
        <v>0.82763170924984142</v>
      </c>
      <c r="K361" s="15">
        <f t="shared" si="54"/>
        <v>1.3261493959596875</v>
      </c>
      <c r="L361" s="15">
        <f t="shared" si="55"/>
        <v>0.85137911508141895</v>
      </c>
      <c r="M361" s="18">
        <f t="shared" si="56"/>
        <v>-1.8158814281680879E-3</v>
      </c>
      <c r="N361" s="18">
        <f t="shared" si="57"/>
        <v>-4.2086860851173287E-3</v>
      </c>
      <c r="O361" s="18">
        <f t="shared" si="58"/>
        <v>9.9315805109980969E-3</v>
      </c>
      <c r="P361" s="18">
        <f t="shared" si="59"/>
        <v>7.9568963757581258E-3</v>
      </c>
      <c r="Q361" s="18">
        <f t="shared" si="60"/>
        <v>3.4055164603256759E-3</v>
      </c>
      <c r="R361" s="28">
        <f>((Scenario_DT!I$11*(IF(Scenario_DT!I$18=1,1,1+$M361/Scenario_DT!$C$19)*(1+$N361)^MAX(0,Scenario_DT!I$18-3))*(Scenario_DT!I$12+$O361)-Scenario_DT!I$13)*(1-Scenario_DT!I$14)+Scenario_DT!I$13-Scenario_DT!I$15)*Scenario_DT!I$16</f>
        <v>924.98699725344056</v>
      </c>
      <c r="S361" s="28">
        <f>((Scenario_DT!J$11*(IF(Scenario_DT!J$18=1,1,1+$M361/Scenario_DT!$C$19)*(1+$N361)^MAX(0,Scenario_DT!J$18-3))*(Scenario_DT!J$12+$O361)-Scenario_DT!J$13)*(1-Scenario_DT!J$14)+Scenario_DT!J$13-Scenario_DT!J$15)*Scenario_DT!J$16</f>
        <v>1858.3624922448807</v>
      </c>
      <c r="T361" s="28">
        <f>((Scenario_DT!K$11*(IF(Scenario_DT!K$18=1,1,1+$M361/Scenario_DT!$C$19)*(1+$N361)^MAX(0,Scenario_DT!K$18-3))*(Scenario_DT!K$12+$O361)-Scenario_DT!K$13)*(1-Scenario_DT!K$14)+Scenario_DT!K$13-Scenario_DT!K$15)*Scenario_DT!K$16</f>
        <v>2123.8464329145077</v>
      </c>
      <c r="U361" s="28">
        <f>((Scenario_DT!L$11*(IF(Scenario_DT!L$18=1,1,1+$M361/Scenario_DT!$C$19)*(1+$N361)^MAX(0,Scenario_DT!L$18-3))*(Scenario_DT!L$12+$O361)-Scenario_DT!L$13)*(1-Scenario_DT!L$14)+Scenario_DT!L$13-Scenario_DT!L$15)*Scenario_DT!L$16</f>
        <v>2515.8608704402204</v>
      </c>
      <c r="V361" s="28">
        <f>((Scenario_DT!M$11*(IF(Scenario_DT!M$18=1,1,1+$M361/Scenario_DT!$C$19)*(1+$N361)^MAX(0,Scenario_DT!M$18-3))*(Scenario_DT!M$12+$O361)-Scenario_DT!M$13)*(1-Scenario_DT!M$14)+Scenario_DT!M$13-Scenario_DT!M$15)*Scenario_DT!M$16</f>
        <v>2629.7400199794192</v>
      </c>
      <c r="W361" s="28">
        <f>((Scenario_DT!N$11*(IF(Scenario_DT!N$18=1,1,1+$M361/Scenario_DT!$C$19)*(1+$N361)^MAX(0,Scenario_DT!N$18-3))*(Scenario_DT!N$12+$O361)-Scenario_DT!N$13)*(1-Scenario_DT!N$14)+Scenario_DT!N$13-Scenario_DT!N$15)*Scenario_DT!N$16</f>
        <v>2748.7599085546317</v>
      </c>
      <c r="X361" s="28">
        <f>((Scenario_DT!O$11*(IF(Scenario_DT!O$18=1,1,1+$M361/Scenario_DT!$C$19)*(1+$N361)^MAX(0,Scenario_DT!O$18-3))*(Scenario_DT!O$12+$O361)-Scenario_DT!O$13)*(1-Scenario_DT!O$14)+Scenario_DT!O$13-Scenario_DT!O$15)*Scenario_DT!O$16</f>
        <v>2873.1545260275284</v>
      </c>
      <c r="Y361" s="28">
        <f>((Scenario_DT!P$11*(IF(Scenario_DT!P$18=1,1,1+$M361/Scenario_DT!$C$19)*(1+$N361)^MAX(0,Scenario_DT!P$18-3))*(Scenario_DT!P$12+$O361)-Scenario_DT!P$13)*(1-Scenario_DT!P$14)+Scenario_DT!P$13-Scenario_DT!P$15)*Scenario_DT!P$16</f>
        <v>3003.1685325670574</v>
      </c>
      <c r="Z361" s="28">
        <f>((Scenario_DT!Q$11*(IF(Scenario_DT!Q$18=1,1,1+$M361/Scenario_DT!$C$19)*(1+$N361)^MAX(0,Scenario_DT!Q$18-3))*(Scenario_DT!Q$12+$O361)-Scenario_DT!Q$13)*(1-Scenario_DT!Q$14)+Scenario_DT!Q$13-Scenario_DT!Q$15)*Scenario_DT!Q$16</f>
        <v>3139.0577454501818</v>
      </c>
      <c r="AA361" s="28">
        <f>((Scenario_DT!R$11*(IF(Scenario_DT!R$18=1,1,1+$M361/Scenario_DT!$C$19)*(1+$N361)^MAX(0,Scenario_DT!R$18-3))*(Scenario_DT!R$12+$O361)-Scenario_DT!R$13)*(1-Scenario_DT!R$14)+Scenario_DT!R$13-Scenario_DT!R$15)*Scenario_DT!R$16</f>
        <v>3281.0896480745491</v>
      </c>
      <c r="AB361" s="17">
        <f>(Scenario_DT!$R$11*(1+$M361/Scenario_DT!$C$19)*(1+$N361)^7*(Scenario_DT!$R$12+$O361)*(1+MIN(DCF_FCFF!$C$26+$Q361,(DCF_FCFF!$C$25+$P361)-0.02))*(1-DCF_FCFF!$C$27)*(1-DCF_FCFF!$C$28)/((DCF_FCFF!$C$25+$P361)-MIN(DCF_FCFF!$C$26+$Q361,(DCF_FCFF!$C$25+$P361)-0.02)))*(1+(DCF_FCFF!$C$25+$P361))^(-(Inputs!$C$9+9))</f>
        <v>23775.857939047826</v>
      </c>
      <c r="AC361" s="17">
        <f>SUMPRODUCT(R361:AA361*(1+(DCF_FCFF!$C$25+$P361))^(-Scenario_DT!$I$17:$R$17))+AB361</f>
        <v>39684.965304142155</v>
      </c>
      <c r="AD361" s="68">
        <f>((AC361-DCF_FCFF!$C$48)*(1-DCF_FCFF!$C$50)+DCF_FCFF!$C$57+DCF_FCFF!$C$58)/DCF_FCFF!$C$60</f>
        <v>284.48236600296678</v>
      </c>
      <c r="AE361" s="6"/>
      <c r="AF361" s="6"/>
      <c r="AG361" s="6"/>
    </row>
    <row r="362" spans="1:33" x14ac:dyDescent="0.3">
      <c r="A362" s="6"/>
      <c r="B362" s="72">
        <v>331</v>
      </c>
      <c r="C362" s="73">
        <v>0.26603087262166503</v>
      </c>
      <c r="D362" s="73">
        <v>0.27413439368860798</v>
      </c>
      <c r="E362" s="73">
        <v>0.25472835011746697</v>
      </c>
      <c r="F362" s="73">
        <v>0.13503809605623601</v>
      </c>
      <c r="G362" s="73">
        <v>0.94379836810371098</v>
      </c>
      <c r="H362" s="15">
        <f t="shared" si="51"/>
        <v>-0.6248618311754035</v>
      </c>
      <c r="I362" s="15">
        <f t="shared" si="52"/>
        <v>-0.60035632649797954</v>
      </c>
      <c r="J362" s="15">
        <f t="shared" si="53"/>
        <v>-0.65968390056472848</v>
      </c>
      <c r="K362" s="15">
        <f t="shared" si="54"/>
        <v>-1.1028871111228919</v>
      </c>
      <c r="L362" s="15">
        <f t="shared" si="55"/>
        <v>1.5874831344129867</v>
      </c>
      <c r="M362" s="18">
        <f t="shared" si="56"/>
        <v>-1.249723662350807E-2</v>
      </c>
      <c r="N362" s="18">
        <f t="shared" si="57"/>
        <v>-6.6588379652612545E-3</v>
      </c>
      <c r="O362" s="18">
        <f t="shared" si="58"/>
        <v>-7.9162068067767412E-3</v>
      </c>
      <c r="P362" s="18">
        <f t="shared" si="59"/>
        <v>-6.6173226667373521E-3</v>
      </c>
      <c r="Q362" s="18">
        <f t="shared" si="60"/>
        <v>6.3499325376519472E-3</v>
      </c>
      <c r="R362" s="28">
        <f>((Scenario_DT!I$11*(IF(Scenario_DT!I$18=1,1,1+$M362/Scenario_DT!$C$19)*(1+$N362)^MAX(0,Scenario_DT!I$18-3))*(Scenario_DT!I$12+$O362)-Scenario_DT!I$13)*(1-Scenario_DT!I$14)+Scenario_DT!I$13-Scenario_DT!I$15)*Scenario_DT!I$16</f>
        <v>899.82353785077419</v>
      </c>
      <c r="S362" s="28">
        <f>((Scenario_DT!J$11*(IF(Scenario_DT!J$18=1,1,1+$M362/Scenario_DT!$C$19)*(1+$N362)^MAX(0,Scenario_DT!J$18-3))*(Scenario_DT!J$12+$O362)-Scenario_DT!J$13)*(1-Scenario_DT!J$14)+Scenario_DT!J$13-Scenario_DT!J$15)*Scenario_DT!J$16</f>
        <v>1777.6875957401194</v>
      </c>
      <c r="T362" s="28">
        <f>((Scenario_DT!K$11*(IF(Scenario_DT!K$18=1,1,1+$M362/Scenario_DT!$C$19)*(1+$N362)^MAX(0,Scenario_DT!K$18-3))*(Scenario_DT!K$12+$O362)-Scenario_DT!K$13)*(1-Scenario_DT!K$14)+Scenario_DT!K$13-Scenario_DT!K$15)*Scenario_DT!K$16</f>
        <v>2039.8776236036438</v>
      </c>
      <c r="U362" s="28">
        <f>((Scenario_DT!L$11*(IF(Scenario_DT!L$18=1,1,1+$M362/Scenario_DT!$C$19)*(1+$N362)^MAX(0,Scenario_DT!L$18-3))*(Scenario_DT!L$12+$O362)-Scenario_DT!L$13)*(1-Scenario_DT!L$14)+Scenario_DT!L$13-Scenario_DT!L$15)*Scenario_DT!L$16</f>
        <v>2421.0665790891567</v>
      </c>
      <c r="V362" s="28">
        <f>((Scenario_DT!M$11*(IF(Scenario_DT!M$18=1,1,1+$M362/Scenario_DT!$C$19)*(1+$N362)^MAX(0,Scenario_DT!M$18-3))*(Scenario_DT!M$12+$O362)-Scenario_DT!M$13)*(1-Scenario_DT!M$14)+Scenario_DT!M$13-Scenario_DT!M$15)*Scenario_DT!M$16</f>
        <v>2524.3529282559107</v>
      </c>
      <c r="W362" s="28">
        <f>((Scenario_DT!N$11*(IF(Scenario_DT!N$18=1,1,1+$M362/Scenario_DT!$C$19)*(1+$N362)^MAX(0,Scenario_DT!N$18-3))*(Scenario_DT!N$12+$O362)-Scenario_DT!N$13)*(1-Scenario_DT!N$14)+Scenario_DT!N$13-Scenario_DT!N$15)*Scenario_DT!N$16</f>
        <v>2632.0274400363264</v>
      </c>
      <c r="X362" s="28">
        <f>((Scenario_DT!O$11*(IF(Scenario_DT!O$18=1,1,1+$M362/Scenario_DT!$C$19)*(1+$N362)^MAX(0,Scenario_DT!O$18-3))*(Scenario_DT!O$12+$O362)-Scenario_DT!O$13)*(1-Scenario_DT!O$14)+Scenario_DT!O$13-Scenario_DT!O$15)*Scenario_DT!O$16</f>
        <v>2744.2781998470655</v>
      </c>
      <c r="Y362" s="28">
        <f>((Scenario_DT!P$11*(IF(Scenario_DT!P$18=1,1,1+$M362/Scenario_DT!$C$19)*(1+$N362)^MAX(0,Scenario_DT!P$18-3))*(Scenario_DT!P$12+$O362)-Scenario_DT!P$13)*(1-Scenario_DT!P$14)+Scenario_DT!P$13-Scenario_DT!P$15)*Scenario_DT!P$16</f>
        <v>2861.3013720936838</v>
      </c>
      <c r="Z362" s="28">
        <f>((Scenario_DT!Q$11*(IF(Scenario_DT!Q$18=1,1,1+$M362/Scenario_DT!$C$19)*(1+$N362)^MAX(0,Scenario_DT!Q$18-3))*(Scenario_DT!Q$12+$O362)-Scenario_DT!Q$13)*(1-Scenario_DT!Q$14)+Scenario_DT!Q$13-Scenario_DT!Q$15)*Scenario_DT!Q$16</f>
        <v>2983.301547397698</v>
      </c>
      <c r="AA362" s="28">
        <f>((Scenario_DT!R$11*(IF(Scenario_DT!R$18=1,1,1+$M362/Scenario_DT!$C$19)*(1+$N362)^MAX(0,Scenario_DT!R$18-3))*(Scenario_DT!R$12+$O362)-Scenario_DT!R$13)*(1-Scenario_DT!R$14)+Scenario_DT!R$13-Scenario_DT!R$15)*Scenario_DT!R$16</f>
        <v>3110.492104750781</v>
      </c>
      <c r="AB362" s="17">
        <f>(Scenario_DT!$R$11*(1+$M362/Scenario_DT!$C$19)*(1+$N362)^7*(Scenario_DT!$R$12+$O362)*(1+MIN(DCF_FCFF!$C$26+$Q362,(DCF_FCFF!$C$25+$P362)-0.02))*(1-DCF_FCFF!$C$27)*(1-DCF_FCFF!$C$28)/((DCF_FCFF!$C$25+$P362)-MIN(DCF_FCFF!$C$26+$Q362,(DCF_FCFF!$C$25+$P362)-0.02)))*(1+(DCF_FCFF!$C$25+$P362))^(-(Inputs!$C$9+9))</f>
        <v>37675.199068705348</v>
      </c>
      <c r="AC362" s="17">
        <f>SUMPRODUCT(R362:AA362*(1+(DCF_FCFF!$C$25+$P362))^(-Scenario_DT!$I$17:$R$17))+AB362</f>
        <v>53860.2402437735</v>
      </c>
      <c r="AD362" s="68">
        <f>((AC362-DCF_FCFF!$C$48)*(1-DCF_FCFF!$C$50)+DCF_FCFF!$C$57+DCF_FCFF!$C$58)/DCF_FCFF!$C$60</f>
        <v>420.54754818841036</v>
      </c>
      <c r="AE362" s="6"/>
      <c r="AF362" s="6"/>
      <c r="AG362" s="6"/>
    </row>
    <row r="363" spans="1:33" x14ac:dyDescent="0.3">
      <c r="A363" s="6"/>
      <c r="B363" s="72">
        <v>332</v>
      </c>
      <c r="C363" s="73">
        <v>0.40204779815706898</v>
      </c>
      <c r="D363" s="73">
        <v>0.22468947454587401</v>
      </c>
      <c r="E363" s="73">
        <v>0.84667105050824398</v>
      </c>
      <c r="F363" s="73">
        <v>0.39919530265779102</v>
      </c>
      <c r="G363" s="73">
        <v>3.51168111096666E-2</v>
      </c>
      <c r="H363" s="15">
        <f t="shared" si="51"/>
        <v>-0.24805016111374892</v>
      </c>
      <c r="I363" s="15">
        <f t="shared" si="52"/>
        <v>-0.75645081845303364</v>
      </c>
      <c r="J363" s="15">
        <f t="shared" si="53"/>
        <v>1.0222599169424473</v>
      </c>
      <c r="K363" s="15">
        <f t="shared" si="54"/>
        <v>-0.25543051421141266</v>
      </c>
      <c r="L363" s="15">
        <f t="shared" si="55"/>
        <v>-1.8104010136997881</v>
      </c>
      <c r="M363" s="18">
        <f t="shared" si="56"/>
        <v>-4.9610032222749782E-3</v>
      </c>
      <c r="N363" s="18">
        <f t="shared" si="57"/>
        <v>-6.2330456484058563E-3</v>
      </c>
      <c r="O363" s="18">
        <f t="shared" si="58"/>
        <v>1.2267119003309368E-2</v>
      </c>
      <c r="P363" s="18">
        <f t="shared" si="59"/>
        <v>-1.532583085268476E-3</v>
      </c>
      <c r="Q363" s="18">
        <f t="shared" si="60"/>
        <v>-7.2416040547991526E-3</v>
      </c>
      <c r="R363" s="28">
        <f>((Scenario_DT!I$11*(IF(Scenario_DT!I$18=1,1,1+$M363/Scenario_DT!$C$19)*(1+$N363)^MAX(0,Scenario_DT!I$18-3))*(Scenario_DT!I$12+$O363)-Scenario_DT!I$13)*(1-Scenario_DT!I$14)+Scenario_DT!I$13-Scenario_DT!I$15)*Scenario_DT!I$16</f>
        <v>928.27985518525315</v>
      </c>
      <c r="S363" s="28">
        <f>((Scenario_DT!J$11*(IF(Scenario_DT!J$18=1,1,1+$M363/Scenario_DT!$C$19)*(1+$N363)^MAX(0,Scenario_DT!J$18-3))*(Scenario_DT!J$12+$O363)-Scenario_DT!J$13)*(1-Scenario_DT!J$14)+Scenario_DT!J$13-Scenario_DT!J$15)*Scenario_DT!J$16</f>
        <v>1857.9427109701933</v>
      </c>
      <c r="T363" s="28">
        <f>((Scenario_DT!K$11*(IF(Scenario_DT!K$18=1,1,1+$M363/Scenario_DT!$C$19)*(1+$N363)^MAX(0,Scenario_DT!K$18-3))*(Scenario_DT!K$12+$O363)-Scenario_DT!K$13)*(1-Scenario_DT!K$14)+Scenario_DT!K$13-Scenario_DT!K$15)*Scenario_DT!K$16</f>
        <v>2123.3044618348858</v>
      </c>
      <c r="U363" s="28">
        <f>((Scenario_DT!L$11*(IF(Scenario_DT!L$18=1,1,1+$M363/Scenario_DT!$C$19)*(1+$N363)^MAX(0,Scenario_DT!L$18-3))*(Scenario_DT!L$12+$O363)-Scenario_DT!L$13)*(1-Scenario_DT!L$14)+Scenario_DT!L$13-Scenario_DT!L$15)*Scenario_DT!L$16</f>
        <v>2510.1401671419485</v>
      </c>
      <c r="V363" s="28">
        <f>((Scenario_DT!M$11*(IF(Scenario_DT!M$18=1,1,1+$M363/Scenario_DT!$C$19)*(1+$N363)^MAX(0,Scenario_DT!M$18-3))*(Scenario_DT!M$12+$O363)-Scenario_DT!M$13)*(1-Scenario_DT!M$14)+Scenario_DT!M$13-Scenario_DT!M$15)*Scenario_DT!M$16</f>
        <v>2618.3871955629861</v>
      </c>
      <c r="W363" s="28">
        <f>((Scenario_DT!N$11*(IF(Scenario_DT!N$18=1,1,1+$M363/Scenario_DT!$C$19)*(1+$N363)^MAX(0,Scenario_DT!N$18-3))*(Scenario_DT!N$12+$O363)-Scenario_DT!N$13)*(1-Scenario_DT!N$14)+Scenario_DT!N$13-Scenario_DT!N$15)*Scenario_DT!N$16</f>
        <v>2731.2848316346649</v>
      </c>
      <c r="X363" s="28">
        <f>((Scenario_DT!O$11*(IF(Scenario_DT!O$18=1,1,1+$M363/Scenario_DT!$C$19)*(1+$N363)^MAX(0,Scenario_DT!O$18-3))*(Scenario_DT!O$12+$O363)-Scenario_DT!O$13)*(1-Scenario_DT!O$14)+Scenario_DT!O$13-Scenario_DT!O$15)*Scenario_DT!O$16</f>
        <v>2849.0345815078672</v>
      </c>
      <c r="Y363" s="28">
        <f>((Scenario_DT!P$11*(IF(Scenario_DT!P$18=1,1,1+$M363/Scenario_DT!$C$19)*(1+$N363)^MAX(0,Scenario_DT!P$18-3))*(Scenario_DT!P$12+$O363)-Scenario_DT!P$13)*(1-Scenario_DT!P$14)+Scenario_DT!P$13-Scenario_DT!P$15)*Scenario_DT!P$16</f>
        <v>2971.8467002335542</v>
      </c>
      <c r="Z363" s="28">
        <f>((Scenario_DT!Q$11*(IF(Scenario_DT!Q$18=1,1,1+$M363/Scenario_DT!$C$19)*(1+$N363)^MAX(0,Scenario_DT!Q$18-3))*(Scenario_DT!Q$12+$O363)-Scenario_DT!Q$13)*(1-Scenario_DT!Q$14)+Scenario_DT!Q$13-Scenario_DT!Q$15)*Scenario_DT!Q$16</f>
        <v>3099.9405718302301</v>
      </c>
      <c r="AA363" s="28">
        <f>((Scenario_DT!R$11*(IF(Scenario_DT!R$18=1,1,1+$M363/Scenario_DT!$C$19)*(1+$N363)^MAX(0,Scenario_DT!R$18-3))*(Scenario_DT!R$12+$O363)-Scenario_DT!R$13)*(1-Scenario_DT!R$14)+Scenario_DT!R$13-Scenario_DT!R$15)*Scenario_DT!R$16</f>
        <v>3233.5451058660115</v>
      </c>
      <c r="AB363" s="17">
        <f>(Scenario_DT!$R$11*(1+$M363/Scenario_DT!$C$19)*(1+$N363)^7*(Scenario_DT!$R$12+$O363)*(1+MIN(DCF_FCFF!$C$26+$Q363,(DCF_FCFF!$C$25+$P363)-0.02))*(1-DCF_FCFF!$C$27)*(1-DCF_FCFF!$C$28)/((DCF_FCFF!$C$25+$P363)-MIN(DCF_FCFF!$C$26+$Q363,(DCF_FCFF!$C$25+$P363)-0.02)))*(1+(DCF_FCFF!$C$25+$P363))^(-(Inputs!$C$9+9))</f>
        <v>24662.368463420742</v>
      </c>
      <c r="AC363" s="17">
        <f>SUMPRODUCT(R363:AA363*(1+(DCF_FCFF!$C$25+$P363))^(-Scenario_DT!$I$17:$R$17))+AB363</f>
        <v>41117.535120496104</v>
      </c>
      <c r="AD363" s="68">
        <f>((AC363-DCF_FCFF!$C$48)*(1-DCF_FCFF!$C$50)+DCF_FCFF!$C$57+DCF_FCFF!$C$58)/DCF_FCFF!$C$60</f>
        <v>298.23327199143552</v>
      </c>
      <c r="AE363" s="6"/>
      <c r="AF363" s="6"/>
      <c r="AG363" s="6"/>
    </row>
    <row r="364" spans="1:33" x14ac:dyDescent="0.3">
      <c r="A364" s="6"/>
      <c r="B364" s="72">
        <v>333</v>
      </c>
      <c r="C364" s="73">
        <v>0.16194157024963099</v>
      </c>
      <c r="D364" s="73">
        <v>0.63925034035617001</v>
      </c>
      <c r="E364" s="73">
        <v>0.78290527417172395</v>
      </c>
      <c r="F364" s="73">
        <v>0.21093438848871299</v>
      </c>
      <c r="G364" s="73">
        <v>0.91739558926614195</v>
      </c>
      <c r="H364" s="15">
        <f t="shared" si="51"/>
        <v>-0.98650953112010542</v>
      </c>
      <c r="I364" s="15">
        <f t="shared" si="52"/>
        <v>0.35645570415379824</v>
      </c>
      <c r="J364" s="15">
        <f t="shared" si="53"/>
        <v>0.7820427475292524</v>
      </c>
      <c r="K364" s="15">
        <f t="shared" si="54"/>
        <v>-0.80318333376721673</v>
      </c>
      <c r="L364" s="15">
        <f t="shared" si="55"/>
        <v>1.3877643247275186</v>
      </c>
      <c r="M364" s="18">
        <f t="shared" si="56"/>
        <v>-1.9730190622402107E-2</v>
      </c>
      <c r="N364" s="18">
        <f t="shared" si="57"/>
        <v>-1.4764405635119457E-3</v>
      </c>
      <c r="O364" s="18">
        <f t="shared" si="58"/>
        <v>9.3845129703510298E-3</v>
      </c>
      <c r="P364" s="18">
        <f t="shared" si="59"/>
        <v>-4.8191000026033002E-3</v>
      </c>
      <c r="Q364" s="18">
        <f t="shared" si="60"/>
        <v>5.5510572989100745E-3</v>
      </c>
      <c r="R364" s="28">
        <f>((Scenario_DT!I$11*(IF(Scenario_DT!I$18=1,1,1+$M364/Scenario_DT!$C$19)*(1+$N364)^MAX(0,Scenario_DT!I$18-3))*(Scenario_DT!I$12+$O364)-Scenario_DT!I$13)*(1-Scenario_DT!I$14)+Scenario_DT!I$13-Scenario_DT!I$15)*Scenario_DT!I$16</f>
        <v>924.21569089459126</v>
      </c>
      <c r="S364" s="28">
        <f>((Scenario_DT!J$11*(IF(Scenario_DT!J$18=1,1,1+$M364/Scenario_DT!$C$19)*(1+$N364)^MAX(0,Scenario_DT!J$18-3))*(Scenario_DT!J$12+$O364)-Scenario_DT!J$13)*(1-Scenario_DT!J$14)+Scenario_DT!J$13-Scenario_DT!J$15)*Scenario_DT!J$16</f>
        <v>1813.1829398347068</v>
      </c>
      <c r="T364" s="28">
        <f>((Scenario_DT!K$11*(IF(Scenario_DT!K$18=1,1,1+$M364/Scenario_DT!$C$19)*(1+$N364)^MAX(0,Scenario_DT!K$18-3))*(Scenario_DT!K$12+$O364)-Scenario_DT!K$13)*(1-Scenario_DT!K$14)+Scenario_DT!K$13-Scenario_DT!K$15)*Scenario_DT!K$16</f>
        <v>2076.4164945094972</v>
      </c>
      <c r="U364" s="28">
        <f>((Scenario_DT!L$11*(IF(Scenario_DT!L$18=1,1,1+$M364/Scenario_DT!$C$19)*(1+$N364)^MAX(0,Scenario_DT!L$18-3))*(Scenario_DT!L$12+$O364)-Scenario_DT!L$13)*(1-Scenario_DT!L$14)+Scenario_DT!L$13-Scenario_DT!L$15)*Scenario_DT!L$16</f>
        <v>2472.5245083694867</v>
      </c>
      <c r="V364" s="28">
        <f>((Scenario_DT!M$11*(IF(Scenario_DT!M$18=1,1,1+$M364/Scenario_DT!$C$19)*(1+$N364)^MAX(0,Scenario_DT!M$18-3))*(Scenario_DT!M$12+$O364)-Scenario_DT!M$13)*(1-Scenario_DT!M$14)+Scenario_DT!M$13-Scenario_DT!M$15)*Scenario_DT!M$16</f>
        <v>2591.5700812515224</v>
      </c>
      <c r="W364" s="28">
        <f>((Scenario_DT!N$11*(IF(Scenario_DT!N$18=1,1,1+$M364/Scenario_DT!$C$19)*(1+$N364)^MAX(0,Scenario_DT!N$18-3))*(Scenario_DT!N$12+$O364)-Scenario_DT!N$13)*(1-Scenario_DT!N$14)+Scenario_DT!N$13-Scenario_DT!N$15)*Scenario_DT!N$16</f>
        <v>2716.3378983709667</v>
      </c>
      <c r="X364" s="28">
        <f>((Scenario_DT!O$11*(IF(Scenario_DT!O$18=1,1,1+$M364/Scenario_DT!$C$19)*(1+$N364)^MAX(0,Scenario_DT!O$18-3))*(Scenario_DT!O$12+$O364)-Scenario_DT!O$13)*(1-Scenario_DT!O$14)+Scenario_DT!O$13-Scenario_DT!O$15)*Scenario_DT!O$16</f>
        <v>2847.1052194478807</v>
      </c>
      <c r="Y364" s="28">
        <f>((Scenario_DT!P$11*(IF(Scenario_DT!P$18=1,1,1+$M364/Scenario_DT!$C$19)*(1+$N364)^MAX(0,Scenario_DT!P$18-3))*(Scenario_DT!P$12+$O364)-Scenario_DT!P$13)*(1-Scenario_DT!P$14)+Scenario_DT!P$13-Scenario_DT!P$15)*Scenario_DT!P$16</f>
        <v>2984.1627590156727</v>
      </c>
      <c r="Z364" s="28">
        <f>((Scenario_DT!Q$11*(IF(Scenario_DT!Q$18=1,1,1+$M364/Scenario_DT!$C$19)*(1+$N364)^MAX(0,Scenario_DT!Q$18-3))*(Scenario_DT!Q$12+$O364)-Scenario_DT!Q$13)*(1-Scenario_DT!Q$14)+Scenario_DT!Q$13-Scenario_DT!Q$15)*Scenario_DT!Q$16</f>
        <v>3127.8153394942933</v>
      </c>
      <c r="AA364" s="28">
        <f>((Scenario_DT!R$11*(IF(Scenario_DT!R$18=1,1,1+$M364/Scenario_DT!$C$19)*(1+$N364)^MAX(0,Scenario_DT!R$18-3))*(Scenario_DT!R$12+$O364)-Scenario_DT!R$13)*(1-Scenario_DT!R$14)+Scenario_DT!R$13-Scenario_DT!R$15)*Scenario_DT!R$16</f>
        <v>3278.3825759608217</v>
      </c>
      <c r="AB364" s="17">
        <f>(Scenario_DT!$R$11*(1+$M364/Scenario_DT!$C$19)*(1+$N364)^7*(Scenario_DT!$R$12+$O364)*(1+MIN(DCF_FCFF!$C$26+$Q364,(DCF_FCFF!$C$25+$P364)-0.02))*(1-DCF_FCFF!$C$27)*(1-DCF_FCFF!$C$28)/((DCF_FCFF!$C$25+$P364)-MIN(DCF_FCFF!$C$26+$Q364,(DCF_FCFF!$C$25+$P364)-0.02)))*(1+(DCF_FCFF!$C$25+$P364))^(-(Inputs!$C$9+9))</f>
        <v>36509.103740397266</v>
      </c>
      <c r="AC364" s="17">
        <f>SUMPRODUCT(R364:AA364*(1+(DCF_FCFF!$C$25+$P364))^(-Scenario_DT!$I$17:$R$17))+AB364</f>
        <v>53091.594553596908</v>
      </c>
      <c r="AD364" s="68">
        <f>((AC364-DCF_FCFF!$C$48)*(1-DCF_FCFF!$C$50)+DCF_FCFF!$C$57+DCF_FCFF!$C$58)/DCF_FCFF!$C$60</f>
        <v>413.16949617070082</v>
      </c>
      <c r="AE364" s="6"/>
      <c r="AF364" s="6"/>
      <c r="AG364" s="6"/>
    </row>
    <row r="365" spans="1:33" x14ac:dyDescent="0.3">
      <c r="A365" s="6"/>
      <c r="B365" s="72">
        <v>334</v>
      </c>
      <c r="C365" s="73">
        <v>0.85099712005216399</v>
      </c>
      <c r="D365" s="73">
        <v>0.84838075406108104</v>
      </c>
      <c r="E365" s="73">
        <v>0.22766114679921401</v>
      </c>
      <c r="F365" s="73">
        <v>5.0535988650057699E-2</v>
      </c>
      <c r="G365" s="73">
        <v>0.86742353948258399</v>
      </c>
      <c r="H365" s="15">
        <f t="shared" si="51"/>
        <v>1.0407194794072616</v>
      </c>
      <c r="I365" s="15">
        <f t="shared" si="52"/>
        <v>1.0295133880278018</v>
      </c>
      <c r="J365" s="15">
        <f t="shared" si="53"/>
        <v>-0.74657143966222883</v>
      </c>
      <c r="K365" s="15">
        <f t="shared" si="54"/>
        <v>-1.6396787608120791</v>
      </c>
      <c r="L365" s="15">
        <f t="shared" si="55"/>
        <v>1.1142943710633106</v>
      </c>
      <c r="M365" s="18">
        <f t="shared" si="56"/>
        <v>2.0814389588145233E-2</v>
      </c>
      <c r="N365" s="18">
        <f t="shared" si="57"/>
        <v>1.1295555898175146E-2</v>
      </c>
      <c r="O365" s="18">
        <f t="shared" si="58"/>
        <v>-8.958857275946747E-3</v>
      </c>
      <c r="P365" s="18">
        <f t="shared" si="59"/>
        <v>-9.838072564872475E-3</v>
      </c>
      <c r="Q365" s="18">
        <f t="shared" si="60"/>
        <v>4.4571774842532431E-3</v>
      </c>
      <c r="R365" s="28">
        <f>((Scenario_DT!I$11*(IF(Scenario_DT!I$18=1,1,1+$M365/Scenario_DT!$C$19)*(1+$N365)^MAX(0,Scenario_DT!I$18-3))*(Scenario_DT!I$12+$O365)-Scenario_DT!I$13)*(1-Scenario_DT!I$14)+Scenario_DT!I$13-Scenario_DT!I$15)*Scenario_DT!I$16</f>
        <v>898.35351289558002</v>
      </c>
      <c r="S365" s="28">
        <f>((Scenario_DT!J$11*(IF(Scenario_DT!J$18=1,1,1+$M365/Scenario_DT!$C$19)*(1+$N365)^MAX(0,Scenario_DT!J$18-3))*(Scenario_DT!J$12+$O365)-Scenario_DT!J$13)*(1-Scenario_DT!J$14)+Scenario_DT!J$13-Scenario_DT!J$15)*Scenario_DT!J$16</f>
        <v>1853.3277569494285</v>
      </c>
      <c r="T365" s="28">
        <f>((Scenario_DT!K$11*(IF(Scenario_DT!K$18=1,1,1+$M365/Scenario_DT!$C$19)*(1+$N365)^MAX(0,Scenario_DT!K$18-3))*(Scenario_DT!K$12+$O365)-Scenario_DT!K$13)*(1-Scenario_DT!K$14)+Scenario_DT!K$13-Scenario_DT!K$15)*Scenario_DT!K$16</f>
        <v>2119.3982701894683</v>
      </c>
      <c r="U365" s="28">
        <f>((Scenario_DT!L$11*(IF(Scenario_DT!L$18=1,1,1+$M365/Scenario_DT!$C$19)*(1+$N365)^MAX(0,Scenario_DT!L$18-3))*(Scenario_DT!L$12+$O365)-Scenario_DT!L$13)*(1-Scenario_DT!L$14)+Scenario_DT!L$13-Scenario_DT!L$15)*Scenario_DT!L$16</f>
        <v>2550.5186787725875</v>
      </c>
      <c r="V365" s="28">
        <f>((Scenario_DT!M$11*(IF(Scenario_DT!M$18=1,1,1+$M365/Scenario_DT!$C$19)*(1+$N365)^MAX(0,Scenario_DT!M$18-3))*(Scenario_DT!M$12+$O365)-Scenario_DT!M$13)*(1-Scenario_DT!M$14)+Scenario_DT!M$13-Scenario_DT!M$15)*Scenario_DT!M$16</f>
        <v>2707.7733272427563</v>
      </c>
      <c r="W365" s="28">
        <f>((Scenario_DT!N$11*(IF(Scenario_DT!N$18=1,1,1+$M365/Scenario_DT!$C$19)*(1+$N365)^MAX(0,Scenario_DT!N$18-3))*(Scenario_DT!N$12+$O365)-Scenario_DT!N$13)*(1-Scenario_DT!N$14)+Scenario_DT!N$13-Scenario_DT!N$15)*Scenario_DT!N$16</f>
        <v>2874.7313081471357</v>
      </c>
      <c r="X365" s="28">
        <f>((Scenario_DT!O$11*(IF(Scenario_DT!O$18=1,1,1+$M365/Scenario_DT!$C$19)*(1+$N365)^MAX(0,Scenario_DT!O$18-3))*(Scenario_DT!O$12+$O365)-Scenario_DT!O$13)*(1-Scenario_DT!O$14)+Scenario_DT!O$13-Scenario_DT!O$15)*Scenario_DT!O$16</f>
        <v>3051.9945182607644</v>
      </c>
      <c r="Y365" s="28">
        <f>((Scenario_DT!P$11*(IF(Scenario_DT!P$18=1,1,1+$M365/Scenario_DT!$C$19)*(1+$N365)^MAX(0,Scenario_DT!P$18-3))*(Scenario_DT!P$12+$O365)-Scenario_DT!P$13)*(1-Scenario_DT!P$14)+Scenario_DT!P$13-Scenario_DT!P$15)*Scenario_DT!P$16</f>
        <v>3240.2021881218348</v>
      </c>
      <c r="Z365" s="28">
        <f>((Scenario_DT!Q$11*(IF(Scenario_DT!Q$18=1,1,1+$M365/Scenario_DT!$C$19)*(1+$N365)^MAX(0,Scenario_DT!Q$18-3))*(Scenario_DT!Q$12+$O365)-Scenario_DT!Q$13)*(1-Scenario_DT!Q$14)+Scenario_DT!Q$13-Scenario_DT!Q$15)*Scenario_DT!Q$16</f>
        <v>3440.03319621833</v>
      </c>
      <c r="AA365" s="28">
        <f>((Scenario_DT!R$11*(IF(Scenario_DT!R$18=1,1,1+$M365/Scenario_DT!$C$19)*(1+$N365)^MAX(0,Scenario_DT!R$18-3))*(Scenario_DT!R$12+$O365)-Scenario_DT!R$13)*(1-Scenario_DT!R$14)+Scenario_DT!R$13-Scenario_DT!R$15)*Scenario_DT!R$16</f>
        <v>3652.2085265415908</v>
      </c>
      <c r="AB365" s="17">
        <f>(Scenario_DT!$R$11*(1+$M365/Scenario_DT!$C$19)*(1+$N365)^7*(Scenario_DT!$R$12+$O365)*(1+MIN(DCF_FCFF!$C$26+$Q365,(DCF_FCFF!$C$25+$P365)-0.02))*(1-DCF_FCFF!$C$27)*(1-DCF_FCFF!$C$28)/((DCF_FCFF!$C$25+$P365)-MIN(DCF_FCFF!$C$26+$Q365,(DCF_FCFF!$C$25+$P365)-0.02)))*(1+(DCF_FCFF!$C$25+$P365))^(-(Inputs!$C$9+9))</f>
        <v>47026.951699404308</v>
      </c>
      <c r="AC365" s="17">
        <f>SUMPRODUCT(R365:AA365*(1+(DCF_FCFF!$C$25+$P365))^(-Scenario_DT!$I$17:$R$17))+AB365</f>
        <v>64906.837094806338</v>
      </c>
      <c r="AD365" s="68">
        <f>((AC365-DCF_FCFF!$C$48)*(1-DCF_FCFF!$C$50)+DCF_FCFF!$C$57+DCF_FCFF!$C$58)/DCF_FCFF!$C$60</f>
        <v>526.58127377511289</v>
      </c>
      <c r="AE365" s="6"/>
      <c r="AF365" s="6"/>
      <c r="AG365" s="6"/>
    </row>
    <row r="366" spans="1:33" x14ac:dyDescent="0.3">
      <c r="A366" s="6"/>
      <c r="B366" s="72">
        <v>335</v>
      </c>
      <c r="C366" s="73">
        <v>0.30580022873856699</v>
      </c>
      <c r="D366" s="73">
        <v>0.61891638117352599</v>
      </c>
      <c r="E366" s="73">
        <v>0.75996688370072996</v>
      </c>
      <c r="F366" s="73">
        <v>0.12829325851112</v>
      </c>
      <c r="G366" s="73">
        <v>0.78083835451904804</v>
      </c>
      <c r="H366" s="15">
        <f t="shared" si="51"/>
        <v>-0.50779023671696</v>
      </c>
      <c r="I366" s="15">
        <f t="shared" si="52"/>
        <v>0.30263605057293214</v>
      </c>
      <c r="J366" s="15">
        <f t="shared" si="53"/>
        <v>0.70619604013479853</v>
      </c>
      <c r="K366" s="15">
        <f t="shared" si="54"/>
        <v>-1.1344960802434305</v>
      </c>
      <c r="L366" s="15">
        <f t="shared" si="55"/>
        <v>0.77502770134507382</v>
      </c>
      <c r="M366" s="18">
        <f t="shared" si="56"/>
        <v>-1.01558047343392E-2</v>
      </c>
      <c r="N366" s="18">
        <f t="shared" si="57"/>
        <v>6.5563116309370618E-5</v>
      </c>
      <c r="O366" s="18">
        <f t="shared" si="58"/>
        <v>8.4743524816175819E-3</v>
      </c>
      <c r="P366" s="18">
        <f t="shared" si="59"/>
        <v>-6.8069764814605834E-3</v>
      </c>
      <c r="Q366" s="18">
        <f t="shared" si="60"/>
        <v>3.1001108053802955E-3</v>
      </c>
      <c r="R366" s="28">
        <f>((Scenario_DT!I$11*(IF(Scenario_DT!I$18=1,1,1+$M366/Scenario_DT!$C$19)*(1+$N366)^MAX(0,Scenario_DT!I$18-3))*(Scenario_DT!I$12+$O366)-Scenario_DT!I$13)*(1-Scenario_DT!I$14)+Scenario_DT!I$13-Scenario_DT!I$15)*Scenario_DT!I$16</f>
        <v>922.93246255371173</v>
      </c>
      <c r="S366" s="28">
        <f>((Scenario_DT!J$11*(IF(Scenario_DT!J$18=1,1,1+$M366/Scenario_DT!$C$19)*(1+$N366)^MAX(0,Scenario_DT!J$18-3))*(Scenario_DT!J$12+$O366)-Scenario_DT!J$13)*(1-Scenario_DT!J$14)+Scenario_DT!J$13-Scenario_DT!J$15)*Scenario_DT!J$16</f>
        <v>1833.6244784997639</v>
      </c>
      <c r="T366" s="28">
        <f>((Scenario_DT!K$11*(IF(Scenario_DT!K$18=1,1,1+$M366/Scenario_DT!$C$19)*(1+$N366)^MAX(0,Scenario_DT!K$18-3))*(Scenario_DT!K$12+$O366)-Scenario_DT!K$13)*(1-Scenario_DT!K$14)+Scenario_DT!K$13-Scenario_DT!K$15)*Scenario_DT!K$16</f>
        <v>2097.9261728768279</v>
      </c>
      <c r="U366" s="28">
        <f>((Scenario_DT!L$11*(IF(Scenario_DT!L$18=1,1,1+$M366/Scenario_DT!$C$19)*(1+$N366)^MAX(0,Scenario_DT!L$18-3))*(Scenario_DT!L$12+$O366)-Scenario_DT!L$13)*(1-Scenario_DT!L$14)+Scenario_DT!L$13-Scenario_DT!L$15)*Scenario_DT!L$16</f>
        <v>2499.2088270351846</v>
      </c>
      <c r="V366" s="28">
        <f>((Scenario_DT!M$11*(IF(Scenario_DT!M$18=1,1,1+$M366/Scenario_DT!$C$19)*(1+$N366)^MAX(0,Scenario_DT!M$18-3))*(Scenario_DT!M$12+$O366)-Scenario_DT!M$13)*(1-Scenario_DT!M$14)+Scenario_DT!M$13-Scenario_DT!M$15)*Scenario_DT!M$16</f>
        <v>2623.6210490002522</v>
      </c>
      <c r="W366" s="28">
        <f>((Scenario_DT!N$11*(IF(Scenario_DT!N$18=1,1,1+$M366/Scenario_DT!$C$19)*(1+$N366)^MAX(0,Scenario_DT!N$18-3))*(Scenario_DT!N$12+$O366)-Scenario_DT!N$13)*(1-Scenario_DT!N$14)+Scenario_DT!N$13-Scenario_DT!N$15)*Scenario_DT!N$16</f>
        <v>2754.219498429733</v>
      </c>
      <c r="X366" s="28">
        <f>((Scenario_DT!O$11*(IF(Scenario_DT!O$18=1,1,1+$M366/Scenario_DT!$C$19)*(1+$N366)^MAX(0,Scenario_DT!O$18-3))*(Scenario_DT!O$12+$O366)-Scenario_DT!O$13)*(1-Scenario_DT!O$14)+Scenario_DT!O$13-Scenario_DT!O$15)*Scenario_DT!O$16</f>
        <v>2891.3141274751974</v>
      </c>
      <c r="Y366" s="28">
        <f>((Scenario_DT!P$11*(IF(Scenario_DT!P$18=1,1,1+$M366/Scenario_DT!$C$19)*(1+$N366)^MAX(0,Scenario_DT!P$18-3))*(Scenario_DT!P$12+$O366)-Scenario_DT!P$13)*(1-Scenario_DT!P$14)+Scenario_DT!P$13-Scenario_DT!P$15)*Scenario_DT!P$16</f>
        <v>3035.2304383726264</v>
      </c>
      <c r="Z366" s="28">
        <f>((Scenario_DT!Q$11*(IF(Scenario_DT!Q$18=1,1,1+$M366/Scenario_DT!$C$19)*(1+$N366)^MAX(0,Scenario_DT!Q$18-3))*(Scenario_DT!Q$12+$O366)-Scenario_DT!Q$13)*(1-Scenario_DT!Q$14)+Scenario_DT!Q$13-Scenario_DT!Q$15)*Scenario_DT!Q$16</f>
        <v>3186.3102636327149</v>
      </c>
      <c r="AA366" s="28">
        <f>((Scenario_DT!R$11*(IF(Scenario_DT!R$18=1,1,1+$M366/Scenario_DT!$C$19)*(1+$N366)^MAX(0,Scenario_DT!R$18-3))*(Scenario_DT!R$12+$O366)-Scenario_DT!R$13)*(1-Scenario_DT!R$14)+Scenario_DT!R$13-Scenario_DT!R$15)*Scenario_DT!R$16</f>
        <v>3344.9125853691949</v>
      </c>
      <c r="AB366" s="17">
        <f>(Scenario_DT!$R$11*(1+$M366/Scenario_DT!$C$19)*(1+$N366)^7*(Scenario_DT!$R$12+$O366)*(1+MIN(DCF_FCFF!$C$26+$Q366,(DCF_FCFF!$C$25+$P366)-0.02))*(1-DCF_FCFF!$C$27)*(1-DCF_FCFF!$C$28)/((DCF_FCFF!$C$25+$P366)-MIN(DCF_FCFF!$C$26+$Q366,(DCF_FCFF!$C$25+$P366)-0.02)))*(1+(DCF_FCFF!$C$25+$P366))^(-(Inputs!$C$9+9))</f>
        <v>37374.636329559849</v>
      </c>
      <c r="AC366" s="17">
        <f>SUMPRODUCT(R366:AA366*(1+(DCF_FCFF!$C$25+$P366))^(-Scenario_DT!$I$17:$R$17))+AB366</f>
        <v>54323.970481700206</v>
      </c>
      <c r="AD366" s="68">
        <f>((AC366-DCF_FCFF!$C$48)*(1-DCF_FCFF!$C$50)+DCF_FCFF!$C$57+DCF_FCFF!$C$58)/DCF_FCFF!$C$60</f>
        <v>424.99878737615882</v>
      </c>
      <c r="AE366" s="6"/>
      <c r="AF366" s="6"/>
      <c r="AG366" s="6"/>
    </row>
    <row r="367" spans="1:33" x14ac:dyDescent="0.3">
      <c r="A367" s="6"/>
      <c r="B367" s="72">
        <v>336</v>
      </c>
      <c r="C367" s="73">
        <v>0.93851145896106603</v>
      </c>
      <c r="D367" s="73">
        <v>0.72837496574640903</v>
      </c>
      <c r="E367" s="73">
        <v>0.44122274848055798</v>
      </c>
      <c r="F367" s="73">
        <v>0.87667813875170297</v>
      </c>
      <c r="G367" s="73">
        <v>0.52745763007255897</v>
      </c>
      <c r="H367" s="15">
        <f t="shared" si="51"/>
        <v>1.542397280276631</v>
      </c>
      <c r="I367" s="15">
        <f t="shared" si="52"/>
        <v>0.60790562522096137</v>
      </c>
      <c r="J367" s="15">
        <f t="shared" si="53"/>
        <v>-0.1478698320630529</v>
      </c>
      <c r="K367" s="15">
        <f t="shared" si="54"/>
        <v>1.1585400379929365</v>
      </c>
      <c r="L367" s="15">
        <f t="shared" si="55"/>
        <v>6.8880500676993098E-2</v>
      </c>
      <c r="M367" s="18">
        <f t="shared" si="56"/>
        <v>3.0847945605532622E-2</v>
      </c>
      <c r="N367" s="18">
        <f t="shared" si="57"/>
        <v>1.0381282837465042E-2</v>
      </c>
      <c r="O367" s="18">
        <f t="shared" si="58"/>
        <v>-1.7744379847566348E-3</v>
      </c>
      <c r="P367" s="18">
        <f t="shared" si="59"/>
        <v>6.951240227957619E-3</v>
      </c>
      <c r="Q367" s="18">
        <f t="shared" si="60"/>
        <v>2.7552200270797241E-4</v>
      </c>
      <c r="R367" s="28">
        <f>((Scenario_DT!I$11*(IF(Scenario_DT!I$18=1,1,1+$M367/Scenario_DT!$C$19)*(1+$N367)^MAX(0,Scenario_DT!I$18-3))*(Scenario_DT!I$12+$O367)-Scenario_DT!I$13)*(1-Scenario_DT!I$14)+Scenario_DT!I$13-Scenario_DT!I$15)*Scenario_DT!I$16</f>
        <v>908.48277093450486</v>
      </c>
      <c r="S367" s="28">
        <f>((Scenario_DT!J$11*(IF(Scenario_DT!J$18=1,1,1+$M367/Scenario_DT!$C$19)*(1+$N367)^MAX(0,Scenario_DT!J$18-3))*(Scenario_DT!J$12+$O367)-Scenario_DT!J$13)*(1-Scenario_DT!J$14)+Scenario_DT!J$13-Scenario_DT!J$15)*Scenario_DT!J$16</f>
        <v>1900.1331403647177</v>
      </c>
      <c r="T367" s="28">
        <f>((Scenario_DT!K$11*(IF(Scenario_DT!K$18=1,1,1+$M367/Scenario_DT!$C$19)*(1+$N367)^MAX(0,Scenario_DT!K$18-3))*(Scenario_DT!K$12+$O367)-Scenario_DT!K$13)*(1-Scenario_DT!K$14)+Scenario_DT!K$13-Scenario_DT!K$15)*Scenario_DT!K$16</f>
        <v>2168.2451414825646</v>
      </c>
      <c r="U367" s="28">
        <f>((Scenario_DT!L$11*(IF(Scenario_DT!L$18=1,1,1+$M367/Scenario_DT!$C$19)*(1+$N367)^MAX(0,Scenario_DT!L$18-3))*(Scenario_DT!L$12+$O367)-Scenario_DT!L$13)*(1-Scenario_DT!L$14)+Scenario_DT!L$13-Scenario_DT!L$15)*Scenario_DT!L$16</f>
        <v>2600.600503582069</v>
      </c>
      <c r="V367" s="28">
        <f>((Scenario_DT!M$11*(IF(Scenario_DT!M$18=1,1,1+$M367/Scenario_DT!$C$19)*(1+$N367)^MAX(0,Scenario_DT!M$18-3))*(Scenario_DT!M$12+$O367)-Scenario_DT!M$13)*(1-Scenario_DT!M$14)+Scenario_DT!M$13-Scenario_DT!M$15)*Scenario_DT!M$16</f>
        <v>2758.4404888556955</v>
      </c>
      <c r="W367" s="28">
        <f>((Scenario_DT!N$11*(IF(Scenario_DT!N$18=1,1,1+$M367/Scenario_DT!$C$19)*(1+$N367)^MAX(0,Scenario_DT!N$18-3))*(Scenario_DT!N$12+$O367)-Scenario_DT!N$13)*(1-Scenario_DT!N$14)+Scenario_DT!N$13-Scenario_DT!N$15)*Scenario_DT!N$16</f>
        <v>2925.8669888587433</v>
      </c>
      <c r="X367" s="28">
        <f>((Scenario_DT!O$11*(IF(Scenario_DT!O$18=1,1,1+$M367/Scenario_DT!$C$19)*(1+$N367)^MAX(0,Scenario_DT!O$18-3))*(Scenario_DT!O$12+$O367)-Scenario_DT!O$13)*(1-Scenario_DT!O$14)+Scenario_DT!O$13-Scenario_DT!O$15)*Scenario_DT!O$16</f>
        <v>3103.4653545967149</v>
      </c>
      <c r="Y367" s="28">
        <f>((Scenario_DT!P$11*(IF(Scenario_DT!P$18=1,1,1+$M367/Scenario_DT!$C$19)*(1+$N367)^MAX(0,Scenario_DT!P$18-3))*(Scenario_DT!P$12+$O367)-Scenario_DT!P$13)*(1-Scenario_DT!P$14)+Scenario_DT!P$13-Scenario_DT!P$15)*Scenario_DT!P$16</f>
        <v>3291.8566797575236</v>
      </c>
      <c r="Z367" s="28">
        <f>((Scenario_DT!Q$11*(IF(Scenario_DT!Q$18=1,1,1+$M367/Scenario_DT!$C$19)*(1+$N367)^MAX(0,Scenario_DT!Q$18-3))*(Scenario_DT!Q$12+$O367)-Scenario_DT!Q$13)*(1-Scenario_DT!Q$14)+Scenario_DT!Q$13-Scenario_DT!Q$15)*Scenario_DT!Q$16</f>
        <v>3491.6999819091075</v>
      </c>
      <c r="AA367" s="28">
        <f>((Scenario_DT!R$11*(IF(Scenario_DT!R$18=1,1,1+$M367/Scenario_DT!$C$19)*(1+$N367)^MAX(0,Scenario_DT!R$18-3))*(Scenario_DT!R$12+$O367)-Scenario_DT!R$13)*(1-Scenario_DT!R$14)+Scenario_DT!R$13-Scenario_DT!R$15)*Scenario_DT!R$16</f>
        <v>3703.6945167322606</v>
      </c>
      <c r="AB367" s="17">
        <f>(Scenario_DT!$R$11*(1+$M367/Scenario_DT!$C$19)*(1+$N367)^7*(Scenario_DT!$R$12+$O367)*(1+MIN(DCF_FCFF!$C$26+$Q367,(DCF_FCFF!$C$25+$P367)-0.02))*(1-DCF_FCFF!$C$27)*(1-DCF_FCFF!$C$28)/((DCF_FCFF!$C$25+$P367)-MIN(DCF_FCFF!$C$26+$Q367,(DCF_FCFF!$C$25+$P367)-0.02)))*(1+(DCF_FCFF!$C$25+$P367))^(-(Inputs!$C$9+9))</f>
        <v>25960.932252719627</v>
      </c>
      <c r="AC367" s="17">
        <f>SUMPRODUCT(R367:AA367*(1+(DCF_FCFF!$C$25+$P367))^(-Scenario_DT!$I$17:$R$17))+AB367</f>
        <v>42895.186058488878</v>
      </c>
      <c r="AD367" s="68">
        <f>((AC367-DCF_FCFF!$C$48)*(1-DCF_FCFF!$C$50)+DCF_FCFF!$C$57+DCF_FCFF!$C$58)/DCF_FCFF!$C$60</f>
        <v>315.29653177088932</v>
      </c>
      <c r="AE367" s="6"/>
      <c r="AF367" s="6"/>
      <c r="AG367" s="6"/>
    </row>
    <row r="368" spans="1:33" x14ac:dyDescent="0.3">
      <c r="A368" s="6"/>
      <c r="B368" s="72">
        <v>337</v>
      </c>
      <c r="C368" s="73">
        <v>0.74477092781675402</v>
      </c>
      <c r="D368" s="73">
        <v>0.82050594385860398</v>
      </c>
      <c r="E368" s="73">
        <v>0.74935286169900595</v>
      </c>
      <c r="F368" s="73">
        <v>0.28785487604815402</v>
      </c>
      <c r="G368" s="73">
        <v>0.11784390090583099</v>
      </c>
      <c r="H368" s="15">
        <f t="shared" si="51"/>
        <v>0.65812448382427124</v>
      </c>
      <c r="I368" s="15">
        <f t="shared" si="52"/>
        <v>0.9172949321589986</v>
      </c>
      <c r="J368" s="15">
        <f t="shared" si="53"/>
        <v>0.67245468919815099</v>
      </c>
      <c r="K368" s="15">
        <f t="shared" si="54"/>
        <v>-0.55966237285713105</v>
      </c>
      <c r="L368" s="15">
        <f t="shared" si="55"/>
        <v>-1.1858341512752946</v>
      </c>
      <c r="M368" s="18">
        <f t="shared" si="56"/>
        <v>1.3162489676485424E-2</v>
      </c>
      <c r="N368" s="18">
        <f t="shared" si="57"/>
        <v>8.9877036473964122E-3</v>
      </c>
      <c r="O368" s="18">
        <f t="shared" si="58"/>
        <v>8.0694562703778113E-3</v>
      </c>
      <c r="P368" s="18">
        <f t="shared" si="59"/>
        <v>-3.3579742371427864E-3</v>
      </c>
      <c r="Q368" s="18">
        <f t="shared" si="60"/>
        <v>-4.7433366051011783E-3</v>
      </c>
      <c r="R368" s="28">
        <f>((Scenario_DT!I$11*(IF(Scenario_DT!I$18=1,1,1+$M368/Scenario_DT!$C$19)*(1+$N368)^MAX(0,Scenario_DT!I$18-3))*(Scenario_DT!I$12+$O368)-Scenario_DT!I$13)*(1-Scenario_DT!I$14)+Scenario_DT!I$13-Scenario_DT!I$15)*Scenario_DT!I$16</f>
        <v>922.36160246935401</v>
      </c>
      <c r="S368" s="28">
        <f>((Scenario_DT!J$11*(IF(Scenario_DT!J$18=1,1,1+$M368/Scenario_DT!$C$19)*(1+$N368)^MAX(0,Scenario_DT!J$18-3))*(Scenario_DT!J$12+$O368)-Scenario_DT!J$13)*(1-Scenario_DT!J$14)+Scenario_DT!J$13-Scenario_DT!J$15)*Scenario_DT!J$16</f>
        <v>1888.8780344842048</v>
      </c>
      <c r="T368" s="28">
        <f>((Scenario_DT!K$11*(IF(Scenario_DT!K$18=1,1,1+$M368/Scenario_DT!$C$19)*(1+$N368)^MAX(0,Scenario_DT!K$18-3))*(Scenario_DT!K$12+$O368)-Scenario_DT!K$13)*(1-Scenario_DT!K$14)+Scenario_DT!K$13-Scenario_DT!K$15)*Scenario_DT!K$16</f>
        <v>2155.9798251742204</v>
      </c>
      <c r="U368" s="28">
        <f>((Scenario_DT!L$11*(IF(Scenario_DT!L$18=1,1,1+$M368/Scenario_DT!$C$19)*(1+$N368)^MAX(0,Scenario_DT!L$18-3))*(Scenario_DT!L$12+$O368)-Scenario_DT!L$13)*(1-Scenario_DT!L$14)+Scenario_DT!L$13-Scenario_DT!L$15)*Scenario_DT!L$16</f>
        <v>2583.8502444376004</v>
      </c>
      <c r="V368" s="28">
        <f>((Scenario_DT!M$11*(IF(Scenario_DT!M$18=1,1,1+$M368/Scenario_DT!$C$19)*(1+$N368)^MAX(0,Scenario_DT!M$18-3))*(Scenario_DT!M$12+$O368)-Scenario_DT!M$13)*(1-Scenario_DT!M$14)+Scenario_DT!M$13-Scenario_DT!M$15)*Scenario_DT!M$16</f>
        <v>2736.8646008850892</v>
      </c>
      <c r="W368" s="28">
        <f>((Scenario_DT!N$11*(IF(Scenario_DT!N$18=1,1,1+$M368/Scenario_DT!$C$19)*(1+$N368)^MAX(0,Scenario_DT!N$18-3))*(Scenario_DT!N$12+$O368)-Scenario_DT!N$13)*(1-Scenario_DT!N$14)+Scenario_DT!N$13-Scenario_DT!N$15)*Scenario_DT!N$16</f>
        <v>2898.9453998347603</v>
      </c>
      <c r="X368" s="28">
        <f>((Scenario_DT!O$11*(IF(Scenario_DT!O$18=1,1,1+$M368/Scenario_DT!$C$19)*(1+$N368)^MAX(0,Scenario_DT!O$18-3))*(Scenario_DT!O$12+$O368)-Scenario_DT!O$13)*(1-Scenario_DT!O$14)+Scenario_DT!O$13-Scenario_DT!O$15)*Scenario_DT!O$16</f>
        <v>3070.6328756523271</v>
      </c>
      <c r="Y368" s="28">
        <f>((Scenario_DT!P$11*(IF(Scenario_DT!P$18=1,1,1+$M368/Scenario_DT!$C$19)*(1+$N368)^MAX(0,Scenario_DT!P$18-3))*(Scenario_DT!P$12+$O368)-Scenario_DT!P$13)*(1-Scenario_DT!P$14)+Scenario_DT!P$13-Scenario_DT!P$15)*Scenario_DT!P$16</f>
        <v>3252.4994586910602</v>
      </c>
      <c r="Z368" s="28">
        <f>((Scenario_DT!Q$11*(IF(Scenario_DT!Q$18=1,1,1+$M368/Scenario_DT!$C$19)*(1+$N368)^MAX(0,Scenario_DT!Q$18-3))*(Scenario_DT!Q$12+$O368)-Scenario_DT!Q$13)*(1-Scenario_DT!Q$14)+Scenario_DT!Q$13-Scenario_DT!Q$15)*Scenario_DT!Q$16</f>
        <v>3445.1516929997219</v>
      </c>
      <c r="AA368" s="28">
        <f>((Scenario_DT!R$11*(IF(Scenario_DT!R$18=1,1,1+$M368/Scenario_DT!$C$19)*(1+$N368)^MAX(0,Scenario_DT!R$18-3))*(Scenario_DT!R$12+$O368)-Scenario_DT!R$13)*(1-Scenario_DT!R$14)+Scenario_DT!R$13-Scenario_DT!R$15)*Scenario_DT!R$16</f>
        <v>3649.2322681961459</v>
      </c>
      <c r="AB368" s="17">
        <f>(Scenario_DT!$R$11*(1+$M368/Scenario_DT!$C$19)*(1+$N368)^7*(Scenario_DT!$R$12+$O368)*(1+MIN(DCF_FCFF!$C$26+$Q368,(DCF_FCFF!$C$25+$P368)-0.02))*(1-DCF_FCFF!$C$27)*(1-DCF_FCFF!$C$28)/((DCF_FCFF!$C$25+$P368)-MIN(DCF_FCFF!$C$26+$Q368,(DCF_FCFF!$C$25+$P368)-0.02)))*(1+(DCF_FCFF!$C$25+$P368))^(-(Inputs!$C$9+9))</f>
        <v>30683.67185463661</v>
      </c>
      <c r="AC368" s="17">
        <f>SUMPRODUCT(R368:AA368*(1+(DCF_FCFF!$C$25+$P368))^(-Scenario_DT!$I$17:$R$17))+AB368</f>
        <v>48235.052995577658</v>
      </c>
      <c r="AD368" s="68">
        <f>((AC368-DCF_FCFF!$C$48)*(1-DCF_FCFF!$C$50)+DCF_FCFF!$C$57+DCF_FCFF!$C$58)/DCF_FCFF!$C$60</f>
        <v>366.55267817618142</v>
      </c>
      <c r="AE368" s="6"/>
      <c r="AF368" s="6"/>
      <c r="AG368" s="6"/>
    </row>
    <row r="369" spans="1:33" x14ac:dyDescent="0.3">
      <c r="A369" s="6"/>
      <c r="B369" s="72">
        <v>338</v>
      </c>
      <c r="C369" s="73">
        <v>0.23833852936205999</v>
      </c>
      <c r="D369" s="73">
        <v>0.50287493698035302</v>
      </c>
      <c r="E369" s="73">
        <v>0.50527692229309595</v>
      </c>
      <c r="F369" s="73">
        <v>0.58264434931453801</v>
      </c>
      <c r="G369" s="73">
        <v>0.39510183754789102</v>
      </c>
      <c r="H369" s="15">
        <f t="shared" si="51"/>
        <v>-0.71165722980591772</v>
      </c>
      <c r="I369" s="15">
        <f t="shared" si="52"/>
        <v>7.206460697860839E-3</v>
      </c>
      <c r="J369" s="15">
        <f t="shared" si="53"/>
        <v>1.3227668356304364E-2</v>
      </c>
      <c r="K369" s="15">
        <f t="shared" si="54"/>
        <v>0.20866303156167393</v>
      </c>
      <c r="L369" s="15">
        <f t="shared" si="55"/>
        <v>-0.26604613922313447</v>
      </c>
      <c r="M369" s="18">
        <f t="shared" si="56"/>
        <v>-1.4233144596118354E-2</v>
      </c>
      <c r="N369" s="18">
        <f t="shared" si="57"/>
        <v>-2.7967010949378982E-3</v>
      </c>
      <c r="O369" s="18">
        <f t="shared" si="58"/>
        <v>1.5873202027565238E-4</v>
      </c>
      <c r="P369" s="18">
        <f t="shared" si="59"/>
        <v>1.2519781893700437E-3</v>
      </c>
      <c r="Q369" s="18">
        <f t="shared" si="60"/>
        <v>-1.0641845568925379E-3</v>
      </c>
      <c r="R369" s="28">
        <f>((Scenario_DT!I$11*(IF(Scenario_DT!I$18=1,1,1+$M369/Scenario_DT!$C$19)*(1+$N369)^MAX(0,Scenario_DT!I$18-3))*(Scenario_DT!I$12+$O369)-Scenario_DT!I$13)*(1-Scenario_DT!I$14)+Scenario_DT!I$13-Scenario_DT!I$15)*Scenario_DT!I$16</f>
        <v>911.2083326007197</v>
      </c>
      <c r="S369" s="28">
        <f>((Scenario_DT!J$11*(IF(Scenario_DT!J$18=1,1,1+$M369/Scenario_DT!$C$19)*(1+$N369)^MAX(0,Scenario_DT!J$18-3))*(Scenario_DT!J$12+$O369)-Scenario_DT!J$13)*(1-Scenario_DT!J$14)+Scenario_DT!J$13-Scenario_DT!J$15)*Scenario_DT!J$16</f>
        <v>1798.2883117298475</v>
      </c>
      <c r="T369" s="28">
        <f>((Scenario_DT!K$11*(IF(Scenario_DT!K$18=1,1,1+$M369/Scenario_DT!$C$19)*(1+$N369)^MAX(0,Scenario_DT!K$18-3))*(Scenario_DT!K$12+$O369)-Scenario_DT!K$13)*(1-Scenario_DT!K$14)+Scenario_DT!K$13-Scenario_DT!K$15)*Scenario_DT!K$16</f>
        <v>2061.1676902134923</v>
      </c>
      <c r="U369" s="28">
        <f>((Scenario_DT!L$11*(IF(Scenario_DT!L$18=1,1,1+$M369/Scenario_DT!$C$19)*(1+$N369)^MAX(0,Scenario_DT!L$18-3))*(Scenario_DT!L$12+$O369)-Scenario_DT!L$13)*(1-Scenario_DT!L$14)+Scenario_DT!L$13-Scenario_DT!L$15)*Scenario_DT!L$16</f>
        <v>2453.0874437050002</v>
      </c>
      <c r="V369" s="28">
        <f>((Scenario_DT!M$11*(IF(Scenario_DT!M$18=1,1,1+$M369/Scenario_DT!$C$19)*(1+$N369)^MAX(0,Scenario_DT!M$18-3))*(Scenario_DT!M$12+$O369)-Scenario_DT!M$13)*(1-Scenario_DT!M$14)+Scenario_DT!M$13-Scenario_DT!M$15)*Scenario_DT!M$16</f>
        <v>2567.7672524502882</v>
      </c>
      <c r="W369" s="28">
        <f>((Scenario_DT!N$11*(IF(Scenario_DT!N$18=1,1,1+$M369/Scenario_DT!$C$19)*(1+$N369)^MAX(0,Scenario_DT!N$18-3))*(Scenario_DT!N$12+$O369)-Scenario_DT!N$13)*(1-Scenario_DT!N$14)+Scenario_DT!N$13-Scenario_DT!N$15)*Scenario_DT!N$16</f>
        <v>2687.7966379614768</v>
      </c>
      <c r="X369" s="28">
        <f>((Scenario_DT!O$11*(IF(Scenario_DT!O$18=1,1,1+$M369/Scenario_DT!$C$19)*(1+$N369)^MAX(0,Scenario_DT!O$18-3))*(Scenario_DT!O$12+$O369)-Scenario_DT!O$13)*(1-Scenario_DT!O$14)+Scenario_DT!O$13-Scenario_DT!O$15)*Scenario_DT!O$16</f>
        <v>2813.4272201652216</v>
      </c>
      <c r="Y369" s="28">
        <f>((Scenario_DT!P$11*(IF(Scenario_DT!P$18=1,1,1+$M369/Scenario_DT!$C$19)*(1+$N369)^MAX(0,Scenario_DT!P$18-3))*(Scenario_DT!P$12+$O369)-Scenario_DT!P$13)*(1-Scenario_DT!P$14)+Scenario_DT!P$13-Scenario_DT!P$15)*Scenario_DT!P$16</f>
        <v>2944.9224746237937</v>
      </c>
      <c r="Z369" s="28">
        <f>((Scenario_DT!Q$11*(IF(Scenario_DT!Q$18=1,1,1+$M369/Scenario_DT!$C$19)*(1+$N369)^MAX(0,Scenario_DT!Q$18-3))*(Scenario_DT!Q$12+$O369)-Scenario_DT!Q$13)*(1-Scenario_DT!Q$14)+Scenario_DT!Q$13-Scenario_DT!Q$15)*Scenario_DT!Q$16</f>
        <v>3082.5582913298617</v>
      </c>
      <c r="AA369" s="28">
        <f>((Scenario_DT!R$11*(IF(Scenario_DT!R$18=1,1,1+$M369/Scenario_DT!$C$19)*(1+$N369)^MAX(0,Scenario_DT!R$18-3))*(Scenario_DT!R$12+$O369)-Scenario_DT!R$13)*(1-Scenario_DT!R$14)+Scenario_DT!R$13-Scenario_DT!R$15)*Scenario_DT!R$16</f>
        <v>3226.6235598403091</v>
      </c>
      <c r="AB369" s="17">
        <f>(Scenario_DT!$R$11*(1+$M369/Scenario_DT!$C$19)*(1+$N369)^7*(Scenario_DT!$R$12+$O369)*(1+MIN(DCF_FCFF!$C$26+$Q369,(DCF_FCFF!$C$25+$P369)-0.02))*(1-DCF_FCFF!$C$27)*(1-DCF_FCFF!$C$28)/((DCF_FCFF!$C$25+$P369)-MIN(DCF_FCFF!$C$26+$Q369,(DCF_FCFF!$C$25+$P369)-0.02)))*(1+(DCF_FCFF!$C$25+$P369))^(-(Inputs!$C$9+9))</f>
        <v>25720.937569186248</v>
      </c>
      <c r="AC369" s="17">
        <f>SUMPRODUCT(R369:AA369*(1+(DCF_FCFF!$C$25+$P369))^(-Scenario_DT!$I$17:$R$17))+AB369</f>
        <v>41706.333178827117</v>
      </c>
      <c r="AD369" s="68">
        <f>((AC369-DCF_FCFF!$C$48)*(1-DCF_FCFF!$C$50)+DCF_FCFF!$C$57+DCF_FCFF!$C$58)/DCF_FCFF!$C$60</f>
        <v>303.88500823065715</v>
      </c>
      <c r="AE369" s="6"/>
      <c r="AF369" s="6"/>
      <c r="AG369" s="6"/>
    </row>
    <row r="370" spans="1:33" x14ac:dyDescent="0.3">
      <c r="A370" s="6"/>
      <c r="B370" s="72">
        <v>339</v>
      </c>
      <c r="C370" s="73">
        <v>0.78689138145002802</v>
      </c>
      <c r="D370" s="73">
        <v>0.91315375034720803</v>
      </c>
      <c r="E370" s="73">
        <v>0.24672505347947099</v>
      </c>
      <c r="F370" s="73">
        <v>0.736523217701888</v>
      </c>
      <c r="G370" s="73">
        <v>0.677971852545045</v>
      </c>
      <c r="H370" s="15">
        <f t="shared" si="51"/>
        <v>0.79568140584719094</v>
      </c>
      <c r="I370" s="15">
        <f t="shared" si="52"/>
        <v>1.3604343983978702</v>
      </c>
      <c r="J370" s="15">
        <f t="shared" si="53"/>
        <v>-0.68483173529404084</v>
      </c>
      <c r="K370" s="15">
        <f t="shared" si="54"/>
        <v>0.63266326358881686</v>
      </c>
      <c r="L370" s="15">
        <f t="shared" si="55"/>
        <v>0.46203489760721805</v>
      </c>
      <c r="M370" s="18">
        <f t="shared" si="56"/>
        <v>1.5913628116943818E-2</v>
      </c>
      <c r="N370" s="18">
        <f t="shared" si="57"/>
        <v>1.2608091616946806E-2</v>
      </c>
      <c r="O370" s="18">
        <f t="shared" si="58"/>
        <v>-8.2179808235284899E-3</v>
      </c>
      <c r="P370" s="18">
        <f t="shared" si="59"/>
        <v>3.7959795815329014E-3</v>
      </c>
      <c r="Q370" s="18">
        <f t="shared" si="60"/>
        <v>1.8481395904288722E-3</v>
      </c>
      <c r="R370" s="28">
        <f>((Scenario_DT!I$11*(IF(Scenario_DT!I$18=1,1,1+$M370/Scenario_DT!$C$19)*(1+$N370)^MAX(0,Scenario_DT!I$18-3))*(Scenario_DT!I$12+$O370)-Scenario_DT!I$13)*(1-Scenario_DT!I$14)+Scenario_DT!I$13-Scenario_DT!I$15)*Scenario_DT!I$16</f>
        <v>899.3980689630007</v>
      </c>
      <c r="S370" s="28">
        <f>((Scenario_DT!J$11*(IF(Scenario_DT!J$18=1,1,1+$M370/Scenario_DT!$C$19)*(1+$N370)^MAX(0,Scenario_DT!J$18-3))*(Scenario_DT!J$12+$O370)-Scenario_DT!J$13)*(1-Scenario_DT!J$14)+Scenario_DT!J$13-Scenario_DT!J$15)*Scenario_DT!J$16</f>
        <v>1844.0706958579044</v>
      </c>
      <c r="T370" s="28">
        <f>((Scenario_DT!K$11*(IF(Scenario_DT!K$18=1,1,1+$M370/Scenario_DT!$C$19)*(1+$N370)^MAX(0,Scenario_DT!K$18-3))*(Scenario_DT!K$12+$O370)-Scenario_DT!K$13)*(1-Scenario_DT!K$14)+Scenario_DT!K$13-Scenario_DT!K$15)*Scenario_DT!K$16</f>
        <v>2109.6382869184731</v>
      </c>
      <c r="U370" s="28">
        <f>((Scenario_DT!L$11*(IF(Scenario_DT!L$18=1,1,1+$M370/Scenario_DT!$C$19)*(1+$N370)^MAX(0,Scenario_DT!L$18-3))*(Scenario_DT!L$12+$O370)-Scenario_DT!L$13)*(1-Scenario_DT!L$14)+Scenario_DT!L$13-Scenario_DT!L$15)*Scenario_DT!L$16</f>
        <v>2543.3572532121157</v>
      </c>
      <c r="V370" s="28">
        <f>((Scenario_DT!M$11*(IF(Scenario_DT!M$18=1,1,1+$M370/Scenario_DT!$C$19)*(1+$N370)^MAX(0,Scenario_DT!M$18-3))*(Scenario_DT!M$12+$O370)-Scenario_DT!M$13)*(1-Scenario_DT!M$14)+Scenario_DT!M$13-Scenario_DT!M$15)*Scenario_DT!M$16</f>
        <v>2703.69730943591</v>
      </c>
      <c r="W370" s="28">
        <f>((Scenario_DT!N$11*(IF(Scenario_DT!N$18=1,1,1+$M370/Scenario_DT!$C$19)*(1+$N370)^MAX(0,Scenario_DT!N$18-3))*(Scenario_DT!N$12+$O370)-Scenario_DT!N$13)*(1-Scenario_DT!N$14)+Scenario_DT!N$13-Scenario_DT!N$15)*Scenario_DT!N$16</f>
        <v>2874.1546941644142</v>
      </c>
      <c r="X370" s="28">
        <f>((Scenario_DT!O$11*(IF(Scenario_DT!O$18=1,1,1+$M370/Scenario_DT!$C$19)*(1+$N370)^MAX(0,Scenario_DT!O$18-3))*(Scenario_DT!O$12+$O370)-Scenario_DT!O$13)*(1-Scenario_DT!O$14)+Scenario_DT!O$13-Scenario_DT!O$15)*Scenario_DT!O$16</f>
        <v>3055.3710246219885</v>
      </c>
      <c r="Y370" s="28">
        <f>((Scenario_DT!P$11*(IF(Scenario_DT!P$18=1,1,1+$M370/Scenario_DT!$C$19)*(1+$N370)^MAX(0,Scenario_DT!P$18-3))*(Scenario_DT!P$12+$O370)-Scenario_DT!P$13)*(1-Scenario_DT!P$14)+Scenario_DT!P$13-Scenario_DT!P$15)*Scenario_DT!P$16</f>
        <v>3248.0286012441015</v>
      </c>
      <c r="Z370" s="28">
        <f>((Scenario_DT!Q$11*(IF(Scenario_DT!Q$18=1,1,1+$M370/Scenario_DT!$C$19)*(1+$N370)^MAX(0,Scenario_DT!Q$18-3))*(Scenario_DT!Q$12+$O370)-Scenario_DT!Q$13)*(1-Scenario_DT!Q$14)+Scenario_DT!Q$13-Scenario_DT!Q$15)*Scenario_DT!Q$16</f>
        <v>3452.8529854913927</v>
      </c>
      <c r="AA370" s="28">
        <f>((Scenario_DT!R$11*(IF(Scenario_DT!R$18=1,1,1+$M370/Scenario_DT!$C$19)*(1+$N370)^MAX(0,Scenario_DT!R$18-3))*(Scenario_DT!R$12+$O370)-Scenario_DT!R$13)*(1-Scenario_DT!R$14)+Scenario_DT!R$13-Scenario_DT!R$15)*Scenario_DT!R$16</f>
        <v>3670.6157409072662</v>
      </c>
      <c r="AB370" s="17">
        <f>(Scenario_DT!$R$11*(1+$M370/Scenario_DT!$C$19)*(1+$N370)^7*(Scenario_DT!$R$12+$O370)*(1+MIN(DCF_FCFF!$C$26+$Q370,(DCF_FCFF!$C$25+$P370)-0.02))*(1-DCF_FCFF!$C$27)*(1-DCF_FCFF!$C$28)/((DCF_FCFF!$C$25+$P370)-MIN(DCF_FCFF!$C$26+$Q370,(DCF_FCFF!$C$25+$P370)-0.02)))*(1+(DCF_FCFF!$C$25+$P370))^(-(Inputs!$C$9+9))</f>
        <v>28874.085006623984</v>
      </c>
      <c r="AC370" s="17">
        <f>SUMPRODUCT(R370:AA370*(1+(DCF_FCFF!$C$25+$P370))^(-Scenario_DT!$I$17:$R$17))+AB370</f>
        <v>45726.473108337173</v>
      </c>
      <c r="AD370" s="68">
        <f>((AC370-DCF_FCFF!$C$48)*(1-DCF_FCFF!$C$50)+DCF_FCFF!$C$57+DCF_FCFF!$C$58)/DCF_FCFF!$C$60</f>
        <v>342.47340064274732</v>
      </c>
      <c r="AE370" s="6"/>
      <c r="AF370" s="6"/>
      <c r="AG370" s="6"/>
    </row>
    <row r="371" spans="1:33" x14ac:dyDescent="0.3">
      <c r="A371" s="6"/>
      <c r="B371" s="72">
        <v>340</v>
      </c>
      <c r="C371" s="73">
        <v>0.52309049927931495</v>
      </c>
      <c r="D371" s="73">
        <v>0.18853023387416001</v>
      </c>
      <c r="E371" s="73">
        <v>0.79523225858270996</v>
      </c>
      <c r="F371" s="73">
        <v>0.96062628562883301</v>
      </c>
      <c r="G371" s="73">
        <v>0.72183633223361299</v>
      </c>
      <c r="H371" s="15">
        <f t="shared" si="51"/>
        <v>5.7911652383265066E-2</v>
      </c>
      <c r="I371" s="15">
        <f t="shared" si="52"/>
        <v>-0.88332543017949328</v>
      </c>
      <c r="J371" s="15">
        <f t="shared" si="53"/>
        <v>0.82471135622146952</v>
      </c>
      <c r="K371" s="15">
        <f t="shared" si="54"/>
        <v>1.7580004735679213</v>
      </c>
      <c r="L371" s="15">
        <f t="shared" si="55"/>
        <v>0.5883053793496853</v>
      </c>
      <c r="M371" s="18">
        <f t="shared" si="56"/>
        <v>1.1582330476653014E-3</v>
      </c>
      <c r="N371" s="18">
        <f t="shared" si="57"/>
        <v>-5.8882114892210092E-3</v>
      </c>
      <c r="O371" s="18">
        <f t="shared" si="58"/>
        <v>9.8965362746576344E-3</v>
      </c>
      <c r="P371" s="18">
        <f t="shared" si="59"/>
        <v>1.0548002841407528E-2</v>
      </c>
      <c r="Q371" s="18">
        <f t="shared" si="60"/>
        <v>2.3532215173987414E-3</v>
      </c>
      <c r="R371" s="28">
        <f>((Scenario_DT!I$11*(IF(Scenario_DT!I$18=1,1,1+$M371/Scenario_DT!$C$19)*(1+$N371)^MAX(0,Scenario_DT!I$18-3))*(Scenario_DT!I$12+$O371)-Scenario_DT!I$13)*(1-Scenario_DT!I$14)+Scenario_DT!I$13-Scenario_DT!I$15)*Scenario_DT!I$16</f>
        <v>924.93758865153643</v>
      </c>
      <c r="S371" s="28">
        <f>((Scenario_DT!J$11*(IF(Scenario_DT!J$18=1,1,1+$M371/Scenario_DT!$C$19)*(1+$N371)^MAX(0,Scenario_DT!J$18-3))*(Scenario_DT!J$12+$O371)-Scenario_DT!J$13)*(1-Scenario_DT!J$14)+Scenario_DT!J$13-Scenario_DT!J$15)*Scenario_DT!J$16</f>
        <v>1865.4777765491999</v>
      </c>
      <c r="T371" s="28">
        <f>((Scenario_DT!K$11*(IF(Scenario_DT!K$18=1,1,1+$M371/Scenario_DT!$C$19)*(1+$N371)^MAX(0,Scenario_DT!K$18-3))*(Scenario_DT!K$12+$O371)-Scenario_DT!K$13)*(1-Scenario_DT!K$14)+Scenario_DT!K$13-Scenario_DT!K$15)*Scenario_DT!K$16</f>
        <v>2131.321324081774</v>
      </c>
      <c r="U371" s="28">
        <f>((Scenario_DT!L$11*(IF(Scenario_DT!L$18=1,1,1+$M371/Scenario_DT!$C$19)*(1+$N371)^MAX(0,Scenario_DT!L$18-3))*(Scenario_DT!L$12+$O371)-Scenario_DT!L$13)*(1-Scenario_DT!L$14)+Scenario_DT!L$13-Scenario_DT!L$15)*Scenario_DT!L$16</f>
        <v>2519.4790327995274</v>
      </c>
      <c r="V371" s="28">
        <f>((Scenario_DT!M$11*(IF(Scenario_DT!M$18=1,1,1+$M371/Scenario_DT!$C$19)*(1+$N371)^MAX(0,Scenario_DT!M$18-3))*(Scenario_DT!M$12+$O371)-Scenario_DT!M$13)*(1-Scenario_DT!M$14)+Scenario_DT!M$13-Scenario_DT!M$15)*Scenario_DT!M$16</f>
        <v>2629.0502369908409</v>
      </c>
      <c r="W371" s="28">
        <f>((Scenario_DT!N$11*(IF(Scenario_DT!N$18=1,1,1+$M371/Scenario_DT!$C$19)*(1+$N371)^MAX(0,Scenario_DT!N$18-3))*(Scenario_DT!N$12+$O371)-Scenario_DT!N$13)*(1-Scenario_DT!N$14)+Scenario_DT!N$13-Scenario_DT!N$15)*Scenario_DT!N$16</f>
        <v>2743.3698310913037</v>
      </c>
      <c r="X371" s="28">
        <f>((Scenario_DT!O$11*(IF(Scenario_DT!O$18=1,1,1+$M371/Scenario_DT!$C$19)*(1+$N371)^MAX(0,Scenario_DT!O$18-3))*(Scenario_DT!O$12+$O371)-Scenario_DT!O$13)*(1-Scenario_DT!O$14)+Scenario_DT!O$13-Scenario_DT!O$15)*Scenario_DT!O$16</f>
        <v>2862.6453336119212</v>
      </c>
      <c r="Y371" s="28">
        <f>((Scenario_DT!P$11*(IF(Scenario_DT!P$18=1,1,1+$M371/Scenario_DT!$C$19)*(1+$N371)^MAX(0,Scenario_DT!P$18-3))*(Scenario_DT!P$12+$O371)-Scenario_DT!P$13)*(1-Scenario_DT!P$14)+Scenario_DT!P$13-Scenario_DT!P$15)*Scenario_DT!P$16</f>
        <v>2987.0933504916161</v>
      </c>
      <c r="Z371" s="28">
        <f>((Scenario_DT!Q$11*(IF(Scenario_DT!Q$18=1,1,1+$M371/Scenario_DT!$C$19)*(1+$N371)^MAX(0,Scenario_DT!Q$18-3))*(Scenario_DT!Q$12+$O371)-Scenario_DT!Q$13)*(1-Scenario_DT!Q$14)+Scenario_DT!Q$13-Scenario_DT!Q$15)*Scenario_DT!Q$16</f>
        <v>3116.9399732608031</v>
      </c>
      <c r="AA371" s="28">
        <f>((Scenario_DT!R$11*(IF(Scenario_DT!R$18=1,1,1+$M371/Scenario_DT!$C$19)*(1+$N371)^MAX(0,Scenario_DT!R$18-3))*(Scenario_DT!R$12+$O371)-Scenario_DT!R$13)*(1-Scenario_DT!R$14)+Scenario_DT!R$13-Scenario_DT!R$15)*Scenario_DT!R$16</f>
        <v>3252.4211946542778</v>
      </c>
      <c r="AB371" s="17">
        <f>(Scenario_DT!$R$11*(1+$M371/Scenario_DT!$C$19)*(1+$N371)^7*(Scenario_DT!$R$12+$O371)*(1+MIN(DCF_FCFF!$C$26+$Q371,(DCF_FCFF!$C$25+$P371)-0.02))*(1-DCF_FCFF!$C$27)*(1-DCF_FCFF!$C$28)/((DCF_FCFF!$C$25+$P371)-MIN(DCF_FCFF!$C$26+$Q371,(DCF_FCFF!$C$25+$P371)-0.02)))*(1+(DCF_FCFF!$C$25+$P371))^(-(Inputs!$C$9+9))</f>
        <v>21594.618772815473</v>
      </c>
      <c r="AC371" s="17">
        <f>SUMPRODUCT(R371:AA371*(1+(DCF_FCFF!$C$25+$P371))^(-Scenario_DT!$I$17:$R$17))+AB371</f>
        <v>37310.339062731335</v>
      </c>
      <c r="AD371" s="68">
        <f>((AC371-DCF_FCFF!$C$48)*(1-DCF_FCFF!$C$50)+DCF_FCFF!$C$57+DCF_FCFF!$C$58)/DCF_FCFF!$C$60</f>
        <v>261.68887850195455</v>
      </c>
      <c r="AE371" s="6"/>
      <c r="AF371" s="6"/>
      <c r="AG371" s="6"/>
    </row>
    <row r="372" spans="1:33" x14ac:dyDescent="0.3">
      <c r="A372" s="6"/>
      <c r="B372" s="72">
        <v>341</v>
      </c>
      <c r="C372" s="73">
        <v>0.91785999662573403</v>
      </c>
      <c r="D372" s="73">
        <v>0.98418526494799996</v>
      </c>
      <c r="E372" s="73">
        <v>0.35205067423923803</v>
      </c>
      <c r="F372" s="73">
        <v>0.63822355292633703</v>
      </c>
      <c r="G372" s="73">
        <v>0.47393273763807803</v>
      </c>
      <c r="H372" s="15">
        <f t="shared" si="51"/>
        <v>1.3908200328852585</v>
      </c>
      <c r="I372" s="15">
        <f t="shared" si="52"/>
        <v>2.149062194437219</v>
      </c>
      <c r="J372" s="15">
        <f t="shared" si="53"/>
        <v>-0.37978994277944084</v>
      </c>
      <c r="K372" s="15">
        <f t="shared" si="54"/>
        <v>0.35371444752138398</v>
      </c>
      <c r="L372" s="15">
        <f t="shared" si="55"/>
        <v>-6.5387501331247419E-2</v>
      </c>
      <c r="M372" s="18">
        <f t="shared" si="56"/>
        <v>2.781640065770517E-2</v>
      </c>
      <c r="N372" s="18">
        <f t="shared" si="57"/>
        <v>2.0452419769103947E-2</v>
      </c>
      <c r="O372" s="18">
        <f t="shared" si="58"/>
        <v>-4.5574793133532901E-3</v>
      </c>
      <c r="P372" s="18">
        <f t="shared" si="59"/>
        <v>2.1222866851283041E-3</v>
      </c>
      <c r="Q372" s="18">
        <f t="shared" si="60"/>
        <v>-2.6155000532498968E-4</v>
      </c>
      <c r="R372" s="28">
        <f>((Scenario_DT!I$11*(IF(Scenario_DT!I$18=1,1,1+$M372/Scenario_DT!$C$19)*(1+$N372)^MAX(0,Scenario_DT!I$18-3))*(Scenario_DT!I$12+$O372)-Scenario_DT!I$13)*(1-Scenario_DT!I$14)+Scenario_DT!I$13-Scenario_DT!I$15)*Scenario_DT!I$16</f>
        <v>904.55898216219362</v>
      </c>
      <c r="S372" s="28">
        <f>((Scenario_DT!J$11*(IF(Scenario_DT!J$18=1,1,1+$M372/Scenario_DT!$C$19)*(1+$N372)^MAX(0,Scenario_DT!J$18-3))*(Scenario_DT!J$12+$O372)-Scenario_DT!J$13)*(1-Scenario_DT!J$14)+Scenario_DT!J$13-Scenario_DT!J$15)*Scenario_DT!J$16</f>
        <v>1883.9818791517646</v>
      </c>
      <c r="T372" s="28">
        <f>((Scenario_DT!K$11*(IF(Scenario_DT!K$18=1,1,1+$M372/Scenario_DT!$C$19)*(1+$N372)^MAX(0,Scenario_DT!K$18-3))*(Scenario_DT!K$12+$O372)-Scenario_DT!K$13)*(1-Scenario_DT!K$14)+Scenario_DT!K$13-Scenario_DT!K$15)*Scenario_DT!K$16</f>
        <v>2151.4040652009398</v>
      </c>
      <c r="U372" s="28">
        <f>((Scenario_DT!L$11*(IF(Scenario_DT!L$18=1,1,1+$M372/Scenario_DT!$C$19)*(1+$N372)^MAX(0,Scenario_DT!L$18-3))*(Scenario_DT!L$12+$O372)-Scenario_DT!L$13)*(1-Scenario_DT!L$14)+Scenario_DT!L$13-Scenario_DT!L$15)*Scenario_DT!L$16</f>
        <v>2608.4434206338574</v>
      </c>
      <c r="V372" s="28">
        <f>((Scenario_DT!M$11*(IF(Scenario_DT!M$18=1,1,1+$M372/Scenario_DT!$C$19)*(1+$N372)^MAX(0,Scenario_DT!M$18-3))*(Scenario_DT!M$12+$O372)-Scenario_DT!M$13)*(1-Scenario_DT!M$14)+Scenario_DT!M$13-Scenario_DT!M$15)*Scenario_DT!M$16</f>
        <v>2794.5229793704457</v>
      </c>
      <c r="W372" s="28">
        <f>((Scenario_DT!N$11*(IF(Scenario_DT!N$18=1,1,1+$M372/Scenario_DT!$C$19)*(1+$N372)^MAX(0,Scenario_DT!N$18-3))*(Scenario_DT!N$12+$O372)-Scenario_DT!N$13)*(1-Scenario_DT!N$14)+Scenario_DT!N$13-Scenario_DT!N$15)*Scenario_DT!N$16</f>
        <v>2993.8931382441401</v>
      </c>
      <c r="X372" s="28">
        <f>((Scenario_DT!O$11*(IF(Scenario_DT!O$18=1,1,1+$M372/Scenario_DT!$C$19)*(1+$N372)^MAX(0,Scenario_DT!O$18-3))*(Scenario_DT!O$12+$O372)-Scenario_DT!O$13)*(1-Scenario_DT!O$14)+Scenario_DT!O$13-Scenario_DT!O$15)*Scenario_DT!O$16</f>
        <v>3207.5066552400963</v>
      </c>
      <c r="Y372" s="28">
        <f>((Scenario_DT!P$11*(IF(Scenario_DT!P$18=1,1,1+$M372/Scenario_DT!$C$19)*(1+$N372)^MAX(0,Scenario_DT!P$18-3))*(Scenario_DT!P$12+$O372)-Scenario_DT!P$13)*(1-Scenario_DT!P$14)+Scenario_DT!P$13-Scenario_DT!P$15)*Scenario_DT!P$16</f>
        <v>3436.3845433213787</v>
      </c>
      <c r="Z372" s="28">
        <f>((Scenario_DT!Q$11*(IF(Scenario_DT!Q$18=1,1,1+$M372/Scenario_DT!$C$19)*(1+$N372)^MAX(0,Scenario_DT!Q$18-3))*(Scenario_DT!Q$12+$O372)-Scenario_DT!Q$13)*(1-Scenario_DT!Q$14)+Scenario_DT!Q$13-Scenario_DT!Q$15)*Scenario_DT!Q$16</f>
        <v>3681.6209561850869</v>
      </c>
      <c r="AA372" s="28">
        <f>((Scenario_DT!R$11*(IF(Scenario_DT!R$18=1,1,1+$M372/Scenario_DT!$C$19)*(1+$N372)^MAX(0,Scenario_DT!R$18-3))*(Scenario_DT!R$12+$O372)-Scenario_DT!R$13)*(1-Scenario_DT!R$14)+Scenario_DT!R$13-Scenario_DT!R$15)*Scenario_DT!R$16</f>
        <v>3944.3884235493465</v>
      </c>
      <c r="AB372" s="17">
        <f>(Scenario_DT!$R$11*(1+$M372/Scenario_DT!$C$19)*(1+$N372)^7*(Scenario_DT!$R$12+$O372)*(1+MIN(DCF_FCFF!$C$26+$Q372,(DCF_FCFF!$C$25+$P372)-0.02))*(1-DCF_FCFF!$C$27)*(1-DCF_FCFF!$C$28)/((DCF_FCFF!$C$25+$P372)-MIN(DCF_FCFF!$C$26+$Q372,(DCF_FCFF!$C$25+$P372)-0.02)))*(1+(DCF_FCFF!$C$25+$P372))^(-(Inputs!$C$9+9))</f>
        <v>31141.02885416344</v>
      </c>
      <c r="AC372" s="17">
        <f>SUMPRODUCT(R372:AA372*(1+(DCF_FCFF!$C$25+$P372))^(-Scenario_DT!$I$17:$R$17))+AB372</f>
        <v>48810.285642752242</v>
      </c>
      <c r="AD372" s="68">
        <f>((AC372-DCF_FCFF!$C$48)*(1-DCF_FCFF!$C$50)+DCF_FCFF!$C$57+DCF_FCFF!$C$58)/DCF_FCFF!$C$60</f>
        <v>372.07420317447259</v>
      </c>
      <c r="AE372" s="6"/>
      <c r="AF372" s="6"/>
      <c r="AG372" s="6"/>
    </row>
    <row r="373" spans="1:33" x14ac:dyDescent="0.3">
      <c r="A373" s="6"/>
      <c r="B373" s="72">
        <v>342</v>
      </c>
      <c r="C373" s="73">
        <v>0.98662874686322999</v>
      </c>
      <c r="D373" s="73">
        <v>9.3807824007724902E-2</v>
      </c>
      <c r="E373" s="73">
        <v>0.412374914297225</v>
      </c>
      <c r="F373" s="73">
        <v>0.87553904452723597</v>
      </c>
      <c r="G373" s="73">
        <v>0.284051310526515</v>
      </c>
      <c r="H373" s="15">
        <f t="shared" si="51"/>
        <v>2.2152558806343055</v>
      </c>
      <c r="I373" s="15">
        <f t="shared" si="52"/>
        <v>-1.3176655013890215</v>
      </c>
      <c r="J373" s="15">
        <f t="shared" si="53"/>
        <v>-0.2214400273521541</v>
      </c>
      <c r="K373" s="15">
        <f t="shared" si="54"/>
        <v>1.1529719181488665</v>
      </c>
      <c r="L373" s="15">
        <f t="shared" si="55"/>
        <v>-0.57084809035624262</v>
      </c>
      <c r="M373" s="18">
        <f t="shared" si="56"/>
        <v>4.4305117612686108E-2</v>
      </c>
      <c r="N373" s="18">
        <f t="shared" si="57"/>
        <v>-2.6803086060879445E-4</v>
      </c>
      <c r="O373" s="18">
        <f t="shared" si="58"/>
        <v>-2.657280328225849E-3</v>
      </c>
      <c r="P373" s="18">
        <f t="shared" si="59"/>
        <v>6.9178315088931986E-3</v>
      </c>
      <c r="Q373" s="18">
        <f t="shared" si="60"/>
        <v>-2.2833923614249707E-3</v>
      </c>
      <c r="R373" s="28">
        <f>((Scenario_DT!I$11*(IF(Scenario_DT!I$18=1,1,1+$M373/Scenario_DT!$C$19)*(1+$N373)^MAX(0,Scenario_DT!I$18-3))*(Scenario_DT!I$12+$O373)-Scenario_DT!I$13)*(1-Scenario_DT!I$14)+Scenario_DT!I$13-Scenario_DT!I$15)*Scenario_DT!I$16</f>
        <v>907.2380582385664</v>
      </c>
      <c r="S373" s="28">
        <f>((Scenario_DT!J$11*(IF(Scenario_DT!J$18=1,1,1+$M373/Scenario_DT!$C$19)*(1+$N373)^MAX(0,Scenario_DT!J$18-3))*(Scenario_DT!J$12+$O373)-Scenario_DT!J$13)*(1-Scenario_DT!J$14)+Scenario_DT!J$13-Scenario_DT!J$15)*Scenario_DT!J$16</f>
        <v>1929.428273939302</v>
      </c>
      <c r="T373" s="28">
        <f>((Scenario_DT!K$11*(IF(Scenario_DT!K$18=1,1,1+$M373/Scenario_DT!$C$19)*(1+$N373)^MAX(0,Scenario_DT!K$18-3))*(Scenario_DT!K$12+$O373)-Scenario_DT!K$13)*(1-Scenario_DT!K$14)+Scenario_DT!K$13-Scenario_DT!K$15)*Scenario_DT!K$16</f>
        <v>2199.0620668679976</v>
      </c>
      <c r="U373" s="28">
        <f>((Scenario_DT!L$11*(IF(Scenario_DT!L$18=1,1,1+$M373/Scenario_DT!$C$19)*(1+$N373)^MAX(0,Scenario_DT!L$18-3))*(Scenario_DT!L$12+$O373)-Scenario_DT!L$13)*(1-Scenario_DT!L$14)+Scenario_DT!L$13-Scenario_DT!L$15)*Scenario_DT!L$16</f>
        <v>2605.7245183758014</v>
      </c>
      <c r="V373" s="28">
        <f>((Scenario_DT!M$11*(IF(Scenario_DT!M$18=1,1,1+$M373/Scenario_DT!$C$19)*(1+$N373)^MAX(0,Scenario_DT!M$18-3))*(Scenario_DT!M$12+$O373)-Scenario_DT!M$13)*(1-Scenario_DT!M$14)+Scenario_DT!M$13-Scenario_DT!M$15)*Scenario_DT!M$16</f>
        <v>2734.5512300524779</v>
      </c>
      <c r="W373" s="28">
        <f>((Scenario_DT!N$11*(IF(Scenario_DT!N$18=1,1,1+$M373/Scenario_DT!$C$19)*(1+$N373)^MAX(0,Scenario_DT!N$18-3))*(Scenario_DT!N$12+$O373)-Scenario_DT!N$13)*(1-Scenario_DT!N$14)+Scenario_DT!N$13-Scenario_DT!N$15)*Scenario_DT!N$16</f>
        <v>2869.7395247332352</v>
      </c>
      <c r="X373" s="28">
        <f>((Scenario_DT!O$11*(IF(Scenario_DT!O$18=1,1,1+$M373/Scenario_DT!$C$19)*(1+$N373)^MAX(0,Scenario_DT!O$18-3))*(Scenario_DT!O$12+$O373)-Scenario_DT!O$13)*(1-Scenario_DT!O$14)+Scenario_DT!O$13-Scenario_DT!O$15)*Scenario_DT!O$16</f>
        <v>3011.6058636298935</v>
      </c>
      <c r="Y373" s="28">
        <f>((Scenario_DT!P$11*(IF(Scenario_DT!P$18=1,1,1+$M373/Scenario_DT!$C$19)*(1+$N373)^MAX(0,Scenario_DT!P$18-3))*(Scenario_DT!P$12+$O373)-Scenario_DT!P$13)*(1-Scenario_DT!P$14)+Scenario_DT!P$13-Scenario_DT!P$15)*Scenario_DT!P$16</f>
        <v>3160.4824710394391</v>
      </c>
      <c r="Z373" s="28">
        <f>((Scenario_DT!Q$11*(IF(Scenario_DT!Q$18=1,1,1+$M373/Scenario_DT!$C$19)*(1+$N373)^MAX(0,Scenario_DT!Q$18-3))*(Scenario_DT!Q$12+$O373)-Scenario_DT!Q$13)*(1-Scenario_DT!Q$14)+Scenario_DT!Q$13-Scenario_DT!Q$15)*Scenario_DT!Q$16</f>
        <v>3316.718119585787</v>
      </c>
      <c r="AA373" s="28">
        <f>((Scenario_DT!R$11*(IF(Scenario_DT!R$18=1,1,1+$M373/Scenario_DT!$C$19)*(1+$N373)^MAX(0,Scenario_DT!R$18-3))*(Scenario_DT!R$12+$O373)-Scenario_DT!R$13)*(1-Scenario_DT!R$14)+Scenario_DT!R$13-Scenario_DT!R$15)*Scenario_DT!R$16</f>
        <v>3480.6789545734018</v>
      </c>
      <c r="AB373" s="17">
        <f>(Scenario_DT!$R$11*(1+$M373/Scenario_DT!$C$19)*(1+$N373)^7*(Scenario_DT!$R$12+$O373)*(1+MIN(DCF_FCFF!$C$26+$Q373,(DCF_FCFF!$C$25+$P373)-0.02))*(1-DCF_FCFF!$C$27)*(1-DCF_FCFF!$C$28)/((DCF_FCFF!$C$25+$P373)-MIN(DCF_FCFF!$C$26+$Q373,(DCF_FCFF!$C$25+$P373)-0.02)))*(1+(DCF_FCFF!$C$25+$P373))^(-(Inputs!$C$9+9))</f>
        <v>23324.394608970739</v>
      </c>
      <c r="AC373" s="17">
        <f>SUMPRODUCT(R373:AA373*(1+(DCF_FCFF!$C$25+$P373))^(-Scenario_DT!$I$17:$R$17))+AB373</f>
        <v>39962.314862402985</v>
      </c>
      <c r="AD373" s="68">
        <f>((AC373-DCF_FCFF!$C$48)*(1-DCF_FCFF!$C$50)+DCF_FCFF!$C$57+DCF_FCFF!$C$58)/DCF_FCFF!$C$60</f>
        <v>287.14458019877793</v>
      </c>
      <c r="AE373" s="6"/>
      <c r="AF373" s="6"/>
      <c r="AG373" s="6"/>
    </row>
    <row r="374" spans="1:33" x14ac:dyDescent="0.3">
      <c r="A374" s="6"/>
      <c r="B374" s="72">
        <v>343</v>
      </c>
      <c r="C374" s="73">
        <v>0.78779285063887305</v>
      </c>
      <c r="D374" s="73">
        <v>0.38278316278025598</v>
      </c>
      <c r="E374" s="73">
        <v>0.97997853989015804</v>
      </c>
      <c r="F374" s="73">
        <v>0.88352983642370797</v>
      </c>
      <c r="G374" s="73">
        <v>0.301320357662615</v>
      </c>
      <c r="H374" s="15">
        <f t="shared" si="51"/>
        <v>0.7987863638778574</v>
      </c>
      <c r="I374" s="15">
        <f t="shared" si="52"/>
        <v>-0.29817929245084146</v>
      </c>
      <c r="J374" s="15">
        <f t="shared" si="53"/>
        <v>2.0533058876032184</v>
      </c>
      <c r="K374" s="15">
        <f t="shared" si="54"/>
        <v>1.19281884717063</v>
      </c>
      <c r="L374" s="15">
        <f t="shared" si="55"/>
        <v>-0.52060679425782019</v>
      </c>
      <c r="M374" s="18">
        <f t="shared" si="56"/>
        <v>1.5975727277557149E-2</v>
      </c>
      <c r="N374" s="18">
        <f t="shared" si="57"/>
        <v>1.1292987183522444E-3</v>
      </c>
      <c r="O374" s="18">
        <f t="shared" si="58"/>
        <v>2.4639670651238621E-2</v>
      </c>
      <c r="P374" s="18">
        <f t="shared" si="59"/>
        <v>7.1569130830237805E-3</v>
      </c>
      <c r="Q374" s="18">
        <f t="shared" si="60"/>
        <v>-2.0824271770312807E-3</v>
      </c>
      <c r="R374" s="28">
        <f>((Scenario_DT!I$11*(IF(Scenario_DT!I$18=1,1,1+$M374/Scenario_DT!$C$19)*(1+$N374)^MAX(0,Scenario_DT!I$18-3))*(Scenario_DT!I$12+$O374)-Scenario_DT!I$13)*(1-Scenario_DT!I$14)+Scenario_DT!I$13-Scenario_DT!I$15)*Scenario_DT!I$16</f>
        <v>945.72382151882744</v>
      </c>
      <c r="S374" s="28">
        <f>((Scenario_DT!J$11*(IF(Scenario_DT!J$18=1,1,1+$M374/Scenario_DT!$C$19)*(1+$N374)^MAX(0,Scenario_DT!J$18-3))*(Scenario_DT!J$12+$O374)-Scenario_DT!J$13)*(1-Scenario_DT!J$14)+Scenario_DT!J$13-Scenario_DT!J$15)*Scenario_DT!J$16</f>
        <v>1948.0644501467959</v>
      </c>
      <c r="T374" s="28">
        <f>((Scenario_DT!K$11*(IF(Scenario_DT!K$18=1,1,1+$M374/Scenario_DT!$C$19)*(1+$N374)^MAX(0,Scenario_DT!K$18-3))*(Scenario_DT!K$12+$O374)-Scenario_DT!K$13)*(1-Scenario_DT!K$14)+Scenario_DT!K$13-Scenario_DT!K$15)*Scenario_DT!K$16</f>
        <v>2217.4119974158443</v>
      </c>
      <c r="U374" s="28">
        <f>((Scenario_DT!L$11*(IF(Scenario_DT!L$18=1,1,1+$M374/Scenario_DT!$C$19)*(1+$N374)^MAX(0,Scenario_DT!L$18-3))*(Scenario_DT!L$12+$O374)-Scenario_DT!L$13)*(1-Scenario_DT!L$14)+Scenario_DT!L$13-Scenario_DT!L$15)*Scenario_DT!L$16</f>
        <v>2628.895674020891</v>
      </c>
      <c r="V374" s="28">
        <f>((Scenario_DT!M$11*(IF(Scenario_DT!M$18=1,1,1+$M374/Scenario_DT!$C$19)*(1+$N374)^MAX(0,Scenario_DT!M$18-3))*(Scenario_DT!M$12+$O374)-Scenario_DT!M$13)*(1-Scenario_DT!M$14)+Scenario_DT!M$13-Scenario_DT!M$15)*Scenario_DT!M$16</f>
        <v>2762.7562864918996</v>
      </c>
      <c r="W374" s="28">
        <f>((Scenario_DT!N$11*(IF(Scenario_DT!N$18=1,1,1+$M374/Scenario_DT!$C$19)*(1+$N374)^MAX(0,Scenario_DT!N$18-3))*(Scenario_DT!N$12+$O374)-Scenario_DT!N$13)*(1-Scenario_DT!N$14)+Scenario_DT!N$13-Scenario_DT!N$15)*Scenario_DT!N$16</f>
        <v>2903.4274564836019</v>
      </c>
      <c r="X374" s="28">
        <f>((Scenario_DT!O$11*(IF(Scenario_DT!O$18=1,1,1+$M374/Scenario_DT!$C$19)*(1+$N374)^MAX(0,Scenario_DT!O$18-3))*(Scenario_DT!O$12+$O374)-Scenario_DT!O$13)*(1-Scenario_DT!O$14)+Scenario_DT!O$13-Scenario_DT!O$15)*Scenario_DT!O$16</f>
        <v>3051.258137993364</v>
      </c>
      <c r="Y374" s="28">
        <f>((Scenario_DT!P$11*(IF(Scenario_DT!P$18=1,1,1+$M374/Scenario_DT!$C$19)*(1+$N374)^MAX(0,Scenario_DT!P$18-3))*(Scenario_DT!P$12+$O374)-Scenario_DT!P$13)*(1-Scenario_DT!P$14)+Scenario_DT!P$13-Scenario_DT!P$15)*Scenario_DT!P$16</f>
        <v>3206.6151841789683</v>
      </c>
      <c r="Z374" s="28">
        <f>((Scenario_DT!Q$11*(IF(Scenario_DT!Q$18=1,1,1+$M374/Scenario_DT!$C$19)*(1+$N374)^MAX(0,Scenario_DT!Q$18-3))*(Scenario_DT!Q$12+$O374)-Scenario_DT!Q$13)*(1-Scenario_DT!Q$14)+Scenario_DT!Q$13-Scenario_DT!Q$15)*Scenario_DT!Q$16</f>
        <v>3369.8842654492837</v>
      </c>
      <c r="AA374" s="28">
        <f>((Scenario_DT!R$11*(IF(Scenario_DT!R$18=1,1,1+$M374/Scenario_DT!$C$19)*(1+$N374)^MAX(0,Scenario_DT!R$18-3))*(Scenario_DT!R$12+$O374)-Scenario_DT!R$13)*(1-Scenario_DT!R$14)+Scenario_DT!R$13-Scenario_DT!R$15)*Scenario_DT!R$16</f>
        <v>3541.4708346357702</v>
      </c>
      <c r="AB374" s="17">
        <f>(Scenario_DT!$R$11*(1+$M374/Scenario_DT!$C$19)*(1+$N374)^7*(Scenario_DT!$R$12+$O374)*(1+MIN(DCF_FCFF!$C$26+$Q374,(DCF_FCFF!$C$25+$P374)-0.02))*(1-DCF_FCFF!$C$27)*(1-DCF_FCFF!$C$28)/((DCF_FCFF!$C$25+$P374)-MIN(DCF_FCFF!$C$26+$Q374,(DCF_FCFF!$C$25+$P374)-0.02)))*(1+(DCF_FCFF!$C$25+$P374))^(-(Inputs!$C$9+9))</f>
        <v>23669.031082165387</v>
      </c>
      <c r="AC374" s="17">
        <f>SUMPRODUCT(R374:AA374*(1+(DCF_FCFF!$C$25+$P374))^(-Scenario_DT!$I$17:$R$17))+AB374</f>
        <v>40517.178831012789</v>
      </c>
      <c r="AD374" s="68">
        <f>((AC374-DCF_FCFF!$C$48)*(1-DCF_FCFF!$C$50)+DCF_FCFF!$C$57+DCF_FCFF!$C$58)/DCF_FCFF!$C$60</f>
        <v>292.47059096742652</v>
      </c>
      <c r="AE374" s="6"/>
      <c r="AF374" s="6"/>
      <c r="AG374" s="6"/>
    </row>
    <row r="375" spans="1:33" x14ac:dyDescent="0.3">
      <c r="A375" s="6"/>
      <c r="B375" s="72">
        <v>344</v>
      </c>
      <c r="C375" s="73">
        <v>0.77019311353785502</v>
      </c>
      <c r="D375" s="73">
        <v>0.33685654383326902</v>
      </c>
      <c r="E375" s="73">
        <v>0.60636284021553499</v>
      </c>
      <c r="F375" s="73">
        <v>0.65848076839329195</v>
      </c>
      <c r="G375" s="73">
        <v>0.82959540908570495</v>
      </c>
      <c r="H375" s="15">
        <f t="shared" si="51"/>
        <v>0.73948297681574082</v>
      </c>
      <c r="I375" s="15">
        <f t="shared" si="52"/>
        <v>-0.4210575097995416</v>
      </c>
      <c r="J375" s="15">
        <f t="shared" si="53"/>
        <v>0.2698517354375583</v>
      </c>
      <c r="K375" s="15">
        <f t="shared" si="54"/>
        <v>0.40832040141849357</v>
      </c>
      <c r="L375" s="15">
        <f t="shared" si="55"/>
        <v>0.95256763554397217</v>
      </c>
      <c r="M375" s="18">
        <f t="shared" si="56"/>
        <v>1.4789659536314817E-2</v>
      </c>
      <c r="N375" s="18">
        <f t="shared" si="57"/>
        <v>4.0759907738017633E-5</v>
      </c>
      <c r="O375" s="18">
        <f t="shared" si="58"/>
        <v>3.2382208252506998E-3</v>
      </c>
      <c r="P375" s="18">
        <f t="shared" si="59"/>
        <v>2.4499224085109614E-3</v>
      </c>
      <c r="Q375" s="18">
        <f t="shared" si="60"/>
        <v>3.810270542175889E-3</v>
      </c>
      <c r="R375" s="28">
        <f>((Scenario_DT!I$11*(IF(Scenario_DT!I$18=1,1,1+$M375/Scenario_DT!$C$19)*(1+$N375)^MAX(0,Scenario_DT!I$18-3))*(Scenario_DT!I$12+$O375)-Scenario_DT!I$13)*(1-Scenario_DT!I$14)+Scenario_DT!I$13-Scenario_DT!I$15)*Scenario_DT!I$16</f>
        <v>915.55008041210147</v>
      </c>
      <c r="S375" s="28">
        <f>((Scenario_DT!J$11*(IF(Scenario_DT!J$18=1,1,1+$M375/Scenario_DT!$C$19)*(1+$N375)^MAX(0,Scenario_DT!J$18-3))*(Scenario_DT!J$12+$O375)-Scenario_DT!J$13)*(1-Scenario_DT!J$14)+Scenario_DT!J$13-Scenario_DT!J$15)*Scenario_DT!J$16</f>
        <v>1877.5703372140506</v>
      </c>
      <c r="T375" s="28">
        <f>((Scenario_DT!K$11*(IF(Scenario_DT!K$18=1,1,1+$M375/Scenario_DT!$C$19)*(1+$N375)^MAX(0,Scenario_DT!K$18-3))*(Scenario_DT!K$12+$O375)-Scenario_DT!K$13)*(1-Scenario_DT!K$14)+Scenario_DT!K$13-Scenario_DT!K$15)*Scenario_DT!K$16</f>
        <v>2144.3166731551905</v>
      </c>
      <c r="U375" s="28">
        <f>((Scenario_DT!L$11*(IF(Scenario_DT!L$18=1,1,1+$M375/Scenario_DT!$C$19)*(1+$N375)^MAX(0,Scenario_DT!L$18-3))*(Scenario_DT!L$12+$O375)-Scenario_DT!L$13)*(1-Scenario_DT!L$14)+Scenario_DT!L$13-Scenario_DT!L$15)*Scenario_DT!L$16</f>
        <v>2548.4047993304071</v>
      </c>
      <c r="V375" s="28">
        <f>((Scenario_DT!M$11*(IF(Scenario_DT!M$18=1,1,1+$M375/Scenario_DT!$C$19)*(1+$N375)^MAX(0,Scenario_DT!M$18-3))*(Scenario_DT!M$12+$O375)-Scenario_DT!M$13)*(1-Scenario_DT!M$14)+Scenario_DT!M$13-Scenario_DT!M$15)*Scenario_DT!M$16</f>
        <v>2675.2133980982912</v>
      </c>
      <c r="W375" s="28">
        <f>((Scenario_DT!N$11*(IF(Scenario_DT!N$18=1,1,1+$M375/Scenario_DT!$C$19)*(1+$N375)^MAX(0,Scenario_DT!N$18-3))*(Scenario_DT!N$12+$O375)-Scenario_DT!N$13)*(1-Scenario_DT!N$14)+Scenario_DT!N$13-Scenario_DT!N$15)*Scenario_DT!N$16</f>
        <v>2808.3248648548297</v>
      </c>
      <c r="X375" s="28">
        <f>((Scenario_DT!O$11*(IF(Scenario_DT!O$18=1,1,1+$M375/Scenario_DT!$C$19)*(1+$N375)^MAX(0,Scenario_DT!O$18-3))*(Scenario_DT!O$12+$O375)-Scenario_DT!O$13)*(1-Scenario_DT!O$14)+Scenario_DT!O$13-Scenario_DT!O$15)*Scenario_DT!O$16</f>
        <v>2948.0548245001246</v>
      </c>
      <c r="Y375" s="28">
        <f>((Scenario_DT!P$11*(IF(Scenario_DT!P$18=1,1,1+$M375/Scenario_DT!$C$19)*(1+$N375)^MAX(0,Scenario_DT!P$18-3))*(Scenario_DT!P$12+$O375)-Scenario_DT!P$13)*(1-Scenario_DT!P$14)+Scenario_DT!P$13-Scenario_DT!P$15)*Scenario_DT!P$16</f>
        <v>3094.7347276741061</v>
      </c>
      <c r="Z375" s="28">
        <f>((Scenario_DT!Q$11*(IF(Scenario_DT!Q$18=1,1,1+$M375/Scenario_DT!$C$19)*(1+$N375)^MAX(0,Scenario_DT!Q$18-3))*(Scenario_DT!Q$12+$O375)-Scenario_DT!Q$13)*(1-Scenario_DT!Q$14)+Scenario_DT!Q$13-Scenario_DT!Q$15)*Scenario_DT!Q$16</f>
        <v>3248.7126443295988</v>
      </c>
      <c r="AA375" s="28">
        <f>((Scenario_DT!R$11*(IF(Scenario_DT!R$18=1,1,1+$M375/Scenario_DT!$C$19)*(1+$N375)^MAX(0,Scenario_DT!R$18-3))*(Scenario_DT!R$12+$O375)-Scenario_DT!R$13)*(1-Scenario_DT!R$14)+Scenario_DT!R$13-Scenario_DT!R$15)*Scenario_DT!R$16</f>
        <v>3410.3540970924983</v>
      </c>
      <c r="AB375" s="17">
        <f>(Scenario_DT!$R$11*(1+$M375/Scenario_DT!$C$19)*(1+$N375)^7*(Scenario_DT!$R$12+$O375)*(1+MIN(DCF_FCFF!$C$26+$Q375,(DCF_FCFF!$C$25+$P375)-0.02))*(1-DCF_FCFF!$C$27)*(1-DCF_FCFF!$C$28)/((DCF_FCFF!$C$25+$P375)-MIN(DCF_FCFF!$C$26+$Q375,(DCF_FCFF!$C$25+$P375)-0.02)))*(1+(DCF_FCFF!$C$25+$P375))^(-(Inputs!$C$9+9))</f>
        <v>29043.878940410323</v>
      </c>
      <c r="AC375" s="17">
        <f>SUMPRODUCT(R375:AA375*(1+(DCF_FCFF!$C$25+$P375))^(-Scenario_DT!$I$17:$R$17))+AB375</f>
        <v>45646.944003698532</v>
      </c>
      <c r="AD375" s="68">
        <f>((AC375-DCF_FCFF!$C$48)*(1-DCF_FCFF!$C$50)+DCF_FCFF!$C$57+DCF_FCFF!$C$58)/DCF_FCFF!$C$60</f>
        <v>341.71001918046272</v>
      </c>
      <c r="AE375" s="6"/>
      <c r="AF375" s="6"/>
      <c r="AG375" s="6"/>
    </row>
    <row r="376" spans="1:33" x14ac:dyDescent="0.3">
      <c r="A376" s="6"/>
      <c r="B376" s="72">
        <v>345</v>
      </c>
      <c r="C376" s="73">
        <v>2.44508408820149E-2</v>
      </c>
      <c r="D376" s="73">
        <v>0.2201578911523</v>
      </c>
      <c r="E376" s="73">
        <v>0.71191781058857895</v>
      </c>
      <c r="F376" s="73">
        <v>0.56352323696953699</v>
      </c>
      <c r="G376" s="73">
        <v>0.49560507820114302</v>
      </c>
      <c r="H376" s="15">
        <f t="shared" si="51"/>
        <v>-1.9694478830861191</v>
      </c>
      <c r="I376" s="15">
        <f t="shared" si="52"/>
        <v>-0.7716600764581738</v>
      </c>
      <c r="J376" s="15">
        <f t="shared" si="53"/>
        <v>0.55899610440875969</v>
      </c>
      <c r="K376" s="15">
        <f t="shared" si="54"/>
        <v>0.15990802598295578</v>
      </c>
      <c r="L376" s="15">
        <f t="shared" si="55"/>
        <v>-1.1016658084424659E-2</v>
      </c>
      <c r="M376" s="18">
        <f t="shared" si="56"/>
        <v>-3.938895766172238E-2</v>
      </c>
      <c r="N376" s="18">
        <f t="shared" si="57"/>
        <v>-1.3224009366736641E-2</v>
      </c>
      <c r="O376" s="18">
        <f t="shared" si="58"/>
        <v>6.7079532529051161E-3</v>
      </c>
      <c r="P376" s="18">
        <f t="shared" si="59"/>
        <v>9.5944815589773472E-4</v>
      </c>
      <c r="Q376" s="18">
        <f t="shared" si="60"/>
        <v>-4.4066632337698636E-5</v>
      </c>
      <c r="R376" s="28">
        <f>((Scenario_DT!I$11*(IF(Scenario_DT!I$18=1,1,1+$M376/Scenario_DT!$C$19)*(1+$N376)^MAX(0,Scenario_DT!I$18-3))*(Scenario_DT!I$12+$O376)-Scenario_DT!I$13)*(1-Scenario_DT!I$14)+Scenario_DT!I$13-Scenario_DT!I$15)*Scenario_DT!I$16</f>
        <v>920.44202973483016</v>
      </c>
      <c r="S376" s="28">
        <f>((Scenario_DT!J$11*(IF(Scenario_DT!J$18=1,1,1+$M376/Scenario_DT!$C$19)*(1+$N376)^MAX(0,Scenario_DT!J$18-3))*(Scenario_DT!J$12+$O376)-Scenario_DT!J$13)*(1-Scenario_DT!J$14)+Scenario_DT!J$13-Scenario_DT!J$15)*Scenario_DT!J$16</f>
        <v>1757.4962580336378</v>
      </c>
      <c r="T376" s="28">
        <f>((Scenario_DT!K$11*(IF(Scenario_DT!K$18=1,1,1+$M376/Scenario_DT!$C$19)*(1+$N376)^MAX(0,Scenario_DT!K$18-3))*(Scenario_DT!K$12+$O376)-Scenario_DT!K$13)*(1-Scenario_DT!K$14)+Scenario_DT!K$13-Scenario_DT!K$15)*Scenario_DT!K$16</f>
        <v>2018.0384128959049</v>
      </c>
      <c r="U376" s="28">
        <f>((Scenario_DT!L$11*(IF(Scenario_DT!L$18=1,1,1+$M376/Scenario_DT!$C$19)*(1+$N376)^MAX(0,Scenario_DT!L$18-3))*(Scenario_DT!L$12+$O376)-Scenario_DT!L$13)*(1-Scenario_DT!L$14)+Scenario_DT!L$13-Scenario_DT!L$15)*Scenario_DT!L$16</f>
        <v>2382.0720540829707</v>
      </c>
      <c r="V376" s="28">
        <f>((Scenario_DT!M$11*(IF(Scenario_DT!M$18=1,1,1+$M376/Scenario_DT!$C$19)*(1+$N376)^MAX(0,Scenario_DT!M$18-3))*(Scenario_DT!M$12+$O376)-Scenario_DT!M$13)*(1-Scenario_DT!M$14)+Scenario_DT!M$13-Scenario_DT!M$15)*Scenario_DT!M$16</f>
        <v>2467.1443454427413</v>
      </c>
      <c r="W376" s="28">
        <f>((Scenario_DT!N$11*(IF(Scenario_DT!N$18=1,1,1+$M376/Scenario_DT!$C$19)*(1+$N376)^MAX(0,Scenario_DT!N$18-3))*(Scenario_DT!N$12+$O376)-Scenario_DT!N$13)*(1-Scenario_DT!N$14)+Scenario_DT!N$13-Scenario_DT!N$15)*Scenario_DT!N$16</f>
        <v>2555.2242159097182</v>
      </c>
      <c r="X376" s="28">
        <f>((Scenario_DT!O$11*(IF(Scenario_DT!O$18=1,1,1+$M376/Scenario_DT!$C$19)*(1+$N376)^MAX(0,Scenario_DT!O$18-3))*(Scenario_DT!O$12+$O376)-Scenario_DT!O$13)*(1-Scenario_DT!O$14)+Scenario_DT!O$13-Scenario_DT!O$15)*Scenario_DT!O$16</f>
        <v>2646.4188056503981</v>
      </c>
      <c r="Y376" s="28">
        <f>((Scenario_DT!P$11*(IF(Scenario_DT!P$18=1,1,1+$M376/Scenario_DT!$C$19)*(1+$N376)^MAX(0,Scenario_DT!P$18-3))*(Scenario_DT!P$12+$O376)-Scenario_DT!P$13)*(1-Scenario_DT!P$14)+Scenario_DT!P$13-Scenario_DT!P$15)*Scenario_DT!P$16</f>
        <v>2740.8390735559574</v>
      </c>
      <c r="Z376" s="28">
        <f>((Scenario_DT!Q$11*(IF(Scenario_DT!Q$18=1,1,1+$M376/Scenario_DT!$C$19)*(1+$N376)^MAX(0,Scenario_DT!Q$18-3))*(Scenario_DT!Q$12+$O376)-Scenario_DT!Q$13)*(1-Scenario_DT!Q$14)+Scenario_DT!Q$13-Scenario_DT!Q$15)*Scenario_DT!Q$16</f>
        <v>2838.5999331112102</v>
      </c>
      <c r="AA376" s="28">
        <f>((Scenario_DT!R$11*(IF(Scenario_DT!R$18=1,1,1+$M376/Scenario_DT!$C$19)*(1+$N376)^MAX(0,Scenario_DT!R$18-3))*(Scenario_DT!R$12+$O376)-Scenario_DT!R$13)*(1-Scenario_DT!R$14)+Scenario_DT!R$13-Scenario_DT!R$15)*Scenario_DT!R$16</f>
        <v>2939.8203930845884</v>
      </c>
      <c r="AB376" s="17">
        <f>(Scenario_DT!$R$11*(1+$M376/Scenario_DT!$C$19)*(1+$N376)^7*(Scenario_DT!$R$12+$O376)*(1+MIN(DCF_FCFF!$C$26+$Q376,(DCF_FCFF!$C$25+$P376)-0.02))*(1-DCF_FCFF!$C$27)*(1-DCF_FCFF!$C$28)/((DCF_FCFF!$C$25+$P376)-MIN(DCF_FCFF!$C$26+$Q376,(DCF_FCFF!$C$25+$P376)-0.02)))*(1+(DCF_FCFF!$C$25+$P376))^(-(Inputs!$C$9+9))</f>
        <v>24138.28584805434</v>
      </c>
      <c r="AC376" s="17">
        <f>SUMPRODUCT(R376:AA376*(1+(DCF_FCFF!$C$25+$P376))^(-Scenario_DT!$I$17:$R$17))+AB376</f>
        <v>39404.379083236403</v>
      </c>
      <c r="AD376" s="68">
        <f>((AC376-DCF_FCFF!$C$48)*(1-DCF_FCFF!$C$50)+DCF_FCFF!$C$57+DCF_FCFF!$C$58)/DCF_FCFF!$C$60</f>
        <v>281.78908383180209</v>
      </c>
      <c r="AE376" s="6"/>
      <c r="AF376" s="6"/>
      <c r="AG376" s="6"/>
    </row>
    <row r="377" spans="1:33" x14ac:dyDescent="0.3">
      <c r="A377" s="6"/>
      <c r="B377" s="72">
        <v>346</v>
      </c>
      <c r="C377" s="73">
        <v>5.5209956707980498E-2</v>
      </c>
      <c r="D377" s="73">
        <v>0.34827588346145599</v>
      </c>
      <c r="E377" s="73">
        <v>0.865100231910648</v>
      </c>
      <c r="F377" s="73">
        <v>3.0892837036032201E-2</v>
      </c>
      <c r="G377" s="73">
        <v>0.39643623536481198</v>
      </c>
      <c r="H377" s="15">
        <f t="shared" si="51"/>
        <v>-1.5963085890218438</v>
      </c>
      <c r="I377" s="15">
        <f t="shared" si="52"/>
        <v>-0.38997941737331993</v>
      </c>
      <c r="J377" s="15">
        <f t="shared" si="53"/>
        <v>1.103524319925284</v>
      </c>
      <c r="K377" s="15">
        <f t="shared" si="54"/>
        <v>-1.8678306910561384</v>
      </c>
      <c r="L377" s="15">
        <f t="shared" si="55"/>
        <v>-0.26258239506470582</v>
      </c>
      <c r="M377" s="18">
        <f t="shared" si="56"/>
        <v>-3.1926171780436878E-2</v>
      </c>
      <c r="N377" s="18">
        <f t="shared" si="57"/>
        <v>-9.0870910152741728E-3</v>
      </c>
      <c r="O377" s="18">
        <f t="shared" si="58"/>
        <v>1.3242291839103408E-2</v>
      </c>
      <c r="P377" s="18">
        <f t="shared" si="59"/>
        <v>-1.1206984146336831E-2</v>
      </c>
      <c r="Q377" s="18">
        <f t="shared" si="60"/>
        <v>-1.0503295802588232E-3</v>
      </c>
      <c r="R377" s="28">
        <f>((Scenario_DT!I$11*(IF(Scenario_DT!I$18=1,1,1+$M377/Scenario_DT!$C$19)*(1+$N377)^MAX(0,Scenario_DT!I$18-3))*(Scenario_DT!I$12+$O377)-Scenario_DT!I$13)*(1-Scenario_DT!I$14)+Scenario_DT!I$13-Scenario_DT!I$15)*Scenario_DT!I$16</f>
        <v>929.65474393909017</v>
      </c>
      <c r="S377" s="28">
        <f>((Scenario_DT!J$11*(IF(Scenario_DT!J$18=1,1,1+$M377/Scenario_DT!$C$19)*(1+$N377)^MAX(0,Scenario_DT!J$18-3))*(Scenario_DT!J$12+$O377)-Scenario_DT!J$13)*(1-Scenario_DT!J$14)+Scenario_DT!J$13-Scenario_DT!J$15)*Scenario_DT!J$16</f>
        <v>1795.1621508410904</v>
      </c>
      <c r="T377" s="28">
        <f>((Scenario_DT!K$11*(IF(Scenario_DT!K$18=1,1,1+$M377/Scenario_DT!$C$19)*(1+$N377)^MAX(0,Scenario_DT!K$18-3))*(Scenario_DT!K$12+$O377)-Scenario_DT!K$13)*(1-Scenario_DT!K$14)+Scenario_DT!K$13-Scenario_DT!K$15)*Scenario_DT!K$16</f>
        <v>2057.3263666164144</v>
      </c>
      <c r="U377" s="28">
        <f>((Scenario_DT!L$11*(IF(Scenario_DT!L$18=1,1,1+$M377/Scenario_DT!$C$19)*(1+$N377)^MAX(0,Scenario_DT!L$18-3))*(Scenario_DT!L$12+$O377)-Scenario_DT!L$13)*(1-Scenario_DT!L$14)+Scenario_DT!L$13-Scenario_DT!L$15)*Scenario_DT!L$16</f>
        <v>2433.4652770475418</v>
      </c>
      <c r="V377" s="28">
        <f>((Scenario_DT!M$11*(IF(Scenario_DT!M$18=1,1,1+$M377/Scenario_DT!$C$19)*(1+$N377)^MAX(0,Scenario_DT!M$18-3))*(Scenario_DT!M$12+$O377)-Scenario_DT!M$13)*(1-Scenario_DT!M$14)+Scenario_DT!M$13-Scenario_DT!M$15)*Scenario_DT!M$16</f>
        <v>2531.0373238891189</v>
      </c>
      <c r="W377" s="28">
        <f>((Scenario_DT!N$11*(IF(Scenario_DT!N$18=1,1,1+$M377/Scenario_DT!$C$19)*(1+$N377)^MAX(0,Scenario_DT!N$18-3))*(Scenario_DT!N$12+$O377)-Scenario_DT!N$13)*(1-Scenario_DT!N$14)+Scenario_DT!N$13-Scenario_DT!N$15)*Scenario_DT!N$16</f>
        <v>2632.4990046008215</v>
      </c>
      <c r="X377" s="28">
        <f>((Scenario_DT!O$11*(IF(Scenario_DT!O$18=1,1,1+$M377/Scenario_DT!$C$19)*(1+$N377)^MAX(0,Scenario_DT!O$18-3))*(Scenario_DT!O$12+$O377)-Scenario_DT!O$13)*(1-Scenario_DT!O$14)+Scenario_DT!O$13-Scenario_DT!O$15)*Scenario_DT!O$16</f>
        <v>2738.0067371871914</v>
      </c>
      <c r="Y377" s="28">
        <f>((Scenario_DT!P$11*(IF(Scenario_DT!P$18=1,1,1+$M377/Scenario_DT!$C$19)*(1+$N377)^MAX(0,Scenario_DT!P$18-3))*(Scenario_DT!P$12+$O377)-Scenario_DT!P$13)*(1-Scenario_DT!P$14)+Scenario_DT!P$13-Scenario_DT!P$15)*Scenario_DT!P$16</f>
        <v>2847.7232429300652</v>
      </c>
      <c r="Z377" s="28">
        <f>((Scenario_DT!Q$11*(IF(Scenario_DT!Q$18=1,1,1+$M377/Scenario_DT!$C$19)*(1+$N377)^MAX(0,Scenario_DT!Q$18-3))*(Scenario_DT!Q$12+$O377)-Scenario_DT!Q$13)*(1-Scenario_DT!Q$14)+Scenario_DT!Q$13-Scenario_DT!Q$15)*Scenario_DT!Q$16</f>
        <v>2961.8178005056138</v>
      </c>
      <c r="AA377" s="28">
        <f>((Scenario_DT!R$11*(IF(Scenario_DT!R$18=1,1,1+$M377/Scenario_DT!$C$19)*(1+$N377)^MAX(0,Scenario_DT!R$18-3))*(Scenario_DT!R$12+$O377)-Scenario_DT!R$13)*(1-Scenario_DT!R$14)+Scenario_DT!R$13-Scenario_DT!R$15)*Scenario_DT!R$16</f>
        <v>3080.4665103467423</v>
      </c>
      <c r="AB377" s="17">
        <f>(Scenario_DT!$R$11*(1+$M377/Scenario_DT!$C$19)*(1+$N377)^7*(Scenario_DT!$R$12+$O377)*(1+MIN(DCF_FCFF!$C$26+$Q377,(DCF_FCFF!$C$25+$P377)-0.02))*(1-DCF_FCFF!$C$27)*(1-DCF_FCFF!$C$28)/((DCF_FCFF!$C$25+$P377)-MIN(DCF_FCFF!$C$26+$Q377,(DCF_FCFF!$C$25+$P377)-0.02)))*(1+(DCF_FCFF!$C$25+$P377))^(-(Inputs!$C$9+9))</f>
        <v>35876.526033789414</v>
      </c>
      <c r="AC377" s="17">
        <f>SUMPRODUCT(R377:AA377*(1+(DCF_FCFF!$C$25+$P377))^(-Scenario_DT!$I$17:$R$17))+AB377</f>
        <v>52419.016399629545</v>
      </c>
      <c r="AD377" s="68">
        <f>((AC377-DCF_FCFF!$C$48)*(1-DCF_FCFF!$C$50)+DCF_FCFF!$C$57+DCF_FCFF!$C$58)/DCF_FCFF!$C$60</f>
        <v>406.71357419082716</v>
      </c>
      <c r="AE377" s="6"/>
      <c r="AF377" s="6"/>
      <c r="AG377" s="6"/>
    </row>
    <row r="378" spans="1:33" x14ac:dyDescent="0.3">
      <c r="A378" s="6"/>
      <c r="B378" s="72">
        <v>347</v>
      </c>
      <c r="C378" s="73">
        <v>0.94514828767077297</v>
      </c>
      <c r="D378" s="73">
        <v>5.08807345450146E-2</v>
      </c>
      <c r="E378" s="73">
        <v>0.74970575104463699</v>
      </c>
      <c r="F378" s="73">
        <v>0.25761261618203701</v>
      </c>
      <c r="G378" s="73">
        <v>0.86660883215367301</v>
      </c>
      <c r="H378" s="15">
        <f t="shared" si="51"/>
        <v>1.5995275835890239</v>
      </c>
      <c r="I378" s="15">
        <f t="shared" si="52"/>
        <v>-1.636373369743771</v>
      </c>
      <c r="J378" s="15">
        <f t="shared" si="53"/>
        <v>0.67356407733644819</v>
      </c>
      <c r="K378" s="15">
        <f t="shared" si="54"/>
        <v>-0.6507231254205017</v>
      </c>
      <c r="L378" s="15">
        <f t="shared" si="55"/>
        <v>1.1105030009037984</v>
      </c>
      <c r="M378" s="18">
        <f t="shared" si="56"/>
        <v>3.1990551671780477E-2</v>
      </c>
      <c r="N378" s="18">
        <f t="shared" si="57"/>
        <v>-4.9390169318395179E-3</v>
      </c>
      <c r="O378" s="18">
        <f t="shared" si="58"/>
        <v>8.0827689280373784E-3</v>
      </c>
      <c r="P378" s="18">
        <f t="shared" si="59"/>
        <v>-3.9043387525230103E-3</v>
      </c>
      <c r="Q378" s="18">
        <f t="shared" si="60"/>
        <v>4.4420120036151936E-3</v>
      </c>
      <c r="R378" s="28">
        <f>((Scenario_DT!I$11*(IF(Scenario_DT!I$18=1,1,1+$M378/Scenario_DT!$C$19)*(1+$N378)^MAX(0,Scenario_DT!I$18-3))*(Scenario_DT!I$12+$O378)-Scenario_DT!I$13)*(1-Scenario_DT!I$14)+Scenario_DT!I$13-Scenario_DT!I$15)*Scenario_DT!I$16</f>
        <v>922.38037188399323</v>
      </c>
      <c r="S378" s="28">
        <f>((Scenario_DT!J$11*(IF(Scenario_DT!J$18=1,1,1+$M378/Scenario_DT!$C$19)*(1+$N378)^MAX(0,Scenario_DT!J$18-3))*(Scenario_DT!J$12+$O378)-Scenario_DT!J$13)*(1-Scenario_DT!J$14)+Scenario_DT!J$13-Scenario_DT!J$15)*Scenario_DT!J$16</f>
        <v>1934.5396333393028</v>
      </c>
      <c r="T378" s="28">
        <f>((Scenario_DT!K$11*(IF(Scenario_DT!K$18=1,1,1+$M378/Scenario_DT!$C$19)*(1+$N378)^MAX(0,Scenario_DT!K$18-3))*(Scenario_DT!K$12+$O378)-Scenario_DT!K$13)*(1-Scenario_DT!K$14)+Scenario_DT!K$13-Scenario_DT!K$15)*Scenario_DT!K$16</f>
        <v>2203.9403909623375</v>
      </c>
      <c r="U378" s="28">
        <f>((Scenario_DT!L$11*(IF(Scenario_DT!L$18=1,1,1+$M378/Scenario_DT!$C$19)*(1+$N378)^MAX(0,Scenario_DT!L$18-3))*(Scenario_DT!L$12+$O378)-Scenario_DT!L$13)*(1-Scenario_DT!L$14)+Scenario_DT!L$13-Scenario_DT!L$15)*Scenario_DT!L$16</f>
        <v>2598.6252186915149</v>
      </c>
      <c r="V378" s="28">
        <f>((Scenario_DT!M$11*(IF(Scenario_DT!M$18=1,1,1+$M378/Scenario_DT!$C$19)*(1+$N378)^MAX(0,Scenario_DT!M$18-3))*(Scenario_DT!M$12+$O378)-Scenario_DT!M$13)*(1-Scenario_DT!M$14)+Scenario_DT!M$13-Scenario_DT!M$15)*Scenario_DT!M$16</f>
        <v>2714.2711506031087</v>
      </c>
      <c r="W378" s="28">
        <f>((Scenario_DT!N$11*(IF(Scenario_DT!N$18=1,1,1+$M378/Scenario_DT!$C$19)*(1+$N378)^MAX(0,Scenario_DT!N$18-3))*(Scenario_DT!N$12+$O378)-Scenario_DT!N$13)*(1-Scenario_DT!N$14)+Scenario_DT!N$13-Scenario_DT!N$15)*Scenario_DT!N$16</f>
        <v>2835.0484700149764</v>
      </c>
      <c r="X378" s="28">
        <f>((Scenario_DT!O$11*(IF(Scenario_DT!O$18=1,1,1+$M378/Scenario_DT!$C$19)*(1+$N378)^MAX(0,Scenario_DT!O$18-3))*(Scenario_DT!O$12+$O378)-Scenario_DT!O$13)*(1-Scenario_DT!O$14)+Scenario_DT!O$13-Scenario_DT!O$15)*Scenario_DT!O$16</f>
        <v>2961.1867125165481</v>
      </c>
      <c r="Y378" s="28">
        <f>((Scenario_DT!P$11*(IF(Scenario_DT!P$18=1,1,1+$M378/Scenario_DT!$C$19)*(1+$N378)^MAX(0,Scenario_DT!P$18-3))*(Scenario_DT!P$12+$O378)-Scenario_DT!P$13)*(1-Scenario_DT!P$14)+Scenario_DT!P$13-Scenario_DT!P$15)*Scenario_DT!P$16</f>
        <v>3092.9257004630167</v>
      </c>
      <c r="Z378" s="28">
        <f>((Scenario_DT!Q$11*(IF(Scenario_DT!Q$18=1,1,1+$M378/Scenario_DT!$C$19)*(1+$N378)^MAX(0,Scenario_DT!Q$18-3))*(Scenario_DT!Q$12+$O378)-Scenario_DT!Q$13)*(1-Scenario_DT!Q$14)+Scenario_DT!Q$13-Scenario_DT!Q$15)*Scenario_DT!Q$16</f>
        <v>3230.5160042044581</v>
      </c>
      <c r="AA378" s="28">
        <f>((Scenario_DT!R$11*(IF(Scenario_DT!R$18=1,1,1+$M378/Scenario_DT!$C$19)*(1+$N378)^MAX(0,Scenario_DT!R$18-3))*(Scenario_DT!R$12+$O378)-Scenario_DT!R$13)*(1-Scenario_DT!R$14)+Scenario_DT!R$13-Scenario_DT!R$15)*Scenario_DT!R$16</f>
        <v>3374.2194239987725</v>
      </c>
      <c r="AB378" s="17">
        <f>(Scenario_DT!$R$11*(1+$M378/Scenario_DT!$C$19)*(1+$N378)^7*(Scenario_DT!$R$12+$O378)*(1+MIN(DCF_FCFF!$C$26+$Q378,(DCF_FCFF!$C$25+$P378)-0.02))*(1-DCF_FCFF!$C$27)*(1-DCF_FCFF!$C$28)/((DCF_FCFF!$C$25+$P378)-MIN(DCF_FCFF!$C$26+$Q378,(DCF_FCFF!$C$25+$P378)-0.02)))*(1+(DCF_FCFF!$C$25+$P378))^(-(Inputs!$C$9+9))</f>
        <v>35437.492697057431</v>
      </c>
      <c r="AC378" s="17">
        <f>SUMPRODUCT(R378:AA378*(1+(DCF_FCFF!$C$25+$P378))^(-Scenario_DT!$I$17:$R$17))+AB378</f>
        <v>52668.49846582381</v>
      </c>
      <c r="AD378" s="68">
        <f>((AC378-DCF_FCFF!$C$48)*(1-DCF_FCFF!$C$50)+DCF_FCFF!$C$57+DCF_FCFF!$C$58)/DCF_FCFF!$C$60</f>
        <v>409.10829478237054</v>
      </c>
      <c r="AE378" s="6"/>
      <c r="AF378" s="6"/>
      <c r="AG378" s="6"/>
    </row>
    <row r="379" spans="1:33" x14ac:dyDescent="0.3">
      <c r="A379" s="6"/>
      <c r="B379" s="72">
        <v>348</v>
      </c>
      <c r="C379" s="73">
        <v>0.74606797895936505</v>
      </c>
      <c r="D379" s="73">
        <v>0.88570517085836298</v>
      </c>
      <c r="E379" s="73">
        <v>0.215924790431266</v>
      </c>
      <c r="F379" s="73">
        <v>0.53129275481860505</v>
      </c>
      <c r="G379" s="73">
        <v>0.77926994357480095</v>
      </c>
      <c r="H379" s="15">
        <f t="shared" si="51"/>
        <v>0.66216724749667066</v>
      </c>
      <c r="I379" s="15">
        <f t="shared" si="52"/>
        <v>1.2039997936971745</v>
      </c>
      <c r="J379" s="15">
        <f t="shared" si="53"/>
        <v>-0.78603056490936596</v>
      </c>
      <c r="K379" s="15">
        <f t="shared" si="54"/>
        <v>7.8519913599612468E-2</v>
      </c>
      <c r="L379" s="15">
        <f t="shared" si="55"/>
        <v>0.76972992862207168</v>
      </c>
      <c r="M379" s="18">
        <f t="shared" si="56"/>
        <v>1.3243344949933414E-2</v>
      </c>
      <c r="N379" s="18">
        <f t="shared" si="57"/>
        <v>1.0990224249930493E-2</v>
      </c>
      <c r="O379" s="18">
        <f t="shared" si="58"/>
        <v>-9.4323667789123922E-3</v>
      </c>
      <c r="P379" s="18">
        <f t="shared" si="59"/>
        <v>4.7111948159767481E-4</v>
      </c>
      <c r="Q379" s="18">
        <f t="shared" si="60"/>
        <v>3.078919714488287E-3</v>
      </c>
      <c r="R379" s="28">
        <f>((Scenario_DT!I$11*(IF(Scenario_DT!I$18=1,1,1+$M379/Scenario_DT!$C$19)*(1+$N379)^MAX(0,Scenario_DT!I$18-3))*(Scenario_DT!I$12+$O379)-Scenario_DT!I$13)*(1-Scenario_DT!I$14)+Scenario_DT!I$13-Scenario_DT!I$15)*Scenario_DT!I$16</f>
        <v>897.68591545380718</v>
      </c>
      <c r="S379" s="28">
        <f>((Scenario_DT!J$11*(IF(Scenario_DT!J$18=1,1,1+$M379/Scenario_DT!$C$19)*(1+$N379)^MAX(0,Scenario_DT!J$18-3))*(Scenario_DT!J$12+$O379)-Scenario_DT!J$13)*(1-Scenario_DT!J$14)+Scenario_DT!J$13-Scenario_DT!J$15)*Scenario_DT!J$16</f>
        <v>1833.917394407642</v>
      </c>
      <c r="T379" s="28">
        <f>((Scenario_DT!K$11*(IF(Scenario_DT!K$18=1,1,1+$M379/Scenario_DT!$C$19)*(1+$N379)^MAX(0,Scenario_DT!K$18-3))*(Scenario_DT!K$12+$O379)-Scenario_DT!K$13)*(1-Scenario_DT!K$14)+Scenario_DT!K$13-Scenario_DT!K$15)*Scenario_DT!K$16</f>
        <v>2099.0253455436077</v>
      </c>
      <c r="U379" s="28">
        <f>((Scenario_DT!L$11*(IF(Scenario_DT!L$18=1,1,1+$M379/Scenario_DT!$C$19)*(1+$N379)^MAX(0,Scenario_DT!L$18-3))*(Scenario_DT!L$12+$O379)-Scenario_DT!L$13)*(1-Scenario_DT!L$14)+Scenario_DT!L$13-Scenario_DT!L$15)*Scenario_DT!L$16</f>
        <v>2527.8742895892424</v>
      </c>
      <c r="V379" s="28">
        <f>((Scenario_DT!M$11*(IF(Scenario_DT!M$18=1,1,1+$M379/Scenario_DT!$C$19)*(1+$N379)^MAX(0,Scenario_DT!M$18-3))*(Scenario_DT!M$12+$O379)-Scenario_DT!M$13)*(1-Scenario_DT!M$14)+Scenario_DT!M$13-Scenario_DT!M$15)*Scenario_DT!M$16</f>
        <v>2682.9123065072108</v>
      </c>
      <c r="W379" s="28">
        <f>((Scenario_DT!N$11*(IF(Scenario_DT!N$18=1,1,1+$M379/Scenario_DT!$C$19)*(1+$N379)^MAX(0,Scenario_DT!N$18-3))*(Scenario_DT!N$12+$O379)-Scenario_DT!N$13)*(1-Scenario_DT!N$14)+Scenario_DT!N$13-Scenario_DT!N$15)*Scenario_DT!N$16</f>
        <v>2847.4663275860503</v>
      </c>
      <c r="X379" s="28">
        <f>((Scenario_DT!O$11*(IF(Scenario_DT!O$18=1,1,1+$M379/Scenario_DT!$C$19)*(1+$N379)^MAX(0,Scenario_DT!O$18-3))*(Scenario_DT!O$12+$O379)-Scenario_DT!O$13)*(1-Scenario_DT!O$14)+Scenario_DT!O$13-Scenario_DT!O$15)*Scenario_DT!O$16</f>
        <v>3022.1235717039026</v>
      </c>
      <c r="Y379" s="28">
        <f>((Scenario_DT!P$11*(IF(Scenario_DT!P$18=1,1,1+$M379/Scenario_DT!$C$19)*(1+$N379)^MAX(0,Scenario_DT!P$18-3))*(Scenario_DT!P$12+$O379)-Scenario_DT!P$13)*(1-Scenario_DT!P$14)+Scenario_DT!P$13-Scenario_DT!P$15)*Scenario_DT!P$16</f>
        <v>3207.5074933826913</v>
      </c>
      <c r="Z379" s="28">
        <f>((Scenario_DT!Q$11*(IF(Scenario_DT!Q$18=1,1,1+$M379/Scenario_DT!$C$19)*(1+$N379)^MAX(0,Scenario_DT!Q$18-3))*(Scenario_DT!Q$12+$O379)-Scenario_DT!Q$13)*(1-Scenario_DT!Q$14)+Scenario_DT!Q$13-Scenario_DT!Q$15)*Scenario_DT!Q$16</f>
        <v>3404.2800173435694</v>
      </c>
      <c r="AA379" s="28">
        <f>((Scenario_DT!R$11*(IF(Scenario_DT!R$18=1,1,1+$M379/Scenario_DT!$C$19)*(1+$N379)^MAX(0,Scenario_DT!R$18-3))*(Scenario_DT!R$12+$O379)-Scenario_DT!R$13)*(1-Scenario_DT!R$14)+Scenario_DT!R$13-Scenario_DT!R$15)*Scenario_DT!R$16</f>
        <v>3613.1439107832098</v>
      </c>
      <c r="AB379" s="17">
        <f>(Scenario_DT!$R$11*(1+$M379/Scenario_DT!$C$19)*(1+$N379)^7*(Scenario_DT!$R$12+$O379)*(1+MIN(DCF_FCFF!$C$26+$Q379,(DCF_FCFF!$C$25+$P379)-0.02))*(1-DCF_FCFF!$C$27)*(1-DCF_FCFF!$C$28)/((DCF_FCFF!$C$25+$P379)-MIN(DCF_FCFF!$C$26+$Q379,(DCF_FCFF!$C$25+$P379)-0.02)))*(1+(DCF_FCFF!$C$25+$P379))^(-(Inputs!$C$9+9))</f>
        <v>32083.489501682703</v>
      </c>
      <c r="AC379" s="17">
        <f>SUMPRODUCT(R379:AA379*(1+(DCF_FCFF!$C$25+$P379))^(-Scenario_DT!$I$17:$R$17))+AB379</f>
        <v>49020.973181363355</v>
      </c>
      <c r="AD379" s="68">
        <f>((AC379-DCF_FCFF!$C$48)*(1-DCF_FCFF!$C$50)+DCF_FCFF!$C$57+DCF_FCFF!$C$58)/DCF_FCFF!$C$60</f>
        <v>374.09654407772911</v>
      </c>
      <c r="AE379" s="6"/>
      <c r="AF379" s="6"/>
      <c r="AG379" s="6"/>
    </row>
    <row r="380" spans="1:33" x14ac:dyDescent="0.3">
      <c r="A380" s="6"/>
      <c r="B380" s="72">
        <v>349</v>
      </c>
      <c r="C380" s="73">
        <v>0.24569974299498101</v>
      </c>
      <c r="D380" s="73">
        <v>0.23074630526721701</v>
      </c>
      <c r="E380" s="73">
        <v>2.7182133497585002E-2</v>
      </c>
      <c r="F380" s="73">
        <v>0.95851529397545199</v>
      </c>
      <c r="G380" s="73">
        <v>0.71001688005462305</v>
      </c>
      <c r="H380" s="15">
        <f t="shared" si="51"/>
        <v>-0.6880846345081415</v>
      </c>
      <c r="I380" s="15">
        <f t="shared" si="52"/>
        <v>-0.73639127889312495</v>
      </c>
      <c r="J380" s="15">
        <f t="shared" si="53"/>
        <v>-1.9239227512104395</v>
      </c>
      <c r="K380" s="15">
        <f t="shared" si="54"/>
        <v>1.7337107844729436</v>
      </c>
      <c r="L380" s="15">
        <f t="shared" si="55"/>
        <v>0.5534340332701928</v>
      </c>
      <c r="M380" s="18">
        <f t="shared" si="56"/>
        <v>-1.376169269016283E-2</v>
      </c>
      <c r="N380" s="18">
        <f t="shared" si="57"/>
        <v>-7.854206975206628E-3</v>
      </c>
      <c r="O380" s="18">
        <f t="shared" si="58"/>
        <v>-2.3087073014525276E-2</v>
      </c>
      <c r="P380" s="18">
        <f t="shared" si="59"/>
        <v>1.0402264706837661E-2</v>
      </c>
      <c r="Q380" s="18">
        <f t="shared" si="60"/>
        <v>2.2137361330807712E-3</v>
      </c>
      <c r="R380" s="28">
        <f>((Scenario_DT!I$11*(IF(Scenario_DT!I$18=1,1,1+$M380/Scenario_DT!$C$19)*(1+$N380)^MAX(0,Scenario_DT!I$18-3))*(Scenario_DT!I$12+$O380)-Scenario_DT!I$13)*(1-Scenario_DT!I$14)+Scenario_DT!I$13-Scenario_DT!I$15)*Scenario_DT!I$16</f>
        <v>878.43424913251533</v>
      </c>
      <c r="S380" s="28">
        <f>((Scenario_DT!J$11*(IF(Scenario_DT!J$18=1,1,1+$M380/Scenario_DT!$C$19)*(1+$N380)^MAX(0,Scenario_DT!J$18-3))*(Scenario_DT!J$12+$O380)-Scenario_DT!J$13)*(1-Scenario_DT!J$14)+Scenario_DT!J$13-Scenario_DT!J$15)*Scenario_DT!J$16</f>
        <v>1728.2335283893026</v>
      </c>
      <c r="T380" s="28">
        <f>((Scenario_DT!K$11*(IF(Scenario_DT!K$18=1,1,1+$M380/Scenario_DT!$C$19)*(1+$N380)^MAX(0,Scenario_DT!K$18-3))*(Scenario_DT!K$12+$O380)-Scenario_DT!K$13)*(1-Scenario_DT!K$14)+Scenario_DT!K$13-Scenario_DT!K$15)*Scenario_DT!K$16</f>
        <v>1988.5840141766803</v>
      </c>
      <c r="U380" s="28">
        <f>((Scenario_DT!L$11*(IF(Scenario_DT!L$18=1,1,1+$M380/Scenario_DT!$C$19)*(1+$N380)^MAX(0,Scenario_DT!L$18-3))*(Scenario_DT!L$12+$O380)-Scenario_DT!L$13)*(1-Scenario_DT!L$14)+Scenario_DT!L$13-Scenario_DT!L$15)*Scenario_DT!L$16</f>
        <v>2364.0981865395152</v>
      </c>
      <c r="V380" s="28">
        <f>((Scenario_DT!M$11*(IF(Scenario_DT!M$18=1,1,1+$M380/Scenario_DT!$C$19)*(1+$N380)^MAX(0,Scenario_DT!M$18-3))*(Scenario_DT!M$12+$O380)-Scenario_DT!M$13)*(1-Scenario_DT!M$14)+Scenario_DT!M$13-Scenario_DT!M$15)*Scenario_DT!M$16</f>
        <v>2461.9459780513121</v>
      </c>
      <c r="W380" s="28">
        <f>((Scenario_DT!N$11*(IF(Scenario_DT!N$18=1,1,1+$M380/Scenario_DT!$C$19)*(1+$N380)^MAX(0,Scenario_DT!N$18-3))*(Scenario_DT!N$12+$O380)-Scenario_DT!N$13)*(1-Scenario_DT!N$14)+Scenario_DT!N$13-Scenario_DT!N$15)*Scenario_DT!N$16</f>
        <v>2563.8232525551552</v>
      </c>
      <c r="X380" s="28">
        <f>((Scenario_DT!O$11*(IF(Scenario_DT!O$18=1,1,1+$M380/Scenario_DT!$C$19)*(1+$N380)^MAX(0,Scenario_DT!O$18-3))*(Scenario_DT!O$12+$O380)-Scenario_DT!O$13)*(1-Scenario_DT!O$14)+Scenario_DT!O$13-Scenario_DT!O$15)*Scenario_DT!O$16</f>
        <v>2669.8974594738247</v>
      </c>
      <c r="Y380" s="28">
        <f>((Scenario_DT!P$11*(IF(Scenario_DT!P$18=1,1,1+$M380/Scenario_DT!$C$19)*(1+$N380)^MAX(0,Scenario_DT!P$18-3))*(Scenario_DT!P$12+$O380)-Scenario_DT!P$13)*(1-Scenario_DT!P$14)+Scenario_DT!P$13-Scenario_DT!P$15)*Scenario_DT!P$16</f>
        <v>2780.3430221755093</v>
      </c>
      <c r="Z380" s="28">
        <f>((Scenario_DT!Q$11*(IF(Scenario_DT!Q$18=1,1,1+$M380/Scenario_DT!$C$19)*(1+$N380)^MAX(0,Scenario_DT!Q$18-3))*(Scenario_DT!Q$12+$O380)-Scenario_DT!Q$13)*(1-Scenario_DT!Q$14)+Scenario_DT!Q$13-Scenario_DT!Q$15)*Scenario_DT!Q$16</f>
        <v>2895.3416285925309</v>
      </c>
      <c r="AA380" s="28">
        <f>((Scenario_DT!R$11*(IF(Scenario_DT!R$18=1,1,1+$M380/Scenario_DT!$C$19)*(1+$N380)^MAX(0,Scenario_DT!R$18-3))*(Scenario_DT!R$12+$O380)-Scenario_DT!R$13)*(1-Scenario_DT!R$14)+Scenario_DT!R$13-Scenario_DT!R$15)*Scenario_DT!R$16</f>
        <v>3015.0825339533631</v>
      </c>
      <c r="AB380" s="17">
        <f>(Scenario_DT!$R$11*(1+$M380/Scenario_DT!$C$19)*(1+$N380)^7*(Scenario_DT!$R$12+$O380)*(1+MIN(DCF_FCFF!$C$26+$Q380,(DCF_FCFF!$C$25+$P380)-0.02))*(1-DCF_FCFF!$C$27)*(1-DCF_FCFF!$C$28)/((DCF_FCFF!$C$25+$P380)-MIN(DCF_FCFF!$C$26+$Q380,(DCF_FCFF!$C$25+$P380)-0.02)))*(1+(DCF_FCFF!$C$25+$P380))^(-(Inputs!$C$9+9))</f>
        <v>20056.934867036493</v>
      </c>
      <c r="AC380" s="17">
        <f>SUMPRODUCT(R380:AA380*(1+(DCF_FCFF!$C$25+$P380))^(-Scenario_DT!$I$17:$R$17))+AB380</f>
        <v>34733.284629298534</v>
      </c>
      <c r="AD380" s="68">
        <f>((AC380-DCF_FCFF!$C$48)*(1-DCF_FCFF!$C$50)+DCF_FCFF!$C$57+DCF_FCFF!$C$58)/DCF_FCFF!$C$60</f>
        <v>236.9523296533325</v>
      </c>
      <c r="AE380" s="6"/>
      <c r="AF380" s="6"/>
      <c r="AG380" s="6"/>
    </row>
    <row r="381" spans="1:33" x14ac:dyDescent="0.3">
      <c r="A381" s="6"/>
      <c r="B381" s="72">
        <v>350</v>
      </c>
      <c r="C381" s="73">
        <v>0.63556035401018496</v>
      </c>
      <c r="D381" s="73">
        <v>0.74399472269499101</v>
      </c>
      <c r="E381" s="73">
        <v>0.53161291869543903</v>
      </c>
      <c r="F381" s="73">
        <v>0.47613382109041003</v>
      </c>
      <c r="G381" s="73">
        <v>0.44953224112352103</v>
      </c>
      <c r="H381" s="15">
        <f t="shared" si="51"/>
        <v>0.34661670810599127</v>
      </c>
      <c r="I381" s="15">
        <f t="shared" si="52"/>
        <v>0.65571027787798686</v>
      </c>
      <c r="J381" s="15">
        <f t="shared" si="53"/>
        <v>7.9324948728570849E-2</v>
      </c>
      <c r="K381" s="15">
        <f t="shared" si="54"/>
        <v>-5.9859367110797083E-2</v>
      </c>
      <c r="L381" s="15">
        <f t="shared" si="55"/>
        <v>-0.12684322647970925</v>
      </c>
      <c r="M381" s="18">
        <f t="shared" si="56"/>
        <v>6.9323341621198254E-3</v>
      </c>
      <c r="N381" s="18">
        <f t="shared" si="57"/>
        <v>5.9293608977430854E-3</v>
      </c>
      <c r="O381" s="18">
        <f t="shared" si="58"/>
        <v>9.5189938474285018E-4</v>
      </c>
      <c r="P381" s="18">
        <f t="shared" si="59"/>
        <v>-3.5915620266478249E-4</v>
      </c>
      <c r="Q381" s="18">
        <f t="shared" si="60"/>
        <v>-5.0737290591883698E-4</v>
      </c>
      <c r="R381" s="28">
        <f>((Scenario_DT!I$11*(IF(Scenario_DT!I$18=1,1,1+$M381/Scenario_DT!$C$19)*(1+$N381)^MAX(0,Scenario_DT!I$18-3))*(Scenario_DT!I$12+$O381)-Scenario_DT!I$13)*(1-Scenario_DT!I$14)+Scenario_DT!I$13-Scenario_DT!I$15)*Scenario_DT!I$16</f>
        <v>912.32661322676734</v>
      </c>
      <c r="S381" s="28">
        <f>((Scenario_DT!J$11*(IF(Scenario_DT!J$18=1,1,1+$M381/Scenario_DT!$C$19)*(1+$N381)^MAX(0,Scenario_DT!J$18-3))*(Scenario_DT!J$12+$O381)-Scenario_DT!J$13)*(1-Scenario_DT!J$14)+Scenario_DT!J$13-Scenario_DT!J$15)*Scenario_DT!J$16</f>
        <v>1851.5004823342692</v>
      </c>
      <c r="T381" s="28">
        <f>((Scenario_DT!K$11*(IF(Scenario_DT!K$18=1,1,1+$M381/Scenario_DT!$C$19)*(1+$N381)^MAX(0,Scenario_DT!K$18-3))*(Scenario_DT!K$12+$O381)-Scenario_DT!K$13)*(1-Scenario_DT!K$14)+Scenario_DT!K$13-Scenario_DT!K$15)*Scenario_DT!K$16</f>
        <v>2117.0325986276594</v>
      </c>
      <c r="U381" s="28">
        <f>((Scenario_DT!L$11*(IF(Scenario_DT!L$18=1,1,1+$M381/Scenario_DT!$C$19)*(1+$N381)^MAX(0,Scenario_DT!L$18-3))*(Scenario_DT!L$12+$O381)-Scenario_DT!L$13)*(1-Scenario_DT!L$14)+Scenario_DT!L$13-Scenario_DT!L$15)*Scenario_DT!L$16</f>
        <v>2534.3687173243952</v>
      </c>
      <c r="V381" s="28">
        <f>((Scenario_DT!M$11*(IF(Scenario_DT!M$18=1,1,1+$M381/Scenario_DT!$C$19)*(1+$N381)^MAX(0,Scenario_DT!M$18-3))*(Scenario_DT!M$12+$O381)-Scenario_DT!M$13)*(1-Scenario_DT!M$14)+Scenario_DT!M$13-Scenario_DT!M$15)*Scenario_DT!M$16</f>
        <v>2676.2493296249622</v>
      </c>
      <c r="W381" s="28">
        <f>((Scenario_DT!N$11*(IF(Scenario_DT!N$18=1,1,1+$M381/Scenario_DT!$C$19)*(1+$N381)^MAX(0,Scenario_DT!N$18-3))*(Scenario_DT!N$12+$O381)-Scenario_DT!N$13)*(1-Scenario_DT!N$14)+Scenario_DT!N$13-Scenario_DT!N$15)*Scenario_DT!N$16</f>
        <v>2826.07398538909</v>
      </c>
      <c r="X381" s="28">
        <f>((Scenario_DT!O$11*(IF(Scenario_DT!O$18=1,1,1+$M381/Scenario_DT!$C$19)*(1+$N381)^MAX(0,Scenario_DT!O$18-3))*(Scenario_DT!O$12+$O381)-Scenario_DT!O$13)*(1-Scenario_DT!O$14)+Scenario_DT!O$13-Scenario_DT!O$15)*Scenario_DT!O$16</f>
        <v>2984.2903068897713</v>
      </c>
      <c r="Y381" s="28">
        <f>((Scenario_DT!P$11*(IF(Scenario_DT!P$18=1,1,1+$M381/Scenario_DT!$C$19)*(1+$N381)^MAX(0,Scenario_DT!P$18-3))*(Scenario_DT!P$12+$O381)-Scenario_DT!P$13)*(1-Scenario_DT!P$14)+Scenario_DT!P$13-Scenario_DT!P$15)*Scenario_DT!P$16</f>
        <v>3151.3711515475802</v>
      </c>
      <c r="Z381" s="28">
        <f>((Scenario_DT!Q$11*(IF(Scenario_DT!Q$18=1,1,1+$M381/Scenario_DT!$C$19)*(1+$N381)^MAX(0,Scenario_DT!Q$18-3))*(Scenario_DT!Q$12+$O381)-Scenario_DT!Q$13)*(1-Scenario_DT!Q$14)+Scenario_DT!Q$13-Scenario_DT!Q$15)*Scenario_DT!Q$16</f>
        <v>3327.8160340278564</v>
      </c>
      <c r="AA381" s="28">
        <f>((Scenario_DT!R$11*(IF(Scenario_DT!R$18=1,1,1+$M381/Scenario_DT!$C$19)*(1+$N381)^MAX(0,Scenario_DT!R$18-3))*(Scenario_DT!R$12+$O381)-Scenario_DT!R$13)*(1-Scenario_DT!R$14)+Scenario_DT!R$13-Scenario_DT!R$15)*Scenario_DT!R$16</f>
        <v>3514.1526284421775</v>
      </c>
      <c r="AB381" s="17">
        <f>(Scenario_DT!$R$11*(1+$M381/Scenario_DT!$C$19)*(1+$N381)^7*(Scenario_DT!$R$12+$O381)*(1+MIN(DCF_FCFF!$C$26+$Q381,(DCF_FCFF!$C$25+$P381)-0.02))*(1-DCF_FCFF!$C$27)*(1-DCF_FCFF!$C$28)/((DCF_FCFF!$C$25+$P381)-MIN(DCF_FCFF!$C$26+$Q381,(DCF_FCFF!$C$25+$P381)-0.02)))*(1+(DCF_FCFF!$C$25+$P381))^(-(Inputs!$C$9+9))</f>
        <v>29620.868354721824</v>
      </c>
      <c r="AC381" s="17">
        <f>SUMPRODUCT(R381:AA381*(1+(DCF_FCFF!$C$25+$P381))^(-Scenario_DT!$I$17:$R$17))+AB381</f>
        <v>46513.352630397138</v>
      </c>
      <c r="AD381" s="68">
        <f>((AC381-DCF_FCFF!$C$48)*(1-DCF_FCFF!$C$50)+DCF_FCFF!$C$57+DCF_FCFF!$C$58)/DCF_FCFF!$C$60</f>
        <v>350.0264749910794</v>
      </c>
      <c r="AE381" s="6"/>
      <c r="AF381" s="6"/>
      <c r="AG381" s="6"/>
    </row>
    <row r="382" spans="1:33" x14ac:dyDescent="0.3">
      <c r="A382" s="6"/>
      <c r="B382" s="72">
        <v>351</v>
      </c>
      <c r="C382" s="73">
        <v>0.64043921210364096</v>
      </c>
      <c r="D382" s="73">
        <v>0.20153497539238299</v>
      </c>
      <c r="E382" s="73">
        <v>0.88805869501487</v>
      </c>
      <c r="F382" s="73">
        <v>0.81175237121926502</v>
      </c>
      <c r="G382" s="73">
        <v>0.34956361145203402</v>
      </c>
      <c r="H382" s="15">
        <f t="shared" si="51"/>
        <v>0.35963303513808154</v>
      </c>
      <c r="I382" s="15">
        <f t="shared" si="52"/>
        <v>-0.83615101694771743</v>
      </c>
      <c r="J382" s="15">
        <f t="shared" si="53"/>
        <v>1.2162686233042814</v>
      </c>
      <c r="K382" s="15">
        <f t="shared" si="54"/>
        <v>0.88437232469424987</v>
      </c>
      <c r="L382" s="15">
        <f t="shared" si="55"/>
        <v>-0.38649889217844868</v>
      </c>
      <c r="M382" s="18">
        <f t="shared" si="56"/>
        <v>7.192660702761631E-3</v>
      </c>
      <c r="N382" s="18">
        <f t="shared" si="57"/>
        <v>-4.3544920360630021E-3</v>
      </c>
      <c r="O382" s="18">
        <f t="shared" si="58"/>
        <v>1.4595223479651377E-2</v>
      </c>
      <c r="P382" s="18">
        <f t="shared" si="59"/>
        <v>5.3062339481654997E-3</v>
      </c>
      <c r="Q382" s="18">
        <f t="shared" si="60"/>
        <v>-1.5459955687137947E-3</v>
      </c>
      <c r="R382" s="28">
        <f>((Scenario_DT!I$11*(IF(Scenario_DT!I$18=1,1,1+$M382/Scenario_DT!$C$19)*(1+$N382)^MAX(0,Scenario_DT!I$18-3))*(Scenario_DT!I$12+$O382)-Scenario_DT!I$13)*(1-Scenario_DT!I$14)+Scenario_DT!I$13-Scenario_DT!I$15)*Scenario_DT!I$16</f>
        <v>931.5622319545713</v>
      </c>
      <c r="S382" s="28">
        <f>((Scenario_DT!J$11*(IF(Scenario_DT!J$18=1,1,1+$M382/Scenario_DT!$C$19)*(1+$N382)^MAX(0,Scenario_DT!J$18-3))*(Scenario_DT!J$12+$O382)-Scenario_DT!J$13)*(1-Scenario_DT!J$14)+Scenario_DT!J$13-Scenario_DT!J$15)*Scenario_DT!J$16</f>
        <v>1894.8489845328295</v>
      </c>
      <c r="T382" s="28">
        <f>((Scenario_DT!K$11*(IF(Scenario_DT!K$18=1,1,1+$M382/Scenario_DT!$C$19)*(1+$N382)^MAX(0,Scenario_DT!K$18-3))*(Scenario_DT!K$12+$O382)-Scenario_DT!K$13)*(1-Scenario_DT!K$14)+Scenario_DT!K$13-Scenario_DT!K$15)*Scenario_DT!K$16</f>
        <v>2161.9646999791307</v>
      </c>
      <c r="U382" s="28">
        <f>((Scenario_DT!L$11*(IF(Scenario_DT!L$18=1,1,1+$M382/Scenario_DT!$C$19)*(1+$N382)^MAX(0,Scenario_DT!L$18-3))*(Scenario_DT!L$12+$O382)-Scenario_DT!L$13)*(1-Scenario_DT!L$14)+Scenario_DT!L$13-Scenario_DT!L$15)*Scenario_DT!L$16</f>
        <v>2555.7868821962861</v>
      </c>
      <c r="V382" s="28">
        <f>((Scenario_DT!M$11*(IF(Scenario_DT!M$18=1,1,1+$M382/Scenario_DT!$C$19)*(1+$N382)^MAX(0,Scenario_DT!M$18-3))*(Scenario_DT!M$12+$O382)-Scenario_DT!M$13)*(1-Scenario_DT!M$14)+Scenario_DT!M$13-Scenario_DT!M$15)*Scenario_DT!M$16</f>
        <v>2671.0920296063309</v>
      </c>
      <c r="W382" s="28">
        <f>((Scenario_DT!N$11*(IF(Scenario_DT!N$18=1,1,1+$M382/Scenario_DT!$C$19)*(1+$N382)^MAX(0,Scenario_DT!N$18-3))*(Scenario_DT!N$12+$O382)-Scenario_DT!N$13)*(1-Scenario_DT!N$14)+Scenario_DT!N$13-Scenario_DT!N$15)*Scenario_DT!N$16</f>
        <v>2791.5850218819323</v>
      </c>
      <c r="X382" s="28">
        <f>((Scenario_DT!O$11*(IF(Scenario_DT!O$18=1,1,1+$M382/Scenario_DT!$C$19)*(1+$N382)^MAX(0,Scenario_DT!O$18-3))*(Scenario_DT!O$12+$O382)-Scenario_DT!O$13)*(1-Scenario_DT!O$14)+Scenario_DT!O$13-Scenario_DT!O$15)*Scenario_DT!O$16</f>
        <v>2917.5011831974866</v>
      </c>
      <c r="Y382" s="28">
        <f>((Scenario_DT!P$11*(IF(Scenario_DT!P$18=1,1,1+$M382/Scenario_DT!$C$19)*(1+$N382)^MAX(0,Scenario_DT!P$18-3))*(Scenario_DT!P$12+$O382)-Scenario_DT!P$13)*(1-Scenario_DT!P$14)+Scenario_DT!P$13-Scenario_DT!P$15)*Scenario_DT!P$16</f>
        <v>3049.0865319295458</v>
      </c>
      <c r="Z382" s="28">
        <f>((Scenario_DT!Q$11*(IF(Scenario_DT!Q$18=1,1,1+$M382/Scenario_DT!$C$19)*(1+$N382)^MAX(0,Scenario_DT!Q$18-3))*(Scenario_DT!Q$12+$O382)-Scenario_DT!Q$13)*(1-Scenario_DT!Q$14)+Scenario_DT!Q$13-Scenario_DT!Q$15)*Scenario_DT!Q$16</f>
        <v>3186.5982668693191</v>
      </c>
      <c r="AA382" s="28">
        <f>((Scenario_DT!R$11*(IF(Scenario_DT!R$18=1,1,1+$M382/Scenario_DT!$C$19)*(1+$N382)^MAX(0,Scenario_DT!R$18-3))*(Scenario_DT!R$12+$O382)-Scenario_DT!R$13)*(1-Scenario_DT!R$14)+Scenario_DT!R$13-Scenario_DT!R$15)*Scenario_DT!R$16</f>
        <v>3330.3052755440945</v>
      </c>
      <c r="AB382" s="17">
        <f>(Scenario_DT!$R$11*(1+$M382/Scenario_DT!$C$19)*(1+$N382)^7*(Scenario_DT!$R$12+$O382)*(1+MIN(DCF_FCFF!$C$26+$Q382,(DCF_FCFF!$C$25+$P382)-0.02))*(1-DCF_FCFF!$C$27)*(1-DCF_FCFF!$C$28)/((DCF_FCFF!$C$25+$P382)-MIN(DCF_FCFF!$C$26+$Q382,(DCF_FCFF!$C$25+$P382)-0.02)))*(1+(DCF_FCFF!$C$25+$P382))^(-(Inputs!$C$9+9))</f>
        <v>23583.357100161385</v>
      </c>
      <c r="AC382" s="17">
        <f>SUMPRODUCT(R382:AA382*(1+(DCF_FCFF!$C$25+$P382))^(-Scenario_DT!$I$17:$R$17))+AB382</f>
        <v>39920.312087965562</v>
      </c>
      <c r="AD382" s="68">
        <f>((AC382-DCF_FCFF!$C$48)*(1-DCF_FCFF!$C$50)+DCF_FCFF!$C$57+DCF_FCFF!$C$58)/DCF_FCFF!$C$60</f>
        <v>286.74140529173297</v>
      </c>
      <c r="AE382" s="6"/>
      <c r="AF382" s="6"/>
      <c r="AG382" s="6"/>
    </row>
    <row r="383" spans="1:33" x14ac:dyDescent="0.3">
      <c r="A383" s="6"/>
      <c r="B383" s="72">
        <v>352</v>
      </c>
      <c r="C383" s="73">
        <v>0.57860929681252404</v>
      </c>
      <c r="D383" s="73">
        <v>0.14102729995001501</v>
      </c>
      <c r="E383" s="73">
        <v>0.97234624793359803</v>
      </c>
      <c r="F383" s="73">
        <v>0.90289268763028396</v>
      </c>
      <c r="G383" s="73">
        <v>0.92189750649919999</v>
      </c>
      <c r="H383" s="15">
        <f t="shared" si="51"/>
        <v>0.19833699803470223</v>
      </c>
      <c r="I383" s="15">
        <f t="shared" si="52"/>
        <v>-1.0757153061623042</v>
      </c>
      <c r="J383" s="15">
        <f t="shared" si="53"/>
        <v>1.9164526544263625</v>
      </c>
      <c r="K383" s="15">
        <f t="shared" si="54"/>
        <v>1.2982116243592969</v>
      </c>
      <c r="L383" s="15">
        <f t="shared" si="55"/>
        <v>1.4179512880179495</v>
      </c>
      <c r="M383" s="18">
        <f t="shared" si="56"/>
        <v>3.9667399606940447E-3</v>
      </c>
      <c r="N383" s="18">
        <f t="shared" si="57"/>
        <v>-6.6594262668716753E-3</v>
      </c>
      <c r="O383" s="18">
        <f t="shared" si="58"/>
        <v>2.2997431853116351E-2</v>
      </c>
      <c r="P383" s="18">
        <f t="shared" si="59"/>
        <v>7.7892697461557818E-3</v>
      </c>
      <c r="Q383" s="18">
        <f t="shared" si="60"/>
        <v>5.6718051520717981E-3</v>
      </c>
      <c r="R383" s="28">
        <f>((Scenario_DT!I$11*(IF(Scenario_DT!I$18=1,1,1+$M383/Scenario_DT!$C$19)*(1+$N383)^MAX(0,Scenario_DT!I$18-3))*(Scenario_DT!I$12+$O383)-Scenario_DT!I$13)*(1-Scenario_DT!I$14)+Scenario_DT!I$13-Scenario_DT!I$15)*Scenario_DT!I$16</f>
        <v>943.40844154537388</v>
      </c>
      <c r="S383" s="28">
        <f>((Scenario_DT!J$11*(IF(Scenario_DT!J$18=1,1,1+$M383/Scenario_DT!$C$19)*(1+$N383)^MAX(0,Scenario_DT!J$18-3))*(Scenario_DT!J$12+$O383)-Scenario_DT!J$13)*(1-Scenario_DT!J$14)+Scenario_DT!J$13-Scenario_DT!J$15)*Scenario_DT!J$16</f>
        <v>1913.185156887258</v>
      </c>
      <c r="T383" s="28">
        <f>((Scenario_DT!K$11*(IF(Scenario_DT!K$18=1,1,1+$M383/Scenario_DT!$C$19)*(1+$N383)^MAX(0,Scenario_DT!K$18-3))*(Scenario_DT!K$12+$O383)-Scenario_DT!K$13)*(1-Scenario_DT!K$14)+Scenario_DT!K$13-Scenario_DT!K$15)*Scenario_DT!K$16</f>
        <v>2180.8572942092101</v>
      </c>
      <c r="U383" s="28">
        <f>((Scenario_DT!L$11*(IF(Scenario_DT!L$18=1,1,1+$M383/Scenario_DT!$C$19)*(1+$N383)^MAX(0,Scenario_DT!L$18-3))*(Scenario_DT!L$12+$O383)-Scenario_DT!L$13)*(1-Scenario_DT!L$14)+Scenario_DT!L$13-Scenario_DT!L$15)*Scenario_DT!L$16</f>
        <v>2569.7572680611888</v>
      </c>
      <c r="V383" s="28">
        <f>((Scenario_DT!M$11*(IF(Scenario_DT!M$18=1,1,1+$M383/Scenario_DT!$C$19)*(1+$N383)^MAX(0,Scenario_DT!M$18-3))*(Scenario_DT!M$12+$O383)-Scenario_DT!M$13)*(1-Scenario_DT!M$14)+Scenario_DT!M$13-Scenario_DT!M$15)*Scenario_DT!M$16</f>
        <v>2679.4369413056452</v>
      </c>
      <c r="W383" s="28">
        <f>((Scenario_DT!N$11*(IF(Scenario_DT!N$18=1,1,1+$M383/Scenario_DT!$C$19)*(1+$N383)^MAX(0,Scenario_DT!N$18-3))*(Scenario_DT!N$12+$O383)-Scenario_DT!N$13)*(1-Scenario_DT!N$14)+Scenario_DT!N$13-Scenario_DT!N$15)*Scenario_DT!N$16</f>
        <v>2793.7796739353021</v>
      </c>
      <c r="X383" s="28">
        <f>((Scenario_DT!O$11*(IF(Scenario_DT!O$18=1,1,1+$M383/Scenario_DT!$C$19)*(1+$N383)^MAX(0,Scenario_DT!O$18-3))*(Scenario_DT!O$12+$O383)-Scenario_DT!O$13)*(1-Scenario_DT!O$14)+Scenario_DT!O$13-Scenario_DT!O$15)*Scenario_DT!O$16</f>
        <v>2912.9853712322988</v>
      </c>
      <c r="Y383" s="28">
        <f>((Scenario_DT!P$11*(IF(Scenario_DT!P$18=1,1,1+$M383/Scenario_DT!$C$19)*(1+$N383)^MAX(0,Scenario_DT!P$18-3))*(Scenario_DT!P$12+$O383)-Scenario_DT!P$13)*(1-Scenario_DT!P$14)+Scenario_DT!P$13-Scenario_DT!P$15)*Scenario_DT!P$16</f>
        <v>3037.2625256919414</v>
      </c>
      <c r="Z383" s="28">
        <f>((Scenario_DT!Q$11*(IF(Scenario_DT!Q$18=1,1,1+$M383/Scenario_DT!$C$19)*(1+$N383)^MAX(0,Scenario_DT!Q$18-3))*(Scenario_DT!Q$12+$O383)-Scenario_DT!Q$13)*(1-Scenario_DT!Q$14)+Scenario_DT!Q$13-Scenario_DT!Q$15)*Scenario_DT!Q$16</f>
        <v>3166.8285861021213</v>
      </c>
      <c r="AA383" s="28">
        <f>((Scenario_DT!R$11*(IF(Scenario_DT!R$18=1,1,1+$M383/Scenario_DT!$C$19)*(1+$N383)^MAX(0,Scenario_DT!R$18-3))*(Scenario_DT!R$12+$O383)-Scenario_DT!R$13)*(1-Scenario_DT!R$14)+Scenario_DT!R$13-Scenario_DT!R$15)*Scenario_DT!R$16</f>
        <v>3301.9103424894683</v>
      </c>
      <c r="AB383" s="17">
        <f>(Scenario_DT!$R$11*(1+$M383/Scenario_DT!$C$19)*(1+$N383)^7*(Scenario_DT!$R$12+$O383)*(1+MIN(DCF_FCFF!$C$26+$Q383,(DCF_FCFF!$C$25+$P383)-0.02))*(1-DCF_FCFF!$C$27)*(1-DCF_FCFF!$C$28)/((DCF_FCFF!$C$25+$P383)-MIN(DCF_FCFF!$C$26+$Q383,(DCF_FCFF!$C$25+$P383)-0.02)))*(1+(DCF_FCFF!$C$25+$P383))^(-(Inputs!$C$9+9))</f>
        <v>25124.988841744937</v>
      </c>
      <c r="AC383" s="17">
        <f>SUMPRODUCT(R383:AA383*(1+(DCF_FCFF!$C$25+$P383))^(-Scenario_DT!$I$17:$R$17))+AB383</f>
        <v>41326.552228027642</v>
      </c>
      <c r="AD383" s="68">
        <f>((AC383-DCF_FCFF!$C$48)*(1-DCF_FCFF!$C$50)+DCF_FCFF!$C$57+DCF_FCFF!$C$58)/DCF_FCFF!$C$60</f>
        <v>300.23957881350924</v>
      </c>
      <c r="AE383" s="6"/>
      <c r="AF383" s="6"/>
      <c r="AG383" s="6"/>
    </row>
    <row r="384" spans="1:33" x14ac:dyDescent="0.3">
      <c r="A384" s="6"/>
      <c r="B384" s="72">
        <v>353</v>
      </c>
      <c r="C384" s="73">
        <v>0.33216304770345201</v>
      </c>
      <c r="D384" s="73">
        <v>0.16913470738285599</v>
      </c>
      <c r="E384" s="73">
        <v>0.21177216346631</v>
      </c>
      <c r="F384" s="73">
        <v>9.0001391045089904E-2</v>
      </c>
      <c r="G384" s="73">
        <v>0.12011063010138399</v>
      </c>
      <c r="H384" s="15">
        <f t="shared" si="51"/>
        <v>-0.43394814731590697</v>
      </c>
      <c r="I384" s="15">
        <f t="shared" si="52"/>
        <v>-0.9575902555462894</v>
      </c>
      <c r="J384" s="15">
        <f t="shared" si="53"/>
        <v>-0.80028735627621361</v>
      </c>
      <c r="K384" s="15">
        <f t="shared" si="54"/>
        <v>-1.3407464676964722</v>
      </c>
      <c r="L384" s="15">
        <f t="shared" si="55"/>
        <v>-1.1744339330845159</v>
      </c>
      <c r="M384" s="18">
        <f t="shared" si="56"/>
        <v>-8.6789629463181403E-3</v>
      </c>
      <c r="N384" s="18">
        <f t="shared" si="57"/>
        <v>-8.370172491019779E-3</v>
      </c>
      <c r="O384" s="18">
        <f t="shared" si="58"/>
        <v>-9.6034482753145634E-3</v>
      </c>
      <c r="P384" s="18">
        <f t="shared" si="59"/>
        <v>-8.0444788061788328E-3</v>
      </c>
      <c r="Q384" s="18">
        <f t="shared" si="60"/>
        <v>-4.6977357323380641E-3</v>
      </c>
      <c r="R384" s="28">
        <f>((Scenario_DT!I$11*(IF(Scenario_DT!I$18=1,1,1+$M384/Scenario_DT!$C$19)*(1+$N384)^MAX(0,Scenario_DT!I$18-3))*(Scenario_DT!I$12+$O384)-Scenario_DT!I$13)*(1-Scenario_DT!I$14)+Scenario_DT!I$13-Scenario_DT!I$15)*Scenario_DT!I$16</f>
        <v>897.44470895506208</v>
      </c>
      <c r="S384" s="28">
        <f>((Scenario_DT!J$11*(IF(Scenario_DT!J$18=1,1,1+$M384/Scenario_DT!$C$19)*(1+$N384)^MAX(0,Scenario_DT!J$18-3))*(Scenario_DT!J$12+$O384)-Scenario_DT!J$13)*(1-Scenario_DT!J$14)+Scenario_DT!J$13-Scenario_DT!J$15)*Scenario_DT!J$16</f>
        <v>1781.5422074166167</v>
      </c>
      <c r="T384" s="28">
        <f>((Scenario_DT!K$11*(IF(Scenario_DT!K$18=1,1,1+$M384/Scenario_DT!$C$19)*(1+$N384)^MAX(0,Scenario_DT!K$18-3))*(Scenario_DT!K$12+$O384)-Scenario_DT!K$13)*(1-Scenario_DT!K$14)+Scenario_DT!K$13-Scenario_DT!K$15)*Scenario_DT!K$16</f>
        <v>2044.0020927208971</v>
      </c>
      <c r="U384" s="28">
        <f>((Scenario_DT!L$11*(IF(Scenario_DT!L$18=1,1,1+$M384/Scenario_DT!$C$19)*(1+$N384)^MAX(0,Scenario_DT!L$18-3))*(Scenario_DT!L$12+$O384)-Scenario_DT!L$13)*(1-Scenario_DT!L$14)+Scenario_DT!L$13-Scenario_DT!L$15)*Scenario_DT!L$16</f>
        <v>2421.2090892471715</v>
      </c>
      <c r="V384" s="28">
        <f>((Scenario_DT!M$11*(IF(Scenario_DT!M$18=1,1,1+$M384/Scenario_DT!$C$19)*(1+$N384)^MAX(0,Scenario_DT!M$18-3))*(Scenario_DT!M$12+$O384)-Scenario_DT!M$13)*(1-Scenario_DT!M$14)+Scenario_DT!M$13-Scenario_DT!M$15)*Scenario_DT!M$16</f>
        <v>2520.1205713863228</v>
      </c>
      <c r="W384" s="28">
        <f>((Scenario_DT!N$11*(IF(Scenario_DT!N$18=1,1,1+$M384/Scenario_DT!$C$19)*(1+$N384)^MAX(0,Scenario_DT!N$18-3))*(Scenario_DT!N$12+$O384)-Scenario_DT!N$13)*(1-Scenario_DT!N$14)+Scenario_DT!N$13-Scenario_DT!N$15)*Scenario_DT!N$16</f>
        <v>2623.0515142661593</v>
      </c>
      <c r="X384" s="28">
        <f>((Scenario_DT!O$11*(IF(Scenario_DT!O$18=1,1,1+$M384/Scenario_DT!$C$19)*(1+$N384)^MAX(0,Scenario_DT!O$18-3))*(Scenario_DT!O$12+$O384)-Scenario_DT!O$13)*(1-Scenario_DT!O$14)+Scenario_DT!O$13-Scenario_DT!O$15)*Scenario_DT!O$16</f>
        <v>2730.1667055273319</v>
      </c>
      <c r="Y384" s="28">
        <f>((Scenario_DT!P$11*(IF(Scenario_DT!P$18=1,1,1+$M384/Scenario_DT!$C$19)*(1+$N384)^MAX(0,Scenario_DT!P$18-3))*(Scenario_DT!P$12+$O384)-Scenario_DT!P$13)*(1-Scenario_DT!P$14)+Scenario_DT!P$13-Scenario_DT!P$15)*Scenario_DT!P$16</f>
        <v>2841.6377031680245</v>
      </c>
      <c r="Z384" s="28">
        <f>((Scenario_DT!Q$11*(IF(Scenario_DT!Q$18=1,1,1+$M384/Scenario_DT!$C$19)*(1+$N384)^MAX(0,Scenario_DT!Q$18-3))*(Scenario_DT!Q$12+$O384)-Scenario_DT!Q$13)*(1-Scenario_DT!Q$14)+Scenario_DT!Q$13-Scenario_DT!Q$15)*Scenario_DT!Q$16</f>
        <v>2957.6431138522548</v>
      </c>
      <c r="AA384" s="28">
        <f>((Scenario_DT!R$11*(IF(Scenario_DT!R$18=1,1,1+$M384/Scenario_DT!$C$19)*(1+$N384)^MAX(0,Scenario_DT!R$18-3))*(Scenario_DT!R$12+$O384)-Scenario_DT!R$13)*(1-Scenario_DT!R$14)+Scenario_DT!R$13-Scenario_DT!R$15)*Scenario_DT!R$16</f>
        <v>3078.3688826604675</v>
      </c>
      <c r="AB384" s="17">
        <f>(Scenario_DT!$R$11*(1+$M384/Scenario_DT!$C$19)*(1+$N384)^7*(Scenario_DT!$R$12+$O384)*(1+MIN(DCF_FCFF!$C$26+$Q384,(DCF_FCFF!$C$25+$P384)-0.02))*(1-DCF_FCFF!$C$27)*(1-DCF_FCFF!$C$28)/((DCF_FCFF!$C$25+$P384)-MIN(DCF_FCFF!$C$26+$Q384,(DCF_FCFF!$C$25+$P384)-0.02)))*(1+(DCF_FCFF!$C$25+$P384))^(-(Inputs!$C$9+9))</f>
        <v>29720.368800386328</v>
      </c>
      <c r="AC384" s="17">
        <f>SUMPRODUCT(R384:AA384*(1+(DCF_FCFF!$C$25+$P384))^(-Scenario_DT!$I$17:$R$17))+AB384</f>
        <v>45950.208314766336</v>
      </c>
      <c r="AD384" s="68">
        <f>((AC384-DCF_FCFF!$C$48)*(1-DCF_FCFF!$C$50)+DCF_FCFF!$C$57+DCF_FCFF!$C$58)/DCF_FCFF!$C$60</f>
        <v>344.62098308850085</v>
      </c>
      <c r="AE384" s="6"/>
      <c r="AF384" s="6"/>
      <c r="AG384" s="6"/>
    </row>
    <row r="385" spans="1:33" x14ac:dyDescent="0.3">
      <c r="A385" s="6"/>
      <c r="B385" s="72">
        <v>354</v>
      </c>
      <c r="C385" s="73">
        <v>7.1304534184845406E-2</v>
      </c>
      <c r="D385" s="73">
        <v>0.98982306920487395</v>
      </c>
      <c r="E385" s="73">
        <v>7.4057683369073604E-2</v>
      </c>
      <c r="F385" s="73">
        <v>0.13254208095141401</v>
      </c>
      <c r="G385" s="73">
        <v>0.827254595590736</v>
      </c>
      <c r="H385" s="15">
        <f t="shared" si="51"/>
        <v>-1.4661439726262964</v>
      </c>
      <c r="I385" s="15">
        <f t="shared" si="52"/>
        <v>2.3197600452646232</v>
      </c>
      <c r="J385" s="15">
        <f t="shared" si="53"/>
        <v>-1.4462204960043077</v>
      </c>
      <c r="K385" s="15">
        <f t="shared" si="54"/>
        <v>-1.1144547142155115</v>
      </c>
      <c r="L385" s="15">
        <f t="shared" si="55"/>
        <v>0.94337170865720144</v>
      </c>
      <c r="M385" s="18">
        <f t="shared" si="56"/>
        <v>-2.932287945252593E-2</v>
      </c>
      <c r="N385" s="18">
        <f t="shared" si="57"/>
        <v>1.0207193148561238E-2</v>
      </c>
      <c r="O385" s="18">
        <f t="shared" si="58"/>
        <v>-1.7354645952051693E-2</v>
      </c>
      <c r="P385" s="18">
        <f t="shared" si="59"/>
        <v>-6.686728285293069E-3</v>
      </c>
      <c r="Q385" s="18">
        <f t="shared" si="60"/>
        <v>3.7734868346288057E-3</v>
      </c>
      <c r="R385" s="28">
        <f>((Scenario_DT!I$11*(IF(Scenario_DT!I$18=1,1,1+$M385/Scenario_DT!$C$19)*(1+$N385)^MAX(0,Scenario_DT!I$18-3))*(Scenario_DT!I$12+$O385)-Scenario_DT!I$13)*(1-Scenario_DT!I$14)+Scenario_DT!I$13-Scenario_DT!I$15)*Scenario_DT!I$16</f>
        <v>886.51635438718995</v>
      </c>
      <c r="S385" s="28">
        <f>((Scenario_DT!J$11*(IF(Scenario_DT!J$18=1,1,1+$M385/Scenario_DT!$C$19)*(1+$N385)^MAX(0,Scenario_DT!J$18-3))*(Scenario_DT!J$12+$O385)-Scenario_DT!J$13)*(1-Scenario_DT!J$14)+Scenario_DT!J$13-Scenario_DT!J$15)*Scenario_DT!J$16</f>
        <v>1709.3912434753875</v>
      </c>
      <c r="T385" s="28">
        <f>((Scenario_DT!K$11*(IF(Scenario_DT!K$18=1,1,1+$M385/Scenario_DT!$C$19)*(1+$N385)^MAX(0,Scenario_DT!K$18-3))*(Scenario_DT!K$12+$O385)-Scenario_DT!K$13)*(1-Scenario_DT!K$14)+Scenario_DT!K$13-Scenario_DT!K$15)*Scenario_DT!K$16</f>
        <v>1968.5281239544292</v>
      </c>
      <c r="U385" s="28">
        <f>((Scenario_DT!L$11*(IF(Scenario_DT!L$18=1,1,1+$M385/Scenario_DT!$C$19)*(1+$N385)^MAX(0,Scenario_DT!L$18-3))*(Scenario_DT!L$12+$O385)-Scenario_DT!L$13)*(1-Scenario_DT!L$14)+Scenario_DT!L$13-Scenario_DT!L$15)*Scenario_DT!L$16</f>
        <v>2385.9300831390537</v>
      </c>
      <c r="V385" s="28">
        <f>((Scenario_DT!M$11*(IF(Scenario_DT!M$18=1,1,1+$M385/Scenario_DT!$C$19)*(1+$N385)^MAX(0,Scenario_DT!M$18-3))*(Scenario_DT!M$12+$O385)-Scenario_DT!M$13)*(1-Scenario_DT!M$14)+Scenario_DT!M$13-Scenario_DT!M$15)*Scenario_DT!M$16</f>
        <v>2530.257346574655</v>
      </c>
      <c r="W385" s="28">
        <f>((Scenario_DT!N$11*(IF(Scenario_DT!N$18=1,1,1+$M385/Scenario_DT!$C$19)*(1+$N385)^MAX(0,Scenario_DT!N$18-3))*(Scenario_DT!N$12+$O385)-Scenario_DT!N$13)*(1-Scenario_DT!N$14)+Scenario_DT!N$13-Scenario_DT!N$15)*Scenario_DT!N$16</f>
        <v>2683.3215270036503</v>
      </c>
      <c r="X385" s="28">
        <f>((Scenario_DT!O$11*(IF(Scenario_DT!O$18=1,1,1+$M385/Scenario_DT!$C$19)*(1+$N385)^MAX(0,Scenario_DT!O$18-3))*(Scenario_DT!O$12+$O385)-Scenario_DT!O$13)*(1-Scenario_DT!O$14)+Scenario_DT!O$13-Scenario_DT!O$15)*Scenario_DT!O$16</f>
        <v>2845.6546154014773</v>
      </c>
      <c r="Y385" s="28">
        <f>((Scenario_DT!P$11*(IF(Scenario_DT!P$18=1,1,1+$M385/Scenario_DT!$C$19)*(1+$N385)^MAX(0,Scenario_DT!P$18-3))*(Scenario_DT!P$12+$O385)-Scenario_DT!P$13)*(1-Scenario_DT!P$14)+Scenario_DT!P$13-Scenario_DT!P$15)*Scenario_DT!P$16</f>
        <v>3017.8209974657561</v>
      </c>
      <c r="Z385" s="28">
        <f>((Scenario_DT!Q$11*(IF(Scenario_DT!Q$18=1,1,1+$M385/Scenario_DT!$C$19)*(1+$N385)^MAX(0,Scenario_DT!Q$18-3))*(Scenario_DT!Q$12+$O385)-Scenario_DT!Q$13)*(1-Scenario_DT!Q$14)+Scenario_DT!Q$13-Scenario_DT!Q$15)*Scenario_DT!Q$16</f>
        <v>3200.4194249524785</v>
      </c>
      <c r="AA385" s="28">
        <f>((Scenario_DT!R$11*(IF(Scenario_DT!R$18=1,1,1+$M385/Scenario_DT!$C$19)*(1+$N385)^MAX(0,Scenario_DT!R$18-3))*(Scenario_DT!R$12+$O385)-Scenario_DT!R$13)*(1-Scenario_DT!R$14)+Scenario_DT!R$13-Scenario_DT!R$15)*Scenario_DT!R$16</f>
        <v>3394.0851069043047</v>
      </c>
      <c r="AB385" s="17">
        <f>(Scenario_DT!$R$11*(1+$M385/Scenario_DT!$C$19)*(1+$N385)^7*(Scenario_DT!$R$12+$O385)*(1+MIN(DCF_FCFF!$C$26+$Q385,(DCF_FCFF!$C$25+$P385)-0.02))*(1-DCF_FCFF!$C$27)*(1-DCF_FCFF!$C$28)/((DCF_FCFF!$C$25+$P385)-MIN(DCF_FCFF!$C$26+$Q385,(DCF_FCFF!$C$25+$P385)-0.02)))*(1+(DCF_FCFF!$C$25+$P385))^(-(Inputs!$C$9+9))</f>
        <v>38429.064675110705</v>
      </c>
      <c r="AC385" s="17">
        <f>SUMPRODUCT(R385:AA385*(1+(DCF_FCFF!$C$25+$P385))^(-Scenario_DT!$I$17:$R$17))+AB385</f>
        <v>54897.139362671514</v>
      </c>
      <c r="AD385" s="68">
        <f>((AC385-DCF_FCFF!$C$48)*(1-DCF_FCFF!$C$50)+DCF_FCFF!$C$57+DCF_FCFF!$C$58)/DCF_FCFF!$C$60</f>
        <v>430.50050276048256</v>
      </c>
      <c r="AE385" s="6"/>
      <c r="AF385" s="6"/>
      <c r="AG385" s="6"/>
    </row>
    <row r="386" spans="1:33" x14ac:dyDescent="0.3">
      <c r="A386" s="6"/>
      <c r="B386" s="72">
        <v>355</v>
      </c>
      <c r="C386" s="73">
        <v>0.58024021674294302</v>
      </c>
      <c r="D386" s="73">
        <v>0.77441720456933205</v>
      </c>
      <c r="E386" s="73">
        <v>0.63091200777265499</v>
      </c>
      <c r="F386" s="73">
        <v>0.88217507032894804</v>
      </c>
      <c r="G386" s="73">
        <v>0.63846752776474103</v>
      </c>
      <c r="H386" s="15">
        <f t="shared" si="51"/>
        <v>0.20250804907911865</v>
      </c>
      <c r="I386" s="15">
        <f t="shared" si="52"/>
        <v>0.75347323189474369</v>
      </c>
      <c r="J386" s="15">
        <f t="shared" si="53"/>
        <v>0.33426979031445087</v>
      </c>
      <c r="K386" s="15">
        <f t="shared" si="54"/>
        <v>1.1859302158561635</v>
      </c>
      <c r="L386" s="15">
        <f t="shared" si="55"/>
        <v>0.35436555570476208</v>
      </c>
      <c r="M386" s="18">
        <f t="shared" si="56"/>
        <v>4.0501609815823732E-3</v>
      </c>
      <c r="N386" s="18">
        <f t="shared" si="57"/>
        <v>6.0302478754557659E-3</v>
      </c>
      <c r="O386" s="18">
        <f t="shared" si="58"/>
        <v>4.0112374837734102E-3</v>
      </c>
      <c r="P386" s="18">
        <f t="shared" si="59"/>
        <v>7.115581295136981E-3</v>
      </c>
      <c r="Q386" s="18">
        <f t="shared" si="60"/>
        <v>1.4174622228190483E-3</v>
      </c>
      <c r="R386" s="28">
        <f>((Scenario_DT!I$11*(IF(Scenario_DT!I$18=1,1,1+$M386/Scenario_DT!$C$19)*(1+$N386)^MAX(0,Scenario_DT!I$18-3))*(Scenario_DT!I$12+$O386)-Scenario_DT!I$13)*(1-Scenario_DT!I$14)+Scenario_DT!I$13-Scenario_DT!I$15)*Scenario_DT!I$16</f>
        <v>916.63995071131478</v>
      </c>
      <c r="S386" s="28">
        <f>((Scenario_DT!J$11*(IF(Scenario_DT!J$18=1,1,1+$M386/Scenario_DT!$C$19)*(1+$N386)^MAX(0,Scenario_DT!J$18-3))*(Scenario_DT!J$12+$O386)-Scenario_DT!J$13)*(1-Scenario_DT!J$14)+Scenario_DT!J$13-Scenario_DT!J$15)*Scenario_DT!J$16</f>
        <v>1854.133499844153</v>
      </c>
      <c r="T386" s="28">
        <f>((Scenario_DT!K$11*(IF(Scenario_DT!K$18=1,1,1+$M386/Scenario_DT!$C$19)*(1+$N386)^MAX(0,Scenario_DT!K$18-3))*(Scenario_DT!K$12+$O386)-Scenario_DT!K$13)*(1-Scenario_DT!K$14)+Scenario_DT!K$13-Scenario_DT!K$15)*Scenario_DT!K$16</f>
        <v>2119.663267976819</v>
      </c>
      <c r="U386" s="28">
        <f>((Scenario_DT!L$11*(IF(Scenario_DT!L$18=1,1,1+$M386/Scenario_DT!$C$19)*(1+$N386)^MAX(0,Scenario_DT!L$18-3))*(Scenario_DT!L$12+$O386)-Scenario_DT!L$13)*(1-Scenario_DT!L$14)+Scenario_DT!L$13-Scenario_DT!L$15)*Scenario_DT!L$16</f>
        <v>2537.4346153082697</v>
      </c>
      <c r="V386" s="28">
        <f>((Scenario_DT!M$11*(IF(Scenario_DT!M$18=1,1,1+$M386/Scenario_DT!$C$19)*(1+$N386)^MAX(0,Scenario_DT!M$18-3))*(Scenario_DT!M$12+$O386)-Scenario_DT!M$13)*(1-Scenario_DT!M$14)+Scenario_DT!M$13-Scenario_DT!M$15)*Scenario_DT!M$16</f>
        <v>2679.7581916577501</v>
      </c>
      <c r="W386" s="28">
        <f>((Scenario_DT!N$11*(IF(Scenario_DT!N$18=1,1,1+$M386/Scenario_DT!$C$19)*(1+$N386)^MAX(0,Scenario_DT!N$18-3))*(Scenario_DT!N$12+$O386)-Scenario_DT!N$13)*(1-Scenario_DT!N$14)+Scenario_DT!N$13-Scenario_DT!N$15)*Scenario_DT!N$16</f>
        <v>2830.0659598178145</v>
      </c>
      <c r="X386" s="28">
        <f>((Scenario_DT!O$11*(IF(Scenario_DT!O$18=1,1,1+$M386/Scenario_DT!$C$19)*(1+$N386)^MAX(0,Scenario_DT!O$18-3))*(Scenario_DT!O$12+$O386)-Scenario_DT!O$13)*(1-Scenario_DT!O$14)+Scenario_DT!O$13-Scenario_DT!O$15)*Scenario_DT!O$16</f>
        <v>2988.8086580626132</v>
      </c>
      <c r="Y386" s="28">
        <f>((Scenario_DT!P$11*(IF(Scenario_DT!P$18=1,1,1+$M386/Scenario_DT!$C$19)*(1+$N386)^MAX(0,Scenario_DT!P$18-3))*(Scenario_DT!P$12+$O386)-Scenario_DT!P$13)*(1-Scenario_DT!P$14)+Scenario_DT!P$13-Scenario_DT!P$15)*Scenario_DT!P$16</f>
        <v>3156.4624833815983</v>
      </c>
      <c r="Z386" s="28">
        <f>((Scenario_DT!Q$11*(IF(Scenario_DT!Q$18=1,1,1+$M386/Scenario_DT!$C$19)*(1+$N386)^MAX(0,Scenario_DT!Q$18-3))*(Scenario_DT!Q$12+$O386)-Scenario_DT!Q$13)*(1-Scenario_DT!Q$14)+Scenario_DT!Q$13-Scenario_DT!Q$15)*Scenario_DT!Q$16</f>
        <v>3333.5305288716422</v>
      </c>
      <c r="AA386" s="28">
        <f>((Scenario_DT!R$11*(IF(Scenario_DT!R$18=1,1,1+$M386/Scenario_DT!$C$19)*(1+$N386)^MAX(0,Scenario_DT!R$18-3))*(Scenario_DT!R$12+$O386)-Scenario_DT!R$13)*(1-Scenario_DT!R$14)+Scenario_DT!R$13-Scenario_DT!R$15)*Scenario_DT!R$16</f>
        <v>3520.5443022469003</v>
      </c>
      <c r="AB386" s="17">
        <f>(Scenario_DT!$R$11*(1+$M386/Scenario_DT!$C$19)*(1+$N386)^7*(Scenario_DT!$R$12+$O386)*(1+MIN(DCF_FCFF!$C$26+$Q386,(DCF_FCFF!$C$25+$P386)-0.02))*(1-DCF_FCFF!$C$27)*(1-DCF_FCFF!$C$28)/((DCF_FCFF!$C$25+$P386)-MIN(DCF_FCFF!$C$26+$Q386,(DCF_FCFF!$C$25+$P386)-0.02)))*(1+(DCF_FCFF!$C$25+$P386))^(-(Inputs!$C$9+9))</f>
        <v>25109.01039215062</v>
      </c>
      <c r="AC386" s="17">
        <f>SUMPRODUCT(R386:AA386*(1+(DCF_FCFF!$C$25+$P386))^(-Scenario_DT!$I$17:$R$17))+AB386</f>
        <v>41503.053384607294</v>
      </c>
      <c r="AD386" s="68">
        <f>((AC386-DCF_FCFF!$C$48)*(1-DCF_FCFF!$C$50)+DCF_FCFF!$C$57+DCF_FCFF!$C$58)/DCF_FCFF!$C$60</f>
        <v>301.93377255071914</v>
      </c>
      <c r="AE386" s="6"/>
      <c r="AF386" s="6"/>
      <c r="AG386" s="6"/>
    </row>
    <row r="387" spans="1:33" x14ac:dyDescent="0.3">
      <c r="A387" s="6"/>
      <c r="B387" s="72">
        <v>356</v>
      </c>
      <c r="C387" s="73">
        <v>0.52212509290315101</v>
      </c>
      <c r="D387" s="73">
        <v>0.71274969376130004</v>
      </c>
      <c r="E387" s="73">
        <v>0.44739275179211002</v>
      </c>
      <c r="F387" s="73">
        <v>0.34606382290473497</v>
      </c>
      <c r="G387" s="73">
        <v>0.46765245245021297</v>
      </c>
      <c r="H387" s="15">
        <f t="shared" si="51"/>
        <v>5.5487843899274164E-2</v>
      </c>
      <c r="I387" s="15">
        <f t="shared" si="52"/>
        <v>0.56143561231673589</v>
      </c>
      <c r="J387" s="15">
        <f t="shared" si="53"/>
        <v>-0.1322513282136325</v>
      </c>
      <c r="K387" s="15">
        <f t="shared" si="54"/>
        <v>-0.39596934115883103</v>
      </c>
      <c r="L387" s="15">
        <f t="shared" si="55"/>
        <v>-8.1172329301358662E-2</v>
      </c>
      <c r="M387" s="18">
        <f t="shared" si="56"/>
        <v>1.1097568779854833E-3</v>
      </c>
      <c r="N387" s="18">
        <f t="shared" si="57"/>
        <v>4.1116913984416146E-3</v>
      </c>
      <c r="O387" s="18">
        <f t="shared" si="58"/>
        <v>-1.5870159385635901E-3</v>
      </c>
      <c r="P387" s="18">
        <f t="shared" si="59"/>
        <v>-2.3758160469529864E-3</v>
      </c>
      <c r="Q387" s="18">
        <f t="shared" si="60"/>
        <v>-3.2468931720543463E-4</v>
      </c>
      <c r="R387" s="28">
        <f>((Scenario_DT!I$11*(IF(Scenario_DT!I$18=1,1,1+$M387/Scenario_DT!$C$19)*(1+$N387)^MAX(0,Scenario_DT!I$18-3))*(Scenario_DT!I$12+$O387)-Scenario_DT!I$13)*(1-Scenario_DT!I$14)+Scenario_DT!I$13-Scenario_DT!I$15)*Scenario_DT!I$16</f>
        <v>908.74701584994318</v>
      </c>
      <c r="S387" s="28">
        <f>((Scenario_DT!J$11*(IF(Scenario_DT!J$18=1,1,1+$M387/Scenario_DT!$C$19)*(1+$N387)^MAX(0,Scenario_DT!J$18-3))*(Scenario_DT!J$12+$O387)-Scenario_DT!J$13)*(1-Scenario_DT!J$14)+Scenario_DT!J$13-Scenario_DT!J$15)*Scenario_DT!J$16</f>
        <v>1829.6302139797908</v>
      </c>
      <c r="T387" s="28">
        <f>((Scenario_DT!K$11*(IF(Scenario_DT!K$18=1,1,1+$M387/Scenario_DT!$C$19)*(1+$N387)^MAX(0,Scenario_DT!K$18-3))*(Scenario_DT!K$12+$O387)-Scenario_DT!K$13)*(1-Scenario_DT!K$14)+Scenario_DT!K$13-Scenario_DT!K$15)*Scenario_DT!K$16</f>
        <v>2094.1698568988277</v>
      </c>
      <c r="U387" s="28">
        <f>((Scenario_DT!L$11*(IF(Scenario_DT!L$18=1,1,1+$M387/Scenario_DT!$C$19)*(1+$N387)^MAX(0,Scenario_DT!L$18-3))*(Scenario_DT!L$12+$O387)-Scenario_DT!L$13)*(1-Scenario_DT!L$14)+Scenario_DT!L$13-Scenario_DT!L$15)*Scenario_DT!L$16</f>
        <v>2505.3837881067984</v>
      </c>
      <c r="V387" s="28">
        <f>((Scenario_DT!M$11*(IF(Scenario_DT!M$18=1,1,1+$M387/Scenario_DT!$C$19)*(1+$N387)^MAX(0,Scenario_DT!M$18-3))*(Scenario_DT!M$12+$O387)-Scenario_DT!M$13)*(1-Scenario_DT!M$14)+Scenario_DT!M$13-Scenario_DT!M$15)*Scenario_DT!M$16</f>
        <v>2640.8208344535306</v>
      </c>
      <c r="W387" s="28">
        <f>((Scenario_DT!N$11*(IF(Scenario_DT!N$18=1,1,1+$M387/Scenario_DT!$C$19)*(1+$N387)^MAX(0,Scenario_DT!N$18-3))*(Scenario_DT!N$12+$O387)-Scenario_DT!N$13)*(1-Scenario_DT!N$14)+Scenario_DT!N$13-Scenario_DT!N$15)*Scenario_DT!N$16</f>
        <v>2783.5781534320572</v>
      </c>
      <c r="X387" s="28">
        <f>((Scenario_DT!O$11*(IF(Scenario_DT!O$18=1,1,1+$M387/Scenario_DT!$C$19)*(1+$N387)^MAX(0,Scenario_DT!O$18-3))*(Scenario_DT!O$12+$O387)-Scenario_DT!O$13)*(1-Scenario_DT!O$14)+Scenario_DT!O$13-Scenario_DT!O$15)*Scenario_DT!O$16</f>
        <v>2934.0540926195245</v>
      </c>
      <c r="Y387" s="28">
        <f>((Scenario_DT!P$11*(IF(Scenario_DT!P$18=1,1,1+$M387/Scenario_DT!$C$19)*(1+$N387)^MAX(0,Scenario_DT!P$18-3))*(Scenario_DT!P$12+$O387)-Scenario_DT!P$13)*(1-Scenario_DT!P$14)+Scenario_DT!P$13-Scenario_DT!P$15)*Scenario_DT!P$16</f>
        <v>3092.6686927800306</v>
      </c>
      <c r="Z387" s="28">
        <f>((Scenario_DT!Q$11*(IF(Scenario_DT!Q$18=1,1,1+$M387/Scenario_DT!$C$19)*(1+$N387)^MAX(0,Scenario_DT!Q$18-3))*(Scenario_DT!Q$12+$O387)-Scenario_DT!Q$13)*(1-Scenario_DT!Q$14)+Scenario_DT!Q$13-Scenario_DT!Q$15)*Scenario_DT!Q$16</f>
        <v>3259.8648689090783</v>
      </c>
      <c r="AA387" s="28">
        <f>((Scenario_DT!R$11*(IF(Scenario_DT!R$18=1,1,1+$M387/Scenario_DT!$C$19)*(1+$N387)^MAX(0,Scenario_DT!R$18-3))*(Scenario_DT!R$12+$O387)-Scenario_DT!R$13)*(1-Scenario_DT!R$14)+Scenario_DT!R$13-Scenario_DT!R$15)*Scenario_DT!R$16</f>
        <v>3436.1096555528629</v>
      </c>
      <c r="AB387" s="17">
        <f>(Scenario_DT!$R$11*(1+$M387/Scenario_DT!$C$19)*(1+$N387)^7*(Scenario_DT!$R$12+$O387)*(1+MIN(DCF_FCFF!$C$26+$Q387,(DCF_FCFF!$C$25+$P387)-0.02))*(1-DCF_FCFF!$C$27)*(1-DCF_FCFF!$C$28)/((DCF_FCFF!$C$25+$P387)-MIN(DCF_FCFF!$C$26+$Q387,(DCF_FCFF!$C$25+$P387)-0.02)))*(1+(DCF_FCFF!$C$25+$P387))^(-(Inputs!$C$9+9))</f>
        <v>30827.371155497392</v>
      </c>
      <c r="AC387" s="17">
        <f>SUMPRODUCT(R387:AA387*(1+(DCF_FCFF!$C$25+$P387))^(-Scenario_DT!$I$17:$R$17))+AB387</f>
        <v>47612.932717119184</v>
      </c>
      <c r="AD387" s="68">
        <f>((AC387-DCF_FCFF!$C$48)*(1-DCF_FCFF!$C$50)+DCF_FCFF!$C$57+DCF_FCFF!$C$58)/DCF_FCFF!$C$60</f>
        <v>360.58108966095273</v>
      </c>
      <c r="AE387" s="6"/>
      <c r="AF387" s="6"/>
      <c r="AG387" s="6"/>
    </row>
    <row r="388" spans="1:33" x14ac:dyDescent="0.3">
      <c r="A388" s="6"/>
      <c r="B388" s="72">
        <v>357</v>
      </c>
      <c r="C388" s="73">
        <v>0.169714105098561</v>
      </c>
      <c r="D388" s="73">
        <v>0.79657172980269098</v>
      </c>
      <c r="E388" s="73">
        <v>0.26070378133594502</v>
      </c>
      <c r="F388" s="73">
        <v>0.15353154633704799</v>
      </c>
      <c r="G388" s="73">
        <v>0.24635224178322701</v>
      </c>
      <c r="H388" s="15">
        <f t="shared" si="51"/>
        <v>-0.95529564307054993</v>
      </c>
      <c r="I388" s="15">
        <f t="shared" si="52"/>
        <v>0.82943811661334244</v>
      </c>
      <c r="J388" s="15">
        <f t="shared" si="53"/>
        <v>-0.64117719772970616</v>
      </c>
      <c r="K388" s="15">
        <f t="shared" si="54"/>
        <v>-1.0214039542387623</v>
      </c>
      <c r="L388" s="15">
        <f t="shared" si="55"/>
        <v>-0.68601367733683716</v>
      </c>
      <c r="M388" s="18">
        <f t="shared" si="56"/>
        <v>-1.9105912861410997E-2</v>
      </c>
      <c r="N388" s="18">
        <f t="shared" si="57"/>
        <v>1.9253332665519931E-3</v>
      </c>
      <c r="O388" s="18">
        <f t="shared" si="58"/>
        <v>-7.694126372756474E-3</v>
      </c>
      <c r="P388" s="18">
        <f t="shared" si="59"/>
        <v>-6.1284237254325743E-3</v>
      </c>
      <c r="Q388" s="18">
        <f t="shared" si="60"/>
        <v>-2.7440547093473488E-3</v>
      </c>
      <c r="R388" s="28">
        <f>((Scenario_DT!I$11*(IF(Scenario_DT!I$18=1,1,1+$M388/Scenario_DT!$C$19)*(1+$N388)^MAX(0,Scenario_DT!I$18-3))*(Scenario_DT!I$12+$O388)-Scenario_DT!I$13)*(1-Scenario_DT!I$14)+Scenario_DT!I$13-Scenario_DT!I$15)*Scenario_DT!I$16</f>
        <v>900.13664736323619</v>
      </c>
      <c r="S388" s="28">
        <f>((Scenario_DT!J$11*(IF(Scenario_DT!J$18=1,1,1+$M388/Scenario_DT!$C$19)*(1+$N388)^MAX(0,Scenario_DT!J$18-3))*(Scenario_DT!J$12+$O388)-Scenario_DT!J$13)*(1-Scenario_DT!J$14)+Scenario_DT!J$13-Scenario_DT!J$15)*Scenario_DT!J$16</f>
        <v>1762.7004723110131</v>
      </c>
      <c r="T388" s="28">
        <f>((Scenario_DT!K$11*(IF(Scenario_DT!K$18=1,1,1+$M388/Scenario_DT!$C$19)*(1+$N388)^MAX(0,Scenario_DT!K$18-3))*(Scenario_DT!K$12+$O388)-Scenario_DT!K$13)*(1-Scenario_DT!K$14)+Scenario_DT!K$13-Scenario_DT!K$15)*Scenario_DT!K$16</f>
        <v>2024.1213461485759</v>
      </c>
      <c r="U388" s="28">
        <f>((Scenario_DT!L$11*(IF(Scenario_DT!L$18=1,1,1+$M388/Scenario_DT!$C$19)*(1+$N388)^MAX(0,Scenario_DT!L$18-3))*(Scenario_DT!L$12+$O388)-Scenario_DT!L$13)*(1-Scenario_DT!L$14)+Scenario_DT!L$13-Scenario_DT!L$15)*Scenario_DT!L$16</f>
        <v>2425.3727107973382</v>
      </c>
      <c r="V388" s="28">
        <f>((Scenario_DT!M$11*(IF(Scenario_DT!M$18=1,1,1+$M388/Scenario_DT!$C$19)*(1+$N388)^MAX(0,Scenario_DT!M$18-3))*(Scenario_DT!M$12+$O388)-Scenario_DT!M$13)*(1-Scenario_DT!M$14)+Scenario_DT!M$13-Scenario_DT!M$15)*Scenario_DT!M$16</f>
        <v>2550.8571641044732</v>
      </c>
      <c r="W388" s="28">
        <f>((Scenario_DT!N$11*(IF(Scenario_DT!N$18=1,1,1+$M388/Scenario_DT!$C$19)*(1+$N388)^MAX(0,Scenario_DT!N$18-3))*(Scenario_DT!N$12+$O388)-Scenario_DT!N$13)*(1-Scenario_DT!N$14)+Scenario_DT!N$13-Scenario_DT!N$15)*Scenario_DT!N$16</f>
        <v>2682.8296275161151</v>
      </c>
      <c r="X388" s="28">
        <f>((Scenario_DT!O$11*(IF(Scenario_DT!O$18=1,1,1+$M388/Scenario_DT!$C$19)*(1+$N388)^MAX(0,Scenario_DT!O$18-3))*(Scenario_DT!O$12+$O388)-Scenario_DT!O$13)*(1-Scenario_DT!O$14)+Scenario_DT!O$13-Scenario_DT!O$15)*Scenario_DT!O$16</f>
        <v>2821.628069507301</v>
      </c>
      <c r="Y388" s="28">
        <f>((Scenario_DT!P$11*(IF(Scenario_DT!P$18=1,1,1+$M388/Scenario_DT!$C$19)*(1+$N388)^MAX(0,Scenario_DT!P$18-3))*(Scenario_DT!P$12+$O388)-Scenario_DT!P$13)*(1-Scenario_DT!P$14)+Scenario_DT!P$13-Scenario_DT!P$15)*Scenario_DT!P$16</f>
        <v>2967.6080827947603</v>
      </c>
      <c r="Z388" s="28">
        <f>((Scenario_DT!Q$11*(IF(Scenario_DT!Q$18=1,1,1+$M388/Scenario_DT!$C$19)*(1+$N388)^MAX(0,Scenario_DT!Q$18-3))*(Scenario_DT!Q$12+$O388)-Scenario_DT!Q$13)*(1-Scenario_DT!Q$14)+Scenario_DT!Q$13-Scenario_DT!Q$15)*Scenario_DT!Q$16</f>
        <v>3121.1438033058221</v>
      </c>
      <c r="AA388" s="28">
        <f>((Scenario_DT!R$11*(IF(Scenario_DT!R$18=1,1,1+$M388/Scenario_DT!$C$19)*(1+$N388)^MAX(0,Scenario_DT!R$18-3))*(Scenario_DT!R$12+$O388)-Scenario_DT!R$13)*(1-Scenario_DT!R$14)+Scenario_DT!R$13-Scenario_DT!R$15)*Scenario_DT!R$16</f>
        <v>3282.6288770508213</v>
      </c>
      <c r="AB388" s="17">
        <f>(Scenario_DT!$R$11*(1+$M388/Scenario_DT!$C$19)*(1+$N388)^7*(Scenario_DT!$R$12+$O388)*(1+MIN(DCF_FCFF!$C$26+$Q388,(DCF_FCFF!$C$25+$P388)-0.02))*(1-DCF_FCFF!$C$27)*(1-DCF_FCFF!$C$28)/((DCF_FCFF!$C$25+$P388)-MIN(DCF_FCFF!$C$26+$Q388,(DCF_FCFF!$C$25+$P388)-0.02)))*(1+(DCF_FCFF!$C$25+$P388))^(-(Inputs!$C$9+9))</f>
        <v>31232.077701421509</v>
      </c>
      <c r="AC388" s="17">
        <f>SUMPRODUCT(R388:AA388*(1+(DCF_FCFF!$C$25+$P388))^(-Scenario_DT!$I$17:$R$17))+AB388</f>
        <v>47676.9675968378</v>
      </c>
      <c r="AD388" s="68">
        <f>((AC388-DCF_FCFF!$C$48)*(1-DCF_FCFF!$C$50)+DCF_FCFF!$C$57+DCF_FCFF!$C$58)/DCF_FCFF!$C$60</f>
        <v>361.19574564556274</v>
      </c>
      <c r="AE388" s="6"/>
      <c r="AF388" s="6"/>
      <c r="AG388" s="6"/>
    </row>
    <row r="389" spans="1:33" x14ac:dyDescent="0.3">
      <c r="A389" s="6"/>
      <c r="B389" s="72">
        <v>358</v>
      </c>
      <c r="C389" s="73">
        <v>0.84207015177223998</v>
      </c>
      <c r="D389" s="73">
        <v>0.33020129559773098</v>
      </c>
      <c r="E389" s="73">
        <v>0.68604986950589997</v>
      </c>
      <c r="F389" s="73">
        <v>0.85640963065573905</v>
      </c>
      <c r="G389" s="73">
        <v>7.7744666925042102E-2</v>
      </c>
      <c r="H389" s="15">
        <f t="shared" si="51"/>
        <v>1.0030024141346758</v>
      </c>
      <c r="I389" s="15">
        <f t="shared" si="52"/>
        <v>-0.43935739675284891</v>
      </c>
      <c r="J389" s="15">
        <f t="shared" si="53"/>
        <v>0.48468436200856213</v>
      </c>
      <c r="K389" s="15">
        <f t="shared" si="54"/>
        <v>1.0643266734023868</v>
      </c>
      <c r="L389" s="15">
        <f t="shared" si="55"/>
        <v>-1.4204066296318978</v>
      </c>
      <c r="M389" s="18">
        <f t="shared" si="56"/>
        <v>2.0060048282693518E-2</v>
      </c>
      <c r="N389" s="18">
        <f t="shared" si="57"/>
        <v>9.6805232111017725E-4</v>
      </c>
      <c r="O389" s="18">
        <f t="shared" si="58"/>
        <v>5.8162123441027457E-3</v>
      </c>
      <c r="P389" s="18">
        <f t="shared" si="59"/>
        <v>6.3859600404143216E-3</v>
      </c>
      <c r="Q389" s="18">
        <f t="shared" si="60"/>
        <v>-5.681626518527591E-3</v>
      </c>
      <c r="R389" s="28">
        <f>((Scenario_DT!I$11*(IF(Scenario_DT!I$18=1,1,1+$M389/Scenario_DT!$C$19)*(1+$N389)^MAX(0,Scenario_DT!I$18-3))*(Scenario_DT!I$12+$O389)-Scenario_DT!I$13)*(1-Scenario_DT!I$14)+Scenario_DT!I$13-Scenario_DT!I$15)*Scenario_DT!I$16</f>
        <v>919.18477101940391</v>
      </c>
      <c r="S389" s="28">
        <f>((Scenario_DT!J$11*(IF(Scenario_DT!J$18=1,1,1+$M389/Scenario_DT!$C$19)*(1+$N389)^MAX(0,Scenario_DT!J$18-3))*(Scenario_DT!J$12+$O389)-Scenario_DT!J$13)*(1-Scenario_DT!J$14)+Scenario_DT!J$13-Scenario_DT!J$15)*Scenario_DT!J$16</f>
        <v>1898.4384606262242</v>
      </c>
      <c r="T389" s="28">
        <f>((Scenario_DT!K$11*(IF(Scenario_DT!K$18=1,1,1+$M389/Scenario_DT!$C$19)*(1+$N389)^MAX(0,Scenario_DT!K$18-3))*(Scenario_DT!K$12+$O389)-Scenario_DT!K$13)*(1-Scenario_DT!K$14)+Scenario_DT!K$13-Scenario_DT!K$15)*Scenario_DT!K$16</f>
        <v>2166.1220889434994</v>
      </c>
      <c r="U389" s="28">
        <f>((Scenario_DT!L$11*(IF(Scenario_DT!L$18=1,1,1+$M389/Scenario_DT!$C$19)*(1+$N389)^MAX(0,Scenario_DT!L$18-3))*(Scenario_DT!L$12+$O389)-Scenario_DT!L$13)*(1-Scenario_DT!L$14)+Scenario_DT!L$13-Scenario_DT!L$15)*Scenario_DT!L$16</f>
        <v>2573.9583691304488</v>
      </c>
      <c r="V389" s="28">
        <f>((Scenario_DT!M$11*(IF(Scenario_DT!M$18=1,1,1+$M389/Scenario_DT!$C$19)*(1+$N389)^MAX(0,Scenario_DT!M$18-3))*(Scenario_DT!M$12+$O389)-Scenario_DT!M$13)*(1-Scenario_DT!M$14)+Scenario_DT!M$13-Scenario_DT!M$15)*Scenario_DT!M$16</f>
        <v>2704.568323043994</v>
      </c>
      <c r="W389" s="28">
        <f>((Scenario_DT!N$11*(IF(Scenario_DT!N$18=1,1,1+$M389/Scenario_DT!$C$19)*(1+$N389)^MAX(0,Scenario_DT!N$18-3))*(Scenario_DT!N$12+$O389)-Scenario_DT!N$13)*(1-Scenario_DT!N$14)+Scenario_DT!N$13-Scenario_DT!N$15)*Scenario_DT!N$16</f>
        <v>2841.8000686362902</v>
      </c>
      <c r="X389" s="28">
        <f>((Scenario_DT!O$11*(IF(Scenario_DT!O$18=1,1,1+$M389/Scenario_DT!$C$19)*(1+$N389)^MAX(0,Scenario_DT!O$18-3))*(Scenario_DT!O$12+$O389)-Scenario_DT!O$13)*(1-Scenario_DT!O$14)+Scenario_DT!O$13-Scenario_DT!O$15)*Scenario_DT!O$16</f>
        <v>2985.9917561142311</v>
      </c>
      <c r="Y389" s="28">
        <f>((Scenario_DT!P$11*(IF(Scenario_DT!P$18=1,1,1+$M389/Scenario_DT!$C$19)*(1+$N389)^MAX(0,Scenario_DT!P$18-3))*(Scenario_DT!P$12+$O389)-Scenario_DT!P$13)*(1-Scenario_DT!P$14)+Scenario_DT!P$13-Scenario_DT!P$15)*Scenario_DT!P$16</f>
        <v>3137.4988236010709</v>
      </c>
      <c r="Z389" s="28">
        <f>((Scenario_DT!Q$11*(IF(Scenario_DT!Q$18=1,1,1+$M389/Scenario_DT!$C$19)*(1+$N389)^MAX(0,Scenario_DT!Q$18-3))*(Scenario_DT!Q$12+$O389)-Scenario_DT!Q$13)*(1-Scenario_DT!Q$14)+Scenario_DT!Q$13-Scenario_DT!Q$15)*Scenario_DT!Q$16</f>
        <v>3296.694880968716</v>
      </c>
      <c r="AA389" s="28">
        <f>((Scenario_DT!R$11*(IF(Scenario_DT!R$18=1,1,1+$M389/Scenario_DT!$C$19)*(1+$N389)^MAX(0,Scenario_DT!R$18-3))*(Scenario_DT!R$12+$O389)-Scenario_DT!R$13)*(1-Scenario_DT!R$14)+Scenario_DT!R$13-Scenario_DT!R$15)*Scenario_DT!R$16</f>
        <v>3463.972638845702</v>
      </c>
      <c r="AB389" s="17">
        <f>(Scenario_DT!$R$11*(1+$M389/Scenario_DT!$C$19)*(1+$N389)^7*(Scenario_DT!$R$12+$O389)*(1+MIN(DCF_FCFF!$C$26+$Q389,(DCF_FCFF!$C$25+$P389)-0.02))*(1-DCF_FCFF!$C$27)*(1-DCF_FCFF!$C$28)/((DCF_FCFF!$C$25+$P389)-MIN(DCF_FCFF!$C$26+$Q389,(DCF_FCFF!$C$25+$P389)-0.02)))*(1+(DCF_FCFF!$C$25+$P389))^(-(Inputs!$C$9+9))</f>
        <v>22177.214686879801</v>
      </c>
      <c r="AC389" s="17">
        <f>SUMPRODUCT(R389:AA389*(1+(DCF_FCFF!$C$25+$P389))^(-Scenario_DT!$I$17:$R$17))+AB389</f>
        <v>38701.642931696755</v>
      </c>
      <c r="AD389" s="68">
        <f>((AC389-DCF_FCFF!$C$48)*(1-DCF_FCFF!$C$50)+DCF_FCFF!$C$57+DCF_FCFF!$C$58)/DCF_FCFF!$C$60</f>
        <v>275.04368221562532</v>
      </c>
      <c r="AE389" s="6"/>
      <c r="AF389" s="6"/>
      <c r="AG389" s="6"/>
    </row>
    <row r="390" spans="1:33" x14ac:dyDescent="0.3">
      <c r="A390" s="6"/>
      <c r="B390" s="72">
        <v>359</v>
      </c>
      <c r="C390" s="73">
        <v>0.76502440517804304</v>
      </c>
      <c r="D390" s="73">
        <v>0.30766546637902997</v>
      </c>
      <c r="E390" s="73">
        <v>0.21662236418404299</v>
      </c>
      <c r="F390" s="73">
        <v>0.68890145245297196</v>
      </c>
      <c r="G390" s="73">
        <v>0.90979662273323403</v>
      </c>
      <c r="H390" s="15">
        <f t="shared" si="51"/>
        <v>0.72255847195291834</v>
      </c>
      <c r="I390" s="15">
        <f t="shared" si="52"/>
        <v>-0.50247855626639459</v>
      </c>
      <c r="J390" s="15">
        <f t="shared" si="53"/>
        <v>-0.7836513293375108</v>
      </c>
      <c r="K390" s="15">
        <f t="shared" si="54"/>
        <v>0.4927388896839488</v>
      </c>
      <c r="L390" s="15">
        <f t="shared" si="55"/>
        <v>1.3395036883238371</v>
      </c>
      <c r="M390" s="18">
        <f t="shared" si="56"/>
        <v>1.4451169439058368E-2</v>
      </c>
      <c r="N390" s="18">
        <f t="shared" si="57"/>
        <v>-5.9103966885733564E-4</v>
      </c>
      <c r="O390" s="18">
        <f t="shared" si="58"/>
        <v>-9.4038159520501291E-3</v>
      </c>
      <c r="P390" s="18">
        <f t="shared" si="59"/>
        <v>2.9564333381036927E-3</v>
      </c>
      <c r="Q390" s="18">
        <f t="shared" si="60"/>
        <v>5.3580147532953483E-3</v>
      </c>
      <c r="R390" s="28">
        <f>((Scenario_DT!I$11*(IF(Scenario_DT!I$18=1,1,1+$M390/Scenario_DT!$C$19)*(1+$N390)^MAX(0,Scenario_DT!I$18-3))*(Scenario_DT!I$12+$O390)-Scenario_DT!I$13)*(1-Scenario_DT!I$14)+Scenario_DT!I$13-Scenario_DT!I$15)*Scenario_DT!I$16</f>
        <v>897.72616904714459</v>
      </c>
      <c r="S390" s="28">
        <f>((Scenario_DT!J$11*(IF(Scenario_DT!J$18=1,1,1+$M390/Scenario_DT!$C$19)*(1+$N390)^MAX(0,Scenario_DT!J$18-3))*(Scenario_DT!J$12+$O390)-Scenario_DT!J$13)*(1-Scenario_DT!J$14)+Scenario_DT!J$13-Scenario_DT!J$15)*Scenario_DT!J$16</f>
        <v>1836.8641094367867</v>
      </c>
      <c r="T390" s="28">
        <f>((Scenario_DT!K$11*(IF(Scenario_DT!K$18=1,1,1+$M390/Scenario_DT!$C$19)*(1+$N390)^MAX(0,Scenario_DT!K$18-3))*(Scenario_DT!K$12+$O390)-Scenario_DT!K$13)*(1-Scenario_DT!K$14)+Scenario_DT!K$13-Scenario_DT!K$15)*Scenario_DT!K$16</f>
        <v>2102.1201760336694</v>
      </c>
      <c r="U390" s="28">
        <f>((Scenario_DT!L$11*(IF(Scenario_DT!L$18=1,1,1+$M390/Scenario_DT!$C$19)*(1+$N390)^MAX(0,Scenario_DT!L$18-3))*(Scenario_DT!L$12+$O390)-Scenario_DT!L$13)*(1-Scenario_DT!L$14)+Scenario_DT!L$13-Scenario_DT!L$15)*Scenario_DT!L$16</f>
        <v>2502.0073320201341</v>
      </c>
      <c r="V390" s="28">
        <f>((Scenario_DT!M$11*(IF(Scenario_DT!M$18=1,1,1+$M390/Scenario_DT!$C$19)*(1+$N390)^MAX(0,Scenario_DT!M$18-3))*(Scenario_DT!M$12+$O390)-Scenario_DT!M$13)*(1-Scenario_DT!M$14)+Scenario_DT!M$13-Scenario_DT!M$15)*Scenario_DT!M$16</f>
        <v>2624.8230715577929</v>
      </c>
      <c r="W390" s="28">
        <f>((Scenario_DT!N$11*(IF(Scenario_DT!N$18=1,1,1+$M390/Scenario_DT!$C$19)*(1+$N390)^MAX(0,Scenario_DT!N$18-3))*(Scenario_DT!N$12+$O390)-Scenario_DT!N$13)*(1-Scenario_DT!N$14)+Scenario_DT!N$13-Scenario_DT!N$15)*Scenario_DT!N$16</f>
        <v>2753.6593522378175</v>
      </c>
      <c r="X390" s="28">
        <f>((Scenario_DT!O$11*(IF(Scenario_DT!O$18=1,1,1+$M390/Scenario_DT!$C$19)*(1+$N390)^MAX(0,Scenario_DT!O$18-3))*(Scenario_DT!O$12+$O390)-Scenario_DT!O$13)*(1-Scenario_DT!O$14)+Scenario_DT!O$13-Scenario_DT!O$15)*Scenario_DT!O$16</f>
        <v>2888.8135960919362</v>
      </c>
      <c r="Y390" s="28">
        <f>((Scenario_DT!P$11*(IF(Scenario_DT!P$18=1,1,1+$M390/Scenario_DT!$C$19)*(1+$N390)^MAX(0,Scenario_DT!P$18-3))*(Scenario_DT!P$12+$O390)-Scenario_DT!P$13)*(1-Scenario_DT!P$14)+Scenario_DT!P$13-Scenario_DT!P$15)*Scenario_DT!P$16</f>
        <v>3030.5979387756574</v>
      </c>
      <c r="Z390" s="28">
        <f>((Scenario_DT!Q$11*(IF(Scenario_DT!Q$18=1,1,1+$M390/Scenario_DT!$C$19)*(1+$N390)^MAX(0,Scenario_DT!Q$18-3))*(Scenario_DT!Q$12+$O390)-Scenario_DT!Q$13)*(1-Scenario_DT!Q$14)+Scenario_DT!Q$13-Scenario_DT!Q$15)*Scenario_DT!Q$16</f>
        <v>3179.3399575531121</v>
      </c>
      <c r="AA390" s="28">
        <f>((Scenario_DT!R$11*(IF(Scenario_DT!R$18=1,1,1+$M390/Scenario_DT!$C$19)*(1+$N390)^MAX(0,Scenario_DT!R$18-3))*(Scenario_DT!R$12+$O390)-Scenario_DT!R$13)*(1-Scenario_DT!R$14)+Scenario_DT!R$13-Scenario_DT!R$15)*Scenario_DT!R$16</f>
        <v>3335.3834352962222</v>
      </c>
      <c r="AB390" s="17">
        <f>(Scenario_DT!$R$11*(1+$M390/Scenario_DT!$C$19)*(1+$N390)^7*(Scenario_DT!$R$12+$O390)*(1+MIN(DCF_FCFF!$C$26+$Q390,(DCF_FCFF!$C$25+$P390)-0.02))*(1-DCF_FCFF!$C$27)*(1-DCF_FCFF!$C$28)/((DCF_FCFF!$C$25+$P390)-MIN(DCF_FCFF!$C$26+$Q390,(DCF_FCFF!$C$25+$P390)-0.02)))*(1+(DCF_FCFF!$C$25+$P390))^(-(Inputs!$C$9+9))</f>
        <v>28942.724725299016</v>
      </c>
      <c r="AC390" s="17">
        <f>SUMPRODUCT(R390:AA390*(1+(DCF_FCFF!$C$25+$P390))^(-Scenario_DT!$I$17:$R$17))+AB390</f>
        <v>45177.414492581731</v>
      </c>
      <c r="AD390" s="68">
        <f>((AC390-DCF_FCFF!$C$48)*(1-DCF_FCFF!$C$50)+DCF_FCFF!$C$57+DCF_FCFF!$C$58)/DCF_FCFF!$C$60</f>
        <v>337.20311411205131</v>
      </c>
      <c r="AE390" s="6"/>
      <c r="AF390" s="6"/>
      <c r="AG390" s="6"/>
    </row>
    <row r="391" spans="1:33" x14ac:dyDescent="0.3">
      <c r="A391" s="6"/>
      <c r="B391" s="72">
        <v>360</v>
      </c>
      <c r="C391" s="73">
        <v>0.29501920871239501</v>
      </c>
      <c r="D391" s="73">
        <v>0.56883380538431905</v>
      </c>
      <c r="E391" s="73">
        <v>0.28983411384949198</v>
      </c>
      <c r="F391" s="73">
        <v>0.55428558572642805</v>
      </c>
      <c r="G391" s="73">
        <v>0.62186203065434098</v>
      </c>
      <c r="H391" s="15">
        <f t="shared" si="51"/>
        <v>-0.5387803592645144</v>
      </c>
      <c r="I391" s="15">
        <f t="shared" si="52"/>
        <v>0.17340589821828378</v>
      </c>
      <c r="J391" s="15">
        <f t="shared" si="53"/>
        <v>-0.55386940092940018</v>
      </c>
      <c r="K391" s="15">
        <f t="shared" si="54"/>
        <v>0.1364964528196011</v>
      </c>
      <c r="L391" s="15">
        <f t="shared" si="55"/>
        <v>0.3103748217697882</v>
      </c>
      <c r="M391" s="18">
        <f t="shared" si="56"/>
        <v>-1.0775607185290288E-2</v>
      </c>
      <c r="N391" s="18">
        <f t="shared" si="57"/>
        <v>-9.5373013287331789E-4</v>
      </c>
      <c r="O391" s="18">
        <f t="shared" si="58"/>
        <v>-6.6464328111528019E-3</v>
      </c>
      <c r="P391" s="18">
        <f t="shared" si="59"/>
        <v>8.189787169176066E-4</v>
      </c>
      <c r="Q391" s="18">
        <f t="shared" si="60"/>
        <v>1.2414992870791528E-3</v>
      </c>
      <c r="R391" s="28">
        <f>((Scenario_DT!I$11*(IF(Scenario_DT!I$18=1,1,1+$M391/Scenario_DT!$C$19)*(1+$N391)^MAX(0,Scenario_DT!I$18-3))*(Scenario_DT!I$12+$O391)-Scenario_DT!I$13)*(1-Scenario_DT!I$14)+Scenario_DT!I$13-Scenario_DT!I$15)*Scenario_DT!I$16</f>
        <v>901.61378253604232</v>
      </c>
      <c r="S391" s="28">
        <f>((Scenario_DT!J$11*(IF(Scenario_DT!J$18=1,1,1+$M391/Scenario_DT!$C$19)*(1+$N391)^MAX(0,Scenario_DT!J$18-3))*(Scenario_DT!J$12+$O391)-Scenario_DT!J$13)*(1-Scenario_DT!J$14)+Scenario_DT!J$13-Scenario_DT!J$15)*Scenario_DT!J$16</f>
        <v>1785.6689489083074</v>
      </c>
      <c r="T391" s="28">
        <f>((Scenario_DT!K$11*(IF(Scenario_DT!K$18=1,1,1+$M391/Scenario_DT!$C$19)*(1+$N391)^MAX(0,Scenario_DT!K$18-3))*(Scenario_DT!K$12+$O391)-Scenario_DT!K$13)*(1-Scenario_DT!K$14)+Scenario_DT!K$13-Scenario_DT!K$15)*Scenario_DT!K$16</f>
        <v>2048.2074589623448</v>
      </c>
      <c r="U391" s="28">
        <f>((Scenario_DT!L$11*(IF(Scenario_DT!L$18=1,1,1+$M391/Scenario_DT!$C$19)*(1+$N391)^MAX(0,Scenario_DT!L$18-3))*(Scenario_DT!L$12+$O391)-Scenario_DT!L$13)*(1-Scenario_DT!L$14)+Scenario_DT!L$13-Scenario_DT!L$15)*Scenario_DT!L$16</f>
        <v>2443.9045273782895</v>
      </c>
      <c r="V391" s="28">
        <f>((Scenario_DT!M$11*(IF(Scenario_DT!M$18=1,1,1+$M391/Scenario_DT!$C$19)*(1+$N391)^MAX(0,Scenario_DT!M$18-3))*(Scenario_DT!M$12+$O391)-Scenario_DT!M$13)*(1-Scenario_DT!M$14)+Scenario_DT!M$13-Scenario_DT!M$15)*Scenario_DT!M$16</f>
        <v>2562.9140585132641</v>
      </c>
      <c r="W391" s="28">
        <f>((Scenario_DT!N$11*(IF(Scenario_DT!N$18=1,1,1+$M391/Scenario_DT!$C$19)*(1+$N391)^MAX(0,Scenario_DT!N$18-3))*(Scenario_DT!N$12+$O391)-Scenario_DT!N$13)*(1-Scenario_DT!N$14)+Scenario_DT!N$13-Scenario_DT!N$15)*Scenario_DT!N$16</f>
        <v>2687.7102646111807</v>
      </c>
      <c r="X391" s="28">
        <f>((Scenario_DT!O$11*(IF(Scenario_DT!O$18=1,1,1+$M391/Scenario_DT!$C$19)*(1+$N391)^MAX(0,Scenario_DT!O$18-3))*(Scenario_DT!O$12+$O391)-Scenario_DT!O$13)*(1-Scenario_DT!O$14)+Scenario_DT!O$13-Scenario_DT!O$15)*Scenario_DT!O$16</f>
        <v>2818.5767696200842</v>
      </c>
      <c r="Y391" s="28">
        <f>((Scenario_DT!P$11*(IF(Scenario_DT!P$18=1,1,1+$M391/Scenario_DT!$C$19)*(1+$N391)^MAX(0,Scenario_DT!P$18-3))*(Scenario_DT!P$12+$O391)-Scenario_DT!P$13)*(1-Scenario_DT!P$14)+Scenario_DT!P$13-Scenario_DT!P$15)*Scenario_DT!P$16</f>
        <v>2955.8111195281795</v>
      </c>
      <c r="Z391" s="28">
        <f>((Scenario_DT!Q$11*(IF(Scenario_DT!Q$18=1,1,1+$M391/Scenario_DT!$C$19)*(1+$N391)^MAX(0,Scenario_DT!Q$18-3))*(Scenario_DT!Q$12+$O391)-Scenario_DT!Q$13)*(1-Scenario_DT!Q$14)+Scenario_DT!Q$13-Scenario_DT!Q$15)*Scenario_DT!Q$16</f>
        <v>3099.7254658590255</v>
      </c>
      <c r="AA391" s="28">
        <f>((Scenario_DT!R$11*(IF(Scenario_DT!R$18=1,1,1+$M391/Scenario_DT!$C$19)*(1+$N391)^MAX(0,Scenario_DT!R$18-3))*(Scenario_DT!R$12+$O391)-Scenario_DT!R$13)*(1-Scenario_DT!R$14)+Scenario_DT!R$13-Scenario_DT!R$15)*Scenario_DT!R$16</f>
        <v>3250.6472827195016</v>
      </c>
      <c r="AB391" s="17">
        <f>(Scenario_DT!$R$11*(1+$M391/Scenario_DT!$C$19)*(1+$N391)^7*(Scenario_DT!$R$12+$O391)*(1+MIN(DCF_FCFF!$C$26+$Q391,(DCF_FCFF!$C$25+$P391)-0.02))*(1-DCF_FCFF!$C$27)*(1-DCF_FCFF!$C$28)/((DCF_FCFF!$C$25+$P391)-MIN(DCF_FCFF!$C$26+$Q391,(DCF_FCFF!$C$25+$P391)-0.02)))*(1+(DCF_FCFF!$C$25+$P391))^(-(Inputs!$C$9+9))</f>
        <v>27494.492160369864</v>
      </c>
      <c r="AC391" s="17">
        <f>SUMPRODUCT(R391:AA391*(1+(DCF_FCFF!$C$25+$P391))^(-Scenario_DT!$I$17:$R$17))+AB391</f>
        <v>43494.998634065632</v>
      </c>
      <c r="AD391" s="68">
        <f>((AC391-DCF_FCFF!$C$48)*(1-DCF_FCFF!$C$50)+DCF_FCFF!$C$57+DCF_FCFF!$C$58)/DCF_FCFF!$C$60</f>
        <v>321.0539938109938</v>
      </c>
      <c r="AE391" s="6"/>
      <c r="AF391" s="6"/>
      <c r="AG391" s="6"/>
    </row>
    <row r="392" spans="1:33" x14ac:dyDescent="0.3">
      <c r="A392" s="6"/>
      <c r="B392" s="72">
        <v>361</v>
      </c>
      <c r="C392" s="73">
        <v>0.61033538879018001</v>
      </c>
      <c r="D392" s="73">
        <v>0.62354636964274601</v>
      </c>
      <c r="E392" s="73">
        <v>0.135079792217524</v>
      </c>
      <c r="F392" s="73">
        <v>0.69354046958672</v>
      </c>
      <c r="G392" s="73">
        <v>0.67475035638022296</v>
      </c>
      <c r="H392" s="15">
        <f t="shared" si="51"/>
        <v>0.28019327952272066</v>
      </c>
      <c r="I392" s="15">
        <f t="shared" si="52"/>
        <v>0.31480823247472539</v>
      </c>
      <c r="J392" s="15">
        <f t="shared" si="53"/>
        <v>-1.1026951252621824</v>
      </c>
      <c r="K392" s="15">
        <f t="shared" si="54"/>
        <v>0.50591109832546333</v>
      </c>
      <c r="L392" s="15">
        <f t="shared" si="55"/>
        <v>0.45306868013643181</v>
      </c>
      <c r="M392" s="18">
        <f t="shared" si="56"/>
        <v>5.6038655904544132E-3</v>
      </c>
      <c r="N392" s="18">
        <f t="shared" si="57"/>
        <v>3.3018285312395985E-3</v>
      </c>
      <c r="O392" s="18">
        <f t="shared" si="58"/>
        <v>-1.323234150314619E-2</v>
      </c>
      <c r="P392" s="18">
        <f t="shared" si="59"/>
        <v>3.0354665899527799E-3</v>
      </c>
      <c r="Q392" s="18">
        <f t="shared" si="60"/>
        <v>1.8122747205457273E-3</v>
      </c>
      <c r="R392" s="28">
        <f>((Scenario_DT!I$11*(IF(Scenario_DT!I$18=1,1,1+$M392/Scenario_DT!$C$19)*(1+$N392)^MAX(0,Scenario_DT!I$18-3))*(Scenario_DT!I$12+$O392)-Scenario_DT!I$13)*(1-Scenario_DT!I$14)+Scenario_DT!I$13-Scenario_DT!I$15)*Scenario_DT!I$16</f>
        <v>892.32836003240277</v>
      </c>
      <c r="S392" s="28">
        <f>((Scenario_DT!J$11*(IF(Scenario_DT!J$18=1,1,1+$M392/Scenario_DT!$C$19)*(1+$N392)^MAX(0,Scenario_DT!J$18-3))*(Scenario_DT!J$12+$O392)-Scenario_DT!J$13)*(1-Scenario_DT!J$14)+Scenario_DT!J$13-Scenario_DT!J$15)*Scenario_DT!J$16</f>
        <v>1803.9696513945669</v>
      </c>
      <c r="T392" s="28">
        <f>((Scenario_DT!K$11*(IF(Scenario_DT!K$18=1,1,1+$M392/Scenario_DT!$C$19)*(1+$N392)^MAX(0,Scenario_DT!K$18-3))*(Scenario_DT!K$12+$O392)-Scenario_DT!K$13)*(1-Scenario_DT!K$14)+Scenario_DT!K$13-Scenario_DT!K$15)*Scenario_DT!K$16</f>
        <v>2067.7299156496879</v>
      </c>
      <c r="U392" s="28">
        <f>((Scenario_DT!L$11*(IF(Scenario_DT!L$18=1,1,1+$M392/Scenario_DT!$C$19)*(1+$N392)^MAX(0,Scenario_DT!L$18-3))*(Scenario_DT!L$12+$O392)-Scenario_DT!L$13)*(1-Scenario_DT!L$14)+Scenario_DT!L$13-Scenario_DT!L$15)*Scenario_DT!L$16</f>
        <v>2475.1834534525005</v>
      </c>
      <c r="V392" s="28">
        <f>((Scenario_DT!M$11*(IF(Scenario_DT!M$18=1,1,1+$M392/Scenario_DT!$C$19)*(1+$N392)^MAX(0,Scenario_DT!M$18-3))*(Scenario_DT!M$12+$O392)-Scenario_DT!M$13)*(1-Scenario_DT!M$14)+Scenario_DT!M$13-Scenario_DT!M$15)*Scenario_DT!M$16</f>
        <v>2606.8609631054692</v>
      </c>
      <c r="W392" s="28">
        <f>((Scenario_DT!N$11*(IF(Scenario_DT!N$18=1,1,1+$M392/Scenario_DT!$C$19)*(1+$N392)^MAX(0,Scenario_DT!N$18-3))*(Scenario_DT!N$12+$O392)-Scenario_DT!N$13)*(1-Scenario_DT!N$14)+Scenario_DT!N$13-Scenario_DT!N$15)*Scenario_DT!N$16</f>
        <v>2745.5412338814194</v>
      </c>
      <c r="X392" s="28">
        <f>((Scenario_DT!O$11*(IF(Scenario_DT!O$18=1,1,1+$M392/Scenario_DT!$C$19)*(1+$N392)^MAX(0,Scenario_DT!O$18-3))*(Scenario_DT!O$12+$O392)-Scenario_DT!O$13)*(1-Scenario_DT!O$14)+Scenario_DT!O$13-Scenario_DT!O$15)*Scenario_DT!O$16</f>
        <v>2891.5993089965004</v>
      </c>
      <c r="Y392" s="28">
        <f>((Scenario_DT!P$11*(IF(Scenario_DT!P$18=1,1,1+$M392/Scenario_DT!$C$19)*(1+$N392)^MAX(0,Scenario_DT!P$18-3))*(Scenario_DT!P$12+$O392)-Scenario_DT!P$13)*(1-Scenario_DT!P$14)+Scenario_DT!P$13-Scenario_DT!P$15)*Scenario_DT!P$16</f>
        <v>3045.4303351217618</v>
      </c>
      <c r="Z392" s="28">
        <f>((Scenario_DT!Q$11*(IF(Scenario_DT!Q$18=1,1,1+$M392/Scenario_DT!$C$19)*(1+$N392)^MAX(0,Scenario_DT!Q$18-3))*(Scenario_DT!Q$12+$O392)-Scenario_DT!Q$13)*(1-Scenario_DT!Q$14)+Scenario_DT!Q$13-Scenario_DT!Q$15)*Scenario_DT!Q$16</f>
        <v>3207.4506397596174</v>
      </c>
      <c r="AA392" s="28">
        <f>((Scenario_DT!R$11*(IF(Scenario_DT!R$18=1,1,1+$M392/Scenario_DT!$C$19)*(1+$N392)^MAX(0,Scenario_DT!R$18-3))*(Scenario_DT!R$12+$O392)-Scenario_DT!R$13)*(1-Scenario_DT!R$14)+Scenario_DT!R$13-Scenario_DT!R$15)*Scenario_DT!R$16</f>
        <v>3378.0988663382373</v>
      </c>
      <c r="AB392" s="17">
        <f>(Scenario_DT!$R$11*(1+$M392/Scenario_DT!$C$19)*(1+$N392)^7*(Scenario_DT!$R$12+$O392)*(1+MIN(DCF_FCFF!$C$26+$Q392,(DCF_FCFF!$C$25+$P392)-0.02))*(1-DCF_FCFF!$C$27)*(1-DCF_FCFF!$C$28)/((DCF_FCFF!$C$25+$P392)-MIN(DCF_FCFF!$C$26+$Q392,(DCF_FCFF!$C$25+$P392)-0.02)))*(1+(DCF_FCFF!$C$25+$P392))^(-(Inputs!$C$9+9))</f>
        <v>27141.105241423706</v>
      </c>
      <c r="AC392" s="17">
        <f>SUMPRODUCT(R392:AA392*(1+(DCF_FCFF!$C$25+$P392))^(-Scenario_DT!$I$17:$R$17))+AB392</f>
        <v>43310.305137620846</v>
      </c>
      <c r="AD392" s="68">
        <f>((AC392-DCF_FCFF!$C$48)*(1-DCF_FCFF!$C$50)+DCF_FCFF!$C$57+DCF_FCFF!$C$58)/DCF_FCFF!$C$60</f>
        <v>319.28116370016704</v>
      </c>
      <c r="AE392" s="6"/>
      <c r="AF392" s="6"/>
      <c r="AG392" s="6"/>
    </row>
    <row r="393" spans="1:33" x14ac:dyDescent="0.3">
      <c r="A393" s="6"/>
      <c r="B393" s="72">
        <v>362</v>
      </c>
      <c r="C393" s="73">
        <v>0.68258812221688303</v>
      </c>
      <c r="D393" s="73">
        <v>7.4070552738706302E-2</v>
      </c>
      <c r="E393" s="73">
        <v>0.446838842414153</v>
      </c>
      <c r="F393" s="73">
        <v>0.40903513204573</v>
      </c>
      <c r="G393" s="73">
        <v>8.6711483643199097E-2</v>
      </c>
      <c r="H393" s="15">
        <f t="shared" si="51"/>
        <v>0.47494839555018487</v>
      </c>
      <c r="I393" s="15">
        <f t="shared" si="52"/>
        <v>-1.4461287063987291</v>
      </c>
      <c r="J393" s="15">
        <f t="shared" si="53"/>
        <v>-0.13365209880733794</v>
      </c>
      <c r="K393" s="15">
        <f t="shared" si="54"/>
        <v>-0.23002767581818978</v>
      </c>
      <c r="L393" s="15">
        <f t="shared" si="55"/>
        <v>-1.3612871339958164</v>
      </c>
      <c r="M393" s="18">
        <f t="shared" si="56"/>
        <v>9.4989679110036983E-3</v>
      </c>
      <c r="N393" s="18">
        <f t="shared" si="57"/>
        <v>-8.1192799928650784E-3</v>
      </c>
      <c r="O393" s="18">
        <f t="shared" si="58"/>
        <v>-1.6038251856880553E-3</v>
      </c>
      <c r="P393" s="18">
        <f t="shared" si="59"/>
        <v>-1.3801660549091388E-3</v>
      </c>
      <c r="Q393" s="18">
        <f t="shared" si="60"/>
        <v>-5.4451485359832659E-3</v>
      </c>
      <c r="R393" s="28">
        <f>((Scenario_DT!I$11*(IF(Scenario_DT!I$18=1,1,1+$M393/Scenario_DT!$C$19)*(1+$N393)^MAX(0,Scenario_DT!I$18-3))*(Scenario_DT!I$12+$O393)-Scenario_DT!I$13)*(1-Scenario_DT!I$14)+Scenario_DT!I$13-Scenario_DT!I$15)*Scenario_DT!I$16</f>
        <v>908.72331662044894</v>
      </c>
      <c r="S393" s="28">
        <f>((Scenario_DT!J$11*(IF(Scenario_DT!J$18=1,1,1+$M393/Scenario_DT!$C$19)*(1+$N393)^MAX(0,Scenario_DT!J$18-3))*(Scenario_DT!J$12+$O393)-Scenario_DT!J$13)*(1-Scenario_DT!J$14)+Scenario_DT!J$13-Scenario_DT!J$15)*Scenario_DT!J$16</f>
        <v>1849.6361849741834</v>
      </c>
      <c r="T393" s="28">
        <f>((Scenario_DT!K$11*(IF(Scenario_DT!K$18=1,1,1+$M393/Scenario_DT!$C$19)*(1+$N393)^MAX(0,Scenario_DT!K$18-3))*(Scenario_DT!K$12+$O393)-Scenario_DT!K$13)*(1-Scenario_DT!K$14)+Scenario_DT!K$13-Scenario_DT!K$15)*Scenario_DT!K$16</f>
        <v>2115.1878462514346</v>
      </c>
      <c r="U393" s="28">
        <f>((Scenario_DT!L$11*(IF(Scenario_DT!L$18=1,1,1+$M393/Scenario_DT!$C$19)*(1+$N393)^MAX(0,Scenario_DT!L$18-3))*(Scenario_DT!L$12+$O393)-Scenario_DT!L$13)*(1-Scenario_DT!L$14)+Scenario_DT!L$13-Scenario_DT!L$15)*Scenario_DT!L$16</f>
        <v>2496.7956644322699</v>
      </c>
      <c r="V393" s="28">
        <f>((Scenario_DT!M$11*(IF(Scenario_DT!M$18=1,1,1+$M393/Scenario_DT!$C$19)*(1+$N393)^MAX(0,Scenario_DT!M$18-3))*(Scenario_DT!M$12+$O393)-Scenario_DT!M$13)*(1-Scenario_DT!M$14)+Scenario_DT!M$13-Scenario_DT!M$15)*Scenario_DT!M$16</f>
        <v>2599.4843631611498</v>
      </c>
      <c r="W393" s="28">
        <f>((Scenario_DT!N$11*(IF(Scenario_DT!N$18=1,1,1+$M393/Scenario_DT!$C$19)*(1+$N393)^MAX(0,Scenario_DT!N$18-3))*(Scenario_DT!N$12+$O393)-Scenario_DT!N$13)*(1-Scenario_DT!N$14)+Scenario_DT!N$13-Scenario_DT!N$15)*Scenario_DT!N$16</f>
        <v>2706.3756510483249</v>
      </c>
      <c r="X393" s="28">
        <f>((Scenario_DT!O$11*(IF(Scenario_DT!O$18=1,1,1+$M393/Scenario_DT!$C$19)*(1+$N393)^MAX(0,Scenario_DT!O$18-3))*(Scenario_DT!O$12+$O393)-Scenario_DT!O$13)*(1-Scenario_DT!O$14)+Scenario_DT!O$13-Scenario_DT!O$15)*Scenario_DT!O$16</f>
        <v>2817.6430017748744</v>
      </c>
      <c r="Y393" s="28">
        <f>((Scenario_DT!P$11*(IF(Scenario_DT!P$18=1,1,1+$M393/Scenario_DT!$C$19)*(1+$N393)^MAX(0,Scenario_DT!P$18-3))*(Scenario_DT!P$12+$O393)-Scenario_DT!P$13)*(1-Scenario_DT!P$14)+Scenario_DT!P$13-Scenario_DT!P$15)*Scenario_DT!P$16</f>
        <v>2933.4670645855181</v>
      </c>
      <c r="Z393" s="28">
        <f>((Scenario_DT!Q$11*(IF(Scenario_DT!Q$18=1,1,1+$M393/Scenario_DT!$C$19)*(1+$N393)^MAX(0,Scenario_DT!Q$18-3))*(Scenario_DT!Q$12+$O393)-Scenario_DT!Q$13)*(1-Scenario_DT!Q$14)+Scenario_DT!Q$13-Scenario_DT!Q$15)*Scenario_DT!Q$16</f>
        <v>3054.0359612553989</v>
      </c>
      <c r="AA393" s="28">
        <f>((Scenario_DT!R$11*(IF(Scenario_DT!R$18=1,1,1+$M393/Scenario_DT!$C$19)*(1+$N393)^MAX(0,Scenario_DT!R$18-3))*(Scenario_DT!R$12+$O393)-Scenario_DT!R$13)*(1-Scenario_DT!R$14)+Scenario_DT!R$13-Scenario_DT!R$15)*Scenario_DT!R$16</f>
        <v>3179.5455953493365</v>
      </c>
      <c r="AB393" s="17">
        <f>(Scenario_DT!$R$11*(1+$M393/Scenario_DT!$C$19)*(1+$N393)^7*(Scenario_DT!$R$12+$O393)*(1+MIN(DCF_FCFF!$C$26+$Q393,(DCF_FCFF!$C$25+$P393)-0.02))*(1-DCF_FCFF!$C$27)*(1-DCF_FCFF!$C$28)/((DCF_FCFF!$C$25+$P393)-MIN(DCF_FCFF!$C$26+$Q393,(DCF_FCFF!$C$25+$P393)-0.02)))*(1+(DCF_FCFF!$C$25+$P393))^(-(Inputs!$C$9+9))</f>
        <v>24996.526218247014</v>
      </c>
      <c r="AC393" s="17">
        <f>SUMPRODUCT(R393:AA393*(1+(DCF_FCFF!$C$25+$P393))^(-Scenario_DT!$I$17:$R$17))+AB393</f>
        <v>41278.924445380973</v>
      </c>
      <c r="AD393" s="68">
        <f>((AC393-DCF_FCFF!$C$48)*(1-DCF_FCFF!$C$50)+DCF_FCFF!$C$57+DCF_FCFF!$C$58)/DCF_FCFF!$C$60</f>
        <v>299.78241075500551</v>
      </c>
      <c r="AE393" s="6"/>
      <c r="AF393" s="6"/>
      <c r="AG393" s="6"/>
    </row>
    <row r="394" spans="1:33" x14ac:dyDescent="0.3">
      <c r="A394" s="6"/>
      <c r="B394" s="72">
        <v>363</v>
      </c>
      <c r="C394" s="73">
        <v>0.22236792789681101</v>
      </c>
      <c r="D394" s="73">
        <v>0.44096263179803702</v>
      </c>
      <c r="E394" s="73">
        <v>0.74290630985808204</v>
      </c>
      <c r="F394" s="73">
        <v>0.237062076984663</v>
      </c>
      <c r="G394" s="73">
        <v>0.82974991012491195</v>
      </c>
      <c r="H394" s="15">
        <f t="shared" si="51"/>
        <v>-0.76422049373301426</v>
      </c>
      <c r="I394" s="15">
        <f t="shared" si="52"/>
        <v>-0.1485290475007521</v>
      </c>
      <c r="J394" s="15">
        <f t="shared" si="53"/>
        <v>0.65233144289502643</v>
      </c>
      <c r="K394" s="15">
        <f t="shared" si="54"/>
        <v>-0.71578493836321744</v>
      </c>
      <c r="L394" s="15">
        <f t="shared" si="55"/>
        <v>0.9531774302720516</v>
      </c>
      <c r="M394" s="18">
        <f t="shared" si="56"/>
        <v>-1.5284409874660286E-2</v>
      </c>
      <c r="N394" s="18">
        <f t="shared" si="57"/>
        <v>-4.0859214016165128E-3</v>
      </c>
      <c r="O394" s="18">
        <f t="shared" si="58"/>
        <v>7.827977314740317E-3</v>
      </c>
      <c r="P394" s="18">
        <f t="shared" si="59"/>
        <v>-4.2947096301793044E-3</v>
      </c>
      <c r="Q394" s="18">
        <f t="shared" si="60"/>
        <v>3.8127097210882066E-3</v>
      </c>
      <c r="R394" s="28">
        <f>((Scenario_DT!I$11*(IF(Scenario_DT!I$18=1,1,1+$M394/Scenario_DT!$C$19)*(1+$N394)^MAX(0,Scenario_DT!I$18-3))*(Scenario_DT!I$12+$O394)-Scenario_DT!I$13)*(1-Scenario_DT!I$14)+Scenario_DT!I$13-Scenario_DT!I$15)*Scenario_DT!I$16</f>
        <v>922.02114312901153</v>
      </c>
      <c r="S394" s="28">
        <f>((Scenario_DT!J$11*(IF(Scenario_DT!J$18=1,1,1+$M394/Scenario_DT!$C$19)*(1+$N394)^MAX(0,Scenario_DT!J$18-3))*(Scenario_DT!J$12+$O394)-Scenario_DT!J$13)*(1-Scenario_DT!J$14)+Scenario_DT!J$13-Scenario_DT!J$15)*Scenario_DT!J$16</f>
        <v>1819.2153183365945</v>
      </c>
      <c r="T394" s="28">
        <f>((Scenario_DT!K$11*(IF(Scenario_DT!K$18=1,1,1+$M394/Scenario_DT!$C$19)*(1+$N394)^MAX(0,Scenario_DT!K$18-3))*(Scenario_DT!K$12+$O394)-Scenario_DT!K$13)*(1-Scenario_DT!K$14)+Scenario_DT!K$13-Scenario_DT!K$15)*Scenario_DT!K$16</f>
        <v>2082.8191799596666</v>
      </c>
      <c r="U394" s="28">
        <f>((Scenario_DT!L$11*(IF(Scenario_DT!L$18=1,1,1+$M394/Scenario_DT!$C$19)*(1+$N394)^MAX(0,Scenario_DT!L$18-3))*(Scenario_DT!L$12+$O394)-Scenario_DT!L$13)*(1-Scenario_DT!L$14)+Scenario_DT!L$13-Scenario_DT!L$15)*Scenario_DT!L$16</f>
        <v>2472.7893104822774</v>
      </c>
      <c r="V394" s="28">
        <f>((Scenario_DT!M$11*(IF(Scenario_DT!M$18=1,1,1+$M394/Scenario_DT!$C$19)*(1+$N394)^MAX(0,Scenario_DT!M$18-3))*(Scenario_DT!M$12+$O394)-Scenario_DT!M$13)*(1-Scenario_DT!M$14)+Scenario_DT!M$13-Scenario_DT!M$15)*Scenario_DT!M$16</f>
        <v>2585.0261454104998</v>
      </c>
      <c r="W394" s="28">
        <f>((Scenario_DT!N$11*(IF(Scenario_DT!N$18=1,1,1+$M394/Scenario_DT!$C$19)*(1+$N394)^MAX(0,Scenario_DT!N$18-3))*(Scenario_DT!N$12+$O394)-Scenario_DT!N$13)*(1-Scenario_DT!N$14)+Scenario_DT!N$13-Scenario_DT!N$15)*Scenario_DT!N$16</f>
        <v>2702.3435306411275</v>
      </c>
      <c r="X394" s="28">
        <f>((Scenario_DT!O$11*(IF(Scenario_DT!O$18=1,1,1+$M394/Scenario_DT!$C$19)*(1+$N394)^MAX(0,Scenario_DT!O$18-3))*(Scenario_DT!O$12+$O394)-Scenario_DT!O$13)*(1-Scenario_DT!O$14)+Scenario_DT!O$13-Scenario_DT!O$15)*Scenario_DT!O$16</f>
        <v>2824.9733831159951</v>
      </c>
      <c r="Y394" s="28">
        <f>((Scenario_DT!P$11*(IF(Scenario_DT!P$18=1,1,1+$M394/Scenario_DT!$C$19)*(1+$N394)^MAX(0,Scenario_DT!P$18-3))*(Scenario_DT!P$12+$O394)-Scenario_DT!P$13)*(1-Scenario_DT!P$14)+Scenario_DT!P$13-Scenario_DT!P$15)*Scenario_DT!P$16</f>
        <v>2953.1582262487414</v>
      </c>
      <c r="Z394" s="28">
        <f>((Scenario_DT!Q$11*(IF(Scenario_DT!Q$18=1,1,1+$M394/Scenario_DT!$C$19)*(1+$N394)^MAX(0,Scenario_DT!Q$18-3))*(Scenario_DT!Q$12+$O394)-Scenario_DT!Q$13)*(1-Scenario_DT!Q$14)+Scenario_DT!Q$13-Scenario_DT!Q$15)*Scenario_DT!Q$16</f>
        <v>3087.1516752168741</v>
      </c>
      <c r="AA394" s="28">
        <f>((Scenario_DT!R$11*(IF(Scenario_DT!R$18=1,1,1+$M394/Scenario_DT!$C$19)*(1+$N394)^MAX(0,Scenario_DT!R$18-3))*(Scenario_DT!R$12+$O394)-Scenario_DT!R$13)*(1-Scenario_DT!R$14)+Scenario_DT!R$13-Scenario_DT!R$15)*Scenario_DT!R$16</f>
        <v>3227.2189444610467</v>
      </c>
      <c r="AB394" s="17">
        <f>(Scenario_DT!$R$11*(1+$M394/Scenario_DT!$C$19)*(1+$N394)^7*(Scenario_DT!$R$12+$O394)*(1+MIN(DCF_FCFF!$C$26+$Q394,(DCF_FCFF!$C$25+$P394)-0.02))*(1-DCF_FCFF!$C$27)*(1-DCF_FCFF!$C$28)/((DCF_FCFF!$C$25+$P394)-MIN(DCF_FCFF!$C$26+$Q394,(DCF_FCFF!$C$25+$P394)-0.02)))*(1+(DCF_FCFF!$C$25+$P394))^(-(Inputs!$C$9+9))</f>
        <v>33809.427735191282</v>
      </c>
      <c r="AC394" s="17">
        <f>SUMPRODUCT(R394:AA394*(1+(DCF_FCFF!$C$25+$P394))^(-Scenario_DT!$I$17:$R$17))+AB394</f>
        <v>50273.630102827221</v>
      </c>
      <c r="AD394" s="68">
        <f>((AC394-DCF_FCFF!$C$48)*(1-DCF_FCFF!$C$50)+DCF_FCFF!$C$57+DCF_FCFF!$C$58)/DCF_FCFF!$C$60</f>
        <v>386.12050784285594</v>
      </c>
      <c r="AE394" s="6"/>
      <c r="AF394" s="6"/>
      <c r="AG394" s="6"/>
    </row>
    <row r="395" spans="1:33" x14ac:dyDescent="0.3">
      <c r="A395" s="6"/>
      <c r="B395" s="72">
        <v>364</v>
      </c>
      <c r="C395" s="73">
        <v>0.54579828573946298</v>
      </c>
      <c r="D395" s="73">
        <v>0.76042168518461795</v>
      </c>
      <c r="E395" s="73">
        <v>0.472555983336857</v>
      </c>
      <c r="F395" s="73">
        <v>0.49919422542222303</v>
      </c>
      <c r="G395" s="73">
        <v>0.61971938937964</v>
      </c>
      <c r="H395" s="15">
        <f t="shared" si="51"/>
        <v>0.11505260192300162</v>
      </c>
      <c r="I395" s="15">
        <f t="shared" si="52"/>
        <v>0.7076596674524801</v>
      </c>
      <c r="J395" s="15">
        <f t="shared" si="53"/>
        <v>-6.8846295913749106E-2</v>
      </c>
      <c r="K395" s="15">
        <f t="shared" si="54"/>
        <v>-2.019778712917026E-3</v>
      </c>
      <c r="L395" s="15">
        <f t="shared" si="55"/>
        <v>0.30474388725862483</v>
      </c>
      <c r="M395" s="18">
        <f t="shared" si="56"/>
        <v>2.3010520384600325E-3</v>
      </c>
      <c r="N395" s="18">
        <f t="shared" si="57"/>
        <v>5.3630204016719713E-3</v>
      </c>
      <c r="O395" s="18">
        <f t="shared" si="58"/>
        <v>-8.2615555096498931E-4</v>
      </c>
      <c r="P395" s="18">
        <f t="shared" si="59"/>
        <v>-1.2118672277502157E-5</v>
      </c>
      <c r="Q395" s="18">
        <f t="shared" si="60"/>
        <v>1.2189755490344995E-3</v>
      </c>
      <c r="R395" s="28">
        <f>((Scenario_DT!I$11*(IF(Scenario_DT!I$18=1,1,1+$M395/Scenario_DT!$C$19)*(1+$N395)^MAX(0,Scenario_DT!I$18-3))*(Scenario_DT!I$12+$O395)-Scenario_DT!I$13)*(1-Scenario_DT!I$14)+Scenario_DT!I$13-Scenario_DT!I$15)*Scenario_DT!I$16</f>
        <v>909.81974711536805</v>
      </c>
      <c r="S395" s="28">
        <f>((Scenario_DT!J$11*(IF(Scenario_DT!J$18=1,1,1+$M395/Scenario_DT!$C$19)*(1+$N395)^MAX(0,Scenario_DT!J$18-3))*(Scenario_DT!J$12+$O395)-Scenario_DT!J$13)*(1-Scenario_DT!J$14)+Scenario_DT!J$13-Scenario_DT!J$15)*Scenario_DT!J$16</f>
        <v>1834.8489478540032</v>
      </c>
      <c r="T395" s="28">
        <f>((Scenario_DT!K$11*(IF(Scenario_DT!K$18=1,1,1+$M395/Scenario_DT!$C$19)*(1+$N395)^MAX(0,Scenario_DT!K$18-3))*(Scenario_DT!K$12+$O395)-Scenario_DT!K$13)*(1-Scenario_DT!K$14)+Scenario_DT!K$13-Scenario_DT!K$15)*Scenario_DT!K$16</f>
        <v>2099.6186812234137</v>
      </c>
      <c r="U395" s="28">
        <f>((Scenario_DT!L$11*(IF(Scenario_DT!L$18=1,1,1+$M395/Scenario_DT!$C$19)*(1+$N395)^MAX(0,Scenario_DT!L$18-3))*(Scenario_DT!L$12+$O395)-Scenario_DT!L$13)*(1-Scenario_DT!L$14)+Scenario_DT!L$13-Scenario_DT!L$15)*Scenario_DT!L$16</f>
        <v>2514.3435033576675</v>
      </c>
      <c r="V395" s="28">
        <f>((Scenario_DT!M$11*(IF(Scenario_DT!M$18=1,1,1+$M395/Scenario_DT!$C$19)*(1+$N395)^MAX(0,Scenario_DT!M$18-3))*(Scenario_DT!M$12+$O395)-Scenario_DT!M$13)*(1-Scenario_DT!M$14)+Scenario_DT!M$13-Scenario_DT!M$15)*Scenario_DT!M$16</f>
        <v>2653.5929733549215</v>
      </c>
      <c r="W395" s="28">
        <f>((Scenario_DT!N$11*(IF(Scenario_DT!N$18=1,1,1+$M395/Scenario_DT!$C$19)*(1+$N395)^MAX(0,Scenario_DT!N$18-3))*(Scenario_DT!N$12+$O395)-Scenario_DT!N$13)*(1-Scenario_DT!N$14)+Scenario_DT!N$13-Scenario_DT!N$15)*Scenario_DT!N$16</f>
        <v>2800.5548121717061</v>
      </c>
      <c r="X395" s="28">
        <f>((Scenario_DT!O$11*(IF(Scenario_DT!O$18=1,1,1+$M395/Scenario_DT!$C$19)*(1+$N395)^MAX(0,Scenario_DT!O$18-3))*(Scenario_DT!O$12+$O395)-Scenario_DT!O$13)*(1-Scenario_DT!O$14)+Scenario_DT!O$13-Scenario_DT!O$15)*Scenario_DT!O$16</f>
        <v>2955.6589576232495</v>
      </c>
      <c r="Y395" s="28">
        <f>((Scenario_DT!P$11*(IF(Scenario_DT!P$18=1,1,1+$M395/Scenario_DT!$C$19)*(1+$N395)^MAX(0,Scenario_DT!P$18-3))*(Scenario_DT!P$12+$O395)-Scenario_DT!P$13)*(1-Scenario_DT!P$14)+Scenario_DT!P$13-Scenario_DT!P$15)*Scenario_DT!P$16</f>
        <v>3119.3593291991024</v>
      </c>
      <c r="Z395" s="28">
        <f>((Scenario_DT!Q$11*(IF(Scenario_DT!Q$18=1,1,1+$M395/Scenario_DT!$C$19)*(1+$N395)^MAX(0,Scenario_DT!Q$18-3))*(Scenario_DT!Q$12+$O395)-Scenario_DT!Q$13)*(1-Scenario_DT!Q$14)+Scenario_DT!Q$13-Scenario_DT!Q$15)*Scenario_DT!Q$16</f>
        <v>3292.135165265935</v>
      </c>
      <c r="AA395" s="28">
        <f>((Scenario_DT!R$11*(IF(Scenario_DT!R$18=1,1,1+$M395/Scenario_DT!$C$19)*(1+$N395)^MAX(0,Scenario_DT!R$18-3))*(Scenario_DT!R$12+$O395)-Scenario_DT!R$13)*(1-Scenario_DT!R$14)+Scenario_DT!R$13-Scenario_DT!R$15)*Scenario_DT!R$16</f>
        <v>3474.492434799336</v>
      </c>
      <c r="AB395" s="17">
        <f>(Scenario_DT!$R$11*(1+$M395/Scenario_DT!$C$19)*(1+$N395)^7*(Scenario_DT!$R$12+$O395)*(1+MIN(DCF_FCFF!$C$26+$Q395,(DCF_FCFF!$C$25+$P395)-0.02))*(1-DCF_FCFF!$C$27)*(1-DCF_FCFF!$C$28)/((DCF_FCFF!$C$25+$P395)-MIN(DCF_FCFF!$C$26+$Q395,(DCF_FCFF!$C$25+$P395)-0.02)))*(1+(DCF_FCFF!$C$25+$P395))^(-(Inputs!$C$9+9))</f>
        <v>30070.123802796057</v>
      </c>
      <c r="AC395" s="17">
        <f>SUMPRODUCT(R395:AA395*(1+(DCF_FCFF!$C$25+$P395))^(-Scenario_DT!$I$17:$R$17))+AB395</f>
        <v>46786.307471491979</v>
      </c>
      <c r="AD395" s="68">
        <f>((AC395-DCF_FCFF!$C$48)*(1-DCF_FCFF!$C$50)+DCF_FCFF!$C$57+DCF_FCFF!$C$58)/DCF_FCFF!$C$60</f>
        <v>352.64650531431022</v>
      </c>
      <c r="AE395" s="6"/>
      <c r="AF395" s="6"/>
      <c r="AG395" s="6"/>
    </row>
    <row r="396" spans="1:33" x14ac:dyDescent="0.3">
      <c r="A396" s="6"/>
      <c r="B396" s="72">
        <v>365</v>
      </c>
      <c r="C396" s="73">
        <v>0.927970608165824</v>
      </c>
      <c r="D396" s="73">
        <v>0.49181258141291001</v>
      </c>
      <c r="E396" s="73">
        <v>0.52865753810829097</v>
      </c>
      <c r="F396" s="73">
        <v>0.60199696352752996</v>
      </c>
      <c r="G396" s="73">
        <v>0.737515137297726</v>
      </c>
      <c r="H396" s="15">
        <f t="shared" si="51"/>
        <v>1.4608420838574205</v>
      </c>
      <c r="I396" s="15">
        <f t="shared" si="52"/>
        <v>-2.0524255792542301E-2</v>
      </c>
      <c r="J396" s="15">
        <f t="shared" si="53"/>
        <v>7.189568531744632E-2</v>
      </c>
      <c r="K396" s="15">
        <f t="shared" si="54"/>
        <v>0.25851940736274254</v>
      </c>
      <c r="L396" s="15">
        <f t="shared" si="55"/>
        <v>0.63570345294536734</v>
      </c>
      <c r="M396" s="18">
        <f t="shared" si="56"/>
        <v>2.9216841677148411E-2</v>
      </c>
      <c r="N396" s="18">
        <f t="shared" si="57"/>
        <v>5.7011721201487902E-3</v>
      </c>
      <c r="O396" s="18">
        <f t="shared" si="58"/>
        <v>8.6274822380935591E-4</v>
      </c>
      <c r="P396" s="18">
        <f t="shared" si="59"/>
        <v>1.5511164441764553E-3</v>
      </c>
      <c r="Q396" s="18">
        <f t="shared" si="60"/>
        <v>2.5428138117814694E-3</v>
      </c>
      <c r="R396" s="28">
        <f>((Scenario_DT!I$11*(IF(Scenario_DT!I$18=1,1,1+$M396/Scenario_DT!$C$19)*(1+$N396)^MAX(0,Scenario_DT!I$18-3))*(Scenario_DT!I$12+$O396)-Scenario_DT!I$13)*(1-Scenario_DT!I$14)+Scenario_DT!I$13-Scenario_DT!I$15)*Scenario_DT!I$16</f>
        <v>912.20091968398219</v>
      </c>
      <c r="S396" s="28">
        <f>((Scenario_DT!J$11*(IF(Scenario_DT!J$18=1,1,1+$M396/Scenario_DT!$C$19)*(1+$N396)^MAX(0,Scenario_DT!J$18-3))*(Scenario_DT!J$12+$O396)-Scenario_DT!J$13)*(1-Scenario_DT!J$14)+Scenario_DT!J$13-Scenario_DT!J$15)*Scenario_DT!J$16</f>
        <v>1904.6843410589972</v>
      </c>
      <c r="T396" s="28">
        <f>((Scenario_DT!K$11*(IF(Scenario_DT!K$18=1,1,1+$M396/Scenario_DT!$C$19)*(1+$N396)^MAX(0,Scenario_DT!K$18-3))*(Scenario_DT!K$12+$O396)-Scenario_DT!K$13)*(1-Scenario_DT!K$14)+Scenario_DT!K$13-Scenario_DT!K$15)*Scenario_DT!K$16</f>
        <v>2172.9062157762437</v>
      </c>
      <c r="U396" s="28">
        <f>((Scenario_DT!L$11*(IF(Scenario_DT!L$18=1,1,1+$M396/Scenario_DT!$C$19)*(1+$N396)^MAX(0,Scenario_DT!L$18-3))*(Scenario_DT!L$12+$O396)-Scenario_DT!L$13)*(1-Scenario_DT!L$14)+Scenario_DT!L$13-Scenario_DT!L$15)*Scenario_DT!L$16</f>
        <v>2593.4535306706885</v>
      </c>
      <c r="V396" s="28">
        <f>((Scenario_DT!M$11*(IF(Scenario_DT!M$18=1,1,1+$M396/Scenario_DT!$C$19)*(1+$N396)^MAX(0,Scenario_DT!M$18-3))*(Scenario_DT!M$12+$O396)-Scenario_DT!M$13)*(1-Scenario_DT!M$14)+Scenario_DT!M$13-Scenario_DT!M$15)*Scenario_DT!M$16</f>
        <v>2738.0308055481082</v>
      </c>
      <c r="W396" s="28">
        <f>((Scenario_DT!N$11*(IF(Scenario_DT!N$18=1,1,1+$M396/Scenario_DT!$C$19)*(1+$N396)^MAX(0,Scenario_DT!N$18-3))*(Scenario_DT!N$12+$O396)-Scenario_DT!N$13)*(1-Scenario_DT!N$14)+Scenario_DT!N$13-Scenario_DT!N$15)*Scenario_DT!N$16</f>
        <v>2890.6687305078053</v>
      </c>
      <c r="X396" s="28">
        <f>((Scenario_DT!O$11*(IF(Scenario_DT!O$18=1,1,1+$M396/Scenario_DT!$C$19)*(1+$N396)^MAX(0,Scenario_DT!O$18-3))*(Scenario_DT!O$12+$O396)-Scenario_DT!O$13)*(1-Scenario_DT!O$14)+Scenario_DT!O$13-Scenario_DT!O$15)*Scenario_DT!O$16</f>
        <v>3051.8195237423874</v>
      </c>
      <c r="Y396" s="28">
        <f>((Scenario_DT!P$11*(IF(Scenario_DT!P$18=1,1,1+$M396/Scenario_DT!$C$19)*(1+$N396)^MAX(0,Scenario_DT!P$18-3))*(Scenario_DT!P$12+$O396)-Scenario_DT!P$13)*(1-Scenario_DT!P$14)+Scenario_DT!P$13-Scenario_DT!P$15)*Scenario_DT!P$16</f>
        <v>3221.9607872469082</v>
      </c>
      <c r="Z396" s="28">
        <f>((Scenario_DT!Q$11*(IF(Scenario_DT!Q$18=1,1,1+$M396/Scenario_DT!$C$19)*(1+$N396)^MAX(0,Scenario_DT!Q$18-3))*(Scenario_DT!Q$12+$O396)-Scenario_DT!Q$13)*(1-Scenario_DT!Q$14)+Scenario_DT!Q$13-Scenario_DT!Q$15)*Scenario_DT!Q$16</f>
        <v>3401.596931129558</v>
      </c>
      <c r="AA396" s="28">
        <f>((Scenario_DT!R$11*(IF(Scenario_DT!R$18=1,1,1+$M396/Scenario_DT!$C$19)*(1+$N396)^MAX(0,Scenario_DT!R$18-3))*(Scenario_DT!R$12+$O396)-Scenario_DT!R$13)*(1-Scenario_DT!R$14)+Scenario_DT!R$13-Scenario_DT!R$15)*Scenario_DT!R$16</f>
        <v>3591.2606778070749</v>
      </c>
      <c r="AB396" s="17">
        <f>(Scenario_DT!$R$11*(1+$M396/Scenario_DT!$C$19)*(1+$N396)^7*(Scenario_DT!$R$12+$O396)*(1+MIN(DCF_FCFF!$C$26+$Q396,(DCF_FCFF!$C$25+$P396)-0.02))*(1-DCF_FCFF!$C$27)*(1-DCF_FCFF!$C$28)/((DCF_FCFF!$C$25+$P396)-MIN(DCF_FCFF!$C$26+$Q396,(DCF_FCFF!$C$25+$P396)-0.02)))*(1+(DCF_FCFF!$C$25+$P396))^(-(Inputs!$C$9+9))</f>
        <v>30544.044443195788</v>
      </c>
      <c r="AC396" s="17">
        <f>SUMPRODUCT(R396:AA396*(1+(DCF_FCFF!$C$25+$P396))^(-Scenario_DT!$I$17:$R$17))+AB396</f>
        <v>47676.077448593205</v>
      </c>
      <c r="AD396" s="68">
        <f>((AC396-DCF_FCFF!$C$48)*(1-DCF_FCFF!$C$50)+DCF_FCFF!$C$57+DCF_FCFF!$C$58)/DCF_FCFF!$C$60</f>
        <v>361.18720131865626</v>
      </c>
      <c r="AE396" s="6"/>
      <c r="AF396" s="6"/>
      <c r="AG396" s="6"/>
    </row>
    <row r="397" spans="1:33" x14ac:dyDescent="0.3">
      <c r="A397" s="6"/>
      <c r="B397" s="72">
        <v>366</v>
      </c>
      <c r="C397" s="73">
        <v>7.1850335486234304E-2</v>
      </c>
      <c r="D397" s="73">
        <v>0.51568743852197196</v>
      </c>
      <c r="E397" s="73">
        <v>0.481591589206044</v>
      </c>
      <c r="F397" s="73">
        <v>0.92168498423756995</v>
      </c>
      <c r="G397" s="73">
        <v>0.49350658043634099</v>
      </c>
      <c r="H397" s="15">
        <f t="shared" si="51"/>
        <v>-1.4621479513510727</v>
      </c>
      <c r="I397" s="15">
        <f t="shared" si="52"/>
        <v>3.9332716298204271E-2</v>
      </c>
      <c r="J397" s="15">
        <f t="shared" si="53"/>
        <v>-4.6159429678107634E-2</v>
      </c>
      <c r="K397" s="15">
        <f t="shared" si="54"/>
        <v>1.4164970354478046</v>
      </c>
      <c r="L397" s="15">
        <f t="shared" si="55"/>
        <v>-1.6277307829564495E-2</v>
      </c>
      <c r="M397" s="18">
        <f t="shared" si="56"/>
        <v>-2.9242959027021453E-2</v>
      </c>
      <c r="N397" s="18">
        <f t="shared" si="57"/>
        <v>-5.576086753291562E-3</v>
      </c>
      <c r="O397" s="18">
        <f t="shared" si="58"/>
        <v>-5.5391315613729163E-4</v>
      </c>
      <c r="P397" s="18">
        <f t="shared" si="59"/>
        <v>8.4989822126868269E-3</v>
      </c>
      <c r="Q397" s="18">
        <f t="shared" si="60"/>
        <v>-6.5109231318257981E-5</v>
      </c>
      <c r="R397" s="28">
        <f>((Scenario_DT!I$11*(IF(Scenario_DT!I$18=1,1,1+$M397/Scenario_DT!$C$19)*(1+$N397)^MAX(0,Scenario_DT!I$18-3))*(Scenario_DT!I$12+$O397)-Scenario_DT!I$13)*(1-Scenario_DT!I$14)+Scenario_DT!I$13-Scenario_DT!I$15)*Scenario_DT!I$16</f>
        <v>910.20357959431681</v>
      </c>
      <c r="S397" s="28">
        <f>((Scenario_DT!J$11*(IF(Scenario_DT!J$18=1,1,1+$M397/Scenario_DT!$C$19)*(1+$N397)^MAX(0,Scenario_DT!J$18-3))*(Scenario_DT!J$12+$O397)-Scenario_DT!J$13)*(1-Scenario_DT!J$14)+Scenario_DT!J$13-Scenario_DT!J$15)*Scenario_DT!J$16</f>
        <v>1760.1671833961746</v>
      </c>
      <c r="T397" s="28">
        <f>((Scenario_DT!K$11*(IF(Scenario_DT!K$18=1,1,1+$M397/Scenario_DT!$C$19)*(1+$N397)^MAX(0,Scenario_DT!K$18-3))*(Scenario_DT!K$12+$O397)-Scenario_DT!K$13)*(1-Scenario_DT!K$14)+Scenario_DT!K$13-Scenario_DT!K$15)*Scenario_DT!K$16</f>
        <v>2021.1513499483317</v>
      </c>
      <c r="U397" s="28">
        <f>((Scenario_DT!L$11*(IF(Scenario_DT!L$18=1,1,1+$M397/Scenario_DT!$C$19)*(1+$N397)^MAX(0,Scenario_DT!L$18-3))*(Scenario_DT!L$12+$O397)-Scenario_DT!L$13)*(1-Scenario_DT!L$14)+Scenario_DT!L$13-Scenario_DT!L$15)*Scenario_DT!L$16</f>
        <v>2403.9517010880436</v>
      </c>
      <c r="V397" s="28">
        <f>((Scenario_DT!M$11*(IF(Scenario_DT!M$18=1,1,1+$M397/Scenario_DT!$C$19)*(1+$N397)^MAX(0,Scenario_DT!M$18-3))*(Scenario_DT!M$12+$O397)-Scenario_DT!M$13)*(1-Scenario_DT!M$14)+Scenario_DT!M$13-Scenario_DT!M$15)*Scenario_DT!M$16</f>
        <v>2509.254180373804</v>
      </c>
      <c r="W397" s="28">
        <f>((Scenario_DT!N$11*(IF(Scenario_DT!N$18=1,1,1+$M397/Scenario_DT!$C$19)*(1+$N397)^MAX(0,Scenario_DT!N$18-3))*(Scenario_DT!N$12+$O397)-Scenario_DT!N$13)*(1-Scenario_DT!N$14)+Scenario_DT!N$13-Scenario_DT!N$15)*Scenario_DT!N$16</f>
        <v>2619.1530290761057</v>
      </c>
      <c r="X397" s="28">
        <f>((Scenario_DT!O$11*(IF(Scenario_DT!O$18=1,1,1+$M397/Scenario_DT!$C$19)*(1+$N397)^MAX(0,Scenario_DT!O$18-3))*(Scenario_DT!O$12+$O397)-Scenario_DT!O$13)*(1-Scenario_DT!O$14)+Scenario_DT!O$13-Scenario_DT!O$15)*Scenario_DT!O$16</f>
        <v>2733.8506506978019</v>
      </c>
      <c r="Y397" s="28">
        <f>((Scenario_DT!P$11*(IF(Scenario_DT!P$18=1,1,1+$M397/Scenario_DT!$C$19)*(1+$N397)^MAX(0,Scenario_DT!P$18-3))*(Scenario_DT!P$12+$O397)-Scenario_DT!P$13)*(1-Scenario_DT!P$14)+Scenario_DT!P$13-Scenario_DT!P$15)*Scenario_DT!P$16</f>
        <v>2853.5583802975502</v>
      </c>
      <c r="Z397" s="28">
        <f>((Scenario_DT!Q$11*(IF(Scenario_DT!Q$18=1,1,1+$M397/Scenario_DT!$C$19)*(1+$N397)^MAX(0,Scenario_DT!Q$18-3))*(Scenario_DT!Q$12+$O397)-Scenario_DT!Q$13)*(1-Scenario_DT!Q$14)+Scenario_DT!Q$13-Scenario_DT!Q$15)*Scenario_DT!Q$16</f>
        <v>2978.4968788365618</v>
      </c>
      <c r="AA397" s="28">
        <f>((Scenario_DT!R$11*(IF(Scenario_DT!R$18=1,1,1+$M397/Scenario_DT!$C$19)*(1+$N397)^MAX(0,Scenario_DT!R$18-3))*(Scenario_DT!R$12+$O397)-Scenario_DT!R$13)*(1-Scenario_DT!R$14)+Scenario_DT!R$13-Scenario_DT!R$15)*Scenario_DT!R$16</f>
        <v>3108.896544940445</v>
      </c>
      <c r="AB397" s="17">
        <f>(Scenario_DT!$R$11*(1+$M397/Scenario_DT!$C$19)*(1+$N397)^7*(Scenario_DT!$R$12+$O397)*(1+MIN(DCF_FCFF!$C$26+$Q397,(DCF_FCFF!$C$25+$P397)-0.02))*(1-DCF_FCFF!$C$27)*(1-DCF_FCFF!$C$28)/((DCF_FCFF!$C$25+$P397)-MIN(DCF_FCFF!$C$26+$Q397,(DCF_FCFF!$C$25+$P397)-0.02)))*(1+(DCF_FCFF!$C$25+$P397))^(-(Inputs!$C$9+9))</f>
        <v>20837.346881356953</v>
      </c>
      <c r="AC397" s="17">
        <f>SUMPRODUCT(R397:AA397*(1+(DCF_FCFF!$C$25+$P397))^(-Scenario_DT!$I$17:$R$17))+AB397</f>
        <v>35966.69727849921</v>
      </c>
      <c r="AD397" s="68">
        <f>((AC397-DCF_FCFF!$C$48)*(1-DCF_FCFF!$C$50)+DCF_FCFF!$C$57+DCF_FCFF!$C$58)/DCF_FCFF!$C$60</f>
        <v>248.79157210457521</v>
      </c>
      <c r="AE397" s="6"/>
      <c r="AF397" s="6"/>
      <c r="AG397" s="6"/>
    </row>
    <row r="398" spans="1:33" x14ac:dyDescent="0.3">
      <c r="A398" s="6"/>
      <c r="B398" s="72">
        <v>367</v>
      </c>
      <c r="C398" s="73">
        <v>0.46832053469433099</v>
      </c>
      <c r="D398" s="73">
        <v>0.96219998853470201</v>
      </c>
      <c r="E398" s="73">
        <v>0.45057646360088199</v>
      </c>
      <c r="F398" s="73">
        <v>0.18088443032209001</v>
      </c>
      <c r="G398" s="73">
        <v>0.21691612280578801</v>
      </c>
      <c r="H398" s="15">
        <f t="shared" si="51"/>
        <v>-7.9492283095247099E-2</v>
      </c>
      <c r="I398" s="15">
        <f t="shared" si="52"/>
        <v>1.7768068593004598</v>
      </c>
      <c r="J398" s="15">
        <f t="shared" si="53"/>
        <v>-0.1242050458064113</v>
      </c>
      <c r="K398" s="15">
        <f t="shared" si="54"/>
        <v>-0.911999728191492</v>
      </c>
      <c r="L398" s="15">
        <f t="shared" si="55"/>
        <v>-0.78265072470322938</v>
      </c>
      <c r="M398" s="18">
        <f t="shared" si="56"/>
        <v>-1.589845661904942E-3</v>
      </c>
      <c r="N398" s="18">
        <f t="shared" si="57"/>
        <v>1.1992109889800139E-2</v>
      </c>
      <c r="O398" s="18">
        <f t="shared" si="58"/>
        <v>-1.4904605496769356E-3</v>
      </c>
      <c r="P398" s="18">
        <f t="shared" si="59"/>
        <v>-5.4719983691489523E-3</v>
      </c>
      <c r="Q398" s="18">
        <f t="shared" si="60"/>
        <v>-3.1306028988129174E-3</v>
      </c>
      <c r="R398" s="28">
        <f>((Scenario_DT!I$11*(IF(Scenario_DT!I$18=1,1,1+$M398/Scenario_DT!$C$19)*(1+$N398)^MAX(0,Scenario_DT!I$18-3))*(Scenario_DT!I$12+$O398)-Scenario_DT!I$13)*(1-Scenario_DT!I$14)+Scenario_DT!I$13-Scenario_DT!I$15)*Scenario_DT!I$16</f>
        <v>908.88314855732563</v>
      </c>
      <c r="S398" s="28">
        <f>((Scenario_DT!J$11*(IF(Scenario_DT!J$18=1,1,1+$M398/Scenario_DT!$C$19)*(1+$N398)^MAX(0,Scenario_DT!J$18-3))*(Scenario_DT!J$12+$O398)-Scenario_DT!J$13)*(1-Scenario_DT!J$14)+Scenario_DT!J$13-Scenario_DT!J$15)*Scenario_DT!J$16</f>
        <v>1823.4749818047344</v>
      </c>
      <c r="T398" s="28">
        <f>((Scenario_DT!K$11*(IF(Scenario_DT!K$18=1,1,1+$M398/Scenario_DT!$C$19)*(1+$N398)^MAX(0,Scenario_DT!K$18-3))*(Scenario_DT!K$12+$O398)-Scenario_DT!K$13)*(1-Scenario_DT!K$14)+Scenario_DT!K$13-Scenario_DT!K$15)*Scenario_DT!K$16</f>
        <v>2087.6992281923576</v>
      </c>
      <c r="U398" s="28">
        <f>((Scenario_DT!L$11*(IF(Scenario_DT!L$18=1,1,1+$M398/Scenario_DT!$C$19)*(1+$N398)^MAX(0,Scenario_DT!L$18-3))*(Scenario_DT!L$12+$O398)-Scenario_DT!L$13)*(1-Scenario_DT!L$14)+Scenario_DT!L$13-Scenario_DT!L$15)*Scenario_DT!L$16</f>
        <v>2518.2260956793834</v>
      </c>
      <c r="V398" s="28">
        <f>((Scenario_DT!M$11*(IF(Scenario_DT!M$18=1,1,1+$M398/Scenario_DT!$C$19)*(1+$N398)^MAX(0,Scenario_DT!M$18-3))*(Scenario_DT!M$12+$O398)-Scenario_DT!M$13)*(1-Scenario_DT!M$14)+Scenario_DT!M$13-Scenario_DT!M$15)*Scenario_DT!M$16</f>
        <v>2675.3372406221242</v>
      </c>
      <c r="W398" s="28">
        <f>((Scenario_DT!N$11*(IF(Scenario_DT!N$18=1,1,1+$M398/Scenario_DT!$C$19)*(1+$N398)^MAX(0,Scenario_DT!N$18-3))*(Scenario_DT!N$12+$O398)-Scenario_DT!N$13)*(1-Scenario_DT!N$14)+Scenario_DT!N$13-Scenario_DT!N$15)*Scenario_DT!N$16</f>
        <v>2842.2588937773103</v>
      </c>
      <c r="X398" s="28">
        <f>((Scenario_DT!O$11*(IF(Scenario_DT!O$18=1,1,1+$M398/Scenario_DT!$C$19)*(1+$N398)^MAX(0,Scenario_DT!O$18-3))*(Scenario_DT!O$12+$O398)-Scenario_DT!O$13)*(1-Scenario_DT!O$14)+Scenario_DT!O$13-Scenario_DT!O$15)*Scenario_DT!O$16</f>
        <v>3019.6068458028708</v>
      </c>
      <c r="Y398" s="28">
        <f>((Scenario_DT!P$11*(IF(Scenario_DT!P$18=1,1,1+$M398/Scenario_DT!$C$19)*(1+$N398)^MAX(0,Scenario_DT!P$18-3))*(Scenario_DT!P$12+$O398)-Scenario_DT!P$13)*(1-Scenario_DT!P$14)+Scenario_DT!P$13-Scenario_DT!P$15)*Scenario_DT!P$16</f>
        <v>3208.0355352634328</v>
      </c>
      <c r="Z398" s="28">
        <f>((Scenario_DT!Q$11*(IF(Scenario_DT!Q$18=1,1,1+$M398/Scenario_DT!$C$19)*(1+$N398)^MAX(0,Scenario_DT!Q$18-3))*(Scenario_DT!Q$12+$O398)-Scenario_DT!Q$13)*(1-Scenario_DT!Q$14)+Scenario_DT!Q$13-Scenario_DT!Q$15)*Scenario_DT!Q$16</f>
        <v>3408.2404725684692</v>
      </c>
      <c r="AA398" s="28">
        <f>((Scenario_DT!R$11*(IF(Scenario_DT!R$18=1,1,1+$M398/Scenario_DT!$C$19)*(1+$N398)^MAX(0,Scenario_DT!R$18-3))*(Scenario_DT!R$12+$O398)-Scenario_DT!R$13)*(1-Scenario_DT!R$14)+Scenario_DT!R$13-Scenario_DT!R$15)*Scenario_DT!R$16</f>
        <v>3620.9608158478877</v>
      </c>
      <c r="AB398" s="17">
        <f>(Scenario_DT!$R$11*(1+$M398/Scenario_DT!$C$19)*(1+$N398)^7*(Scenario_DT!$R$12+$O398)*(1+MIN(DCF_FCFF!$C$26+$Q398,(DCF_FCFF!$C$25+$P398)-0.02))*(1-DCF_FCFF!$C$27)*(1-DCF_FCFF!$C$28)/((DCF_FCFF!$C$25+$P398)-MIN(DCF_FCFF!$C$26+$Q398,(DCF_FCFF!$C$25+$P398)-0.02)))*(1+(DCF_FCFF!$C$25+$P398))^(-(Inputs!$C$9+9))</f>
        <v>33471.588377165441</v>
      </c>
      <c r="AC398" s="17">
        <f>SUMPRODUCT(R398:AA398*(1+(DCF_FCFF!$C$25+$P398))^(-Scenario_DT!$I$17:$R$17))+AB398</f>
        <v>50828.97896462374</v>
      </c>
      <c r="AD398" s="68">
        <f>((AC398-DCF_FCFF!$C$48)*(1-DCF_FCFF!$C$50)+DCF_FCFF!$C$57+DCF_FCFF!$C$58)/DCF_FCFF!$C$60</f>
        <v>391.45117298893791</v>
      </c>
      <c r="AE398" s="6"/>
      <c r="AF398" s="6"/>
      <c r="AG398" s="6"/>
    </row>
    <row r="399" spans="1:33" x14ac:dyDescent="0.3">
      <c r="A399" s="6"/>
      <c r="B399" s="72">
        <v>368</v>
      </c>
      <c r="C399" s="73">
        <v>9.5187538336974103E-2</v>
      </c>
      <c r="D399" s="73">
        <v>1E-3</v>
      </c>
      <c r="E399" s="73">
        <v>0.43194566100048198</v>
      </c>
      <c r="F399" s="73">
        <v>0.76924258129822098</v>
      </c>
      <c r="G399" s="73">
        <v>0.73346644279983597</v>
      </c>
      <c r="H399" s="15">
        <f t="shared" si="51"/>
        <v>-1.3094703448206</v>
      </c>
      <c r="I399" s="15">
        <f t="shared" si="52"/>
        <v>-3.0902323061678132</v>
      </c>
      <c r="J399" s="15">
        <f t="shared" si="53"/>
        <v>-0.17142280802588131</v>
      </c>
      <c r="K399" s="15">
        <f t="shared" si="54"/>
        <v>0.73635474589767114</v>
      </c>
      <c r="L399" s="15">
        <f t="shared" si="55"/>
        <v>0.62333087217788119</v>
      </c>
      <c r="M399" s="18">
        <f t="shared" si="56"/>
        <v>-2.6189406896411999E-2</v>
      </c>
      <c r="N399" s="18">
        <f t="shared" si="57"/>
        <v>-2.6647638825175977E-2</v>
      </c>
      <c r="O399" s="18">
        <f t="shared" si="58"/>
        <v>-2.0570736963105756E-3</v>
      </c>
      <c r="P399" s="18">
        <f t="shared" si="59"/>
        <v>4.4181284753860269E-3</v>
      </c>
      <c r="Q399" s="18">
        <f t="shared" si="60"/>
        <v>2.4933234887115248E-3</v>
      </c>
      <c r="R399" s="28">
        <f>((Scenario_DT!I$11*(IF(Scenario_DT!I$18=1,1,1+$M399/Scenario_DT!$C$19)*(1+$N399)^MAX(0,Scenario_DT!I$18-3))*(Scenario_DT!I$12+$O399)-Scenario_DT!I$13)*(1-Scenario_DT!I$14)+Scenario_DT!I$13-Scenario_DT!I$15)*Scenario_DT!I$16</f>
        <v>908.0842849974639</v>
      </c>
      <c r="S399" s="28">
        <f>((Scenario_DT!J$11*(IF(Scenario_DT!J$18=1,1,1+$M399/Scenario_DT!$C$19)*(1+$N399)^MAX(0,Scenario_DT!J$18-3))*(Scenario_DT!J$12+$O399)-Scenario_DT!J$13)*(1-Scenario_DT!J$14)+Scenario_DT!J$13-Scenario_DT!J$15)*Scenario_DT!J$16</f>
        <v>1762.9373375703144</v>
      </c>
      <c r="T399" s="28">
        <f>((Scenario_DT!K$11*(IF(Scenario_DT!K$18=1,1,1+$M399/Scenario_DT!$C$19)*(1+$N399)^MAX(0,Scenario_DT!K$18-3))*(Scenario_DT!K$12+$O399)-Scenario_DT!K$13)*(1-Scenario_DT!K$14)+Scenario_DT!K$13-Scenario_DT!K$15)*Scenario_DT!K$16</f>
        <v>2024.1259638176748</v>
      </c>
      <c r="U399" s="28">
        <f>((Scenario_DT!L$11*(IF(Scenario_DT!L$18=1,1,1+$M399/Scenario_DT!$C$19)*(1+$N399)^MAX(0,Scenario_DT!L$18-3))*(Scenario_DT!L$12+$O399)-Scenario_DT!L$13)*(1-Scenario_DT!L$14)+Scenario_DT!L$13-Scenario_DT!L$15)*Scenario_DT!L$16</f>
        <v>2355.729306795733</v>
      </c>
      <c r="V399" s="28">
        <f>((Scenario_DT!M$11*(IF(Scenario_DT!M$18=1,1,1+$M399/Scenario_DT!$C$19)*(1+$N399)^MAX(0,Scenario_DT!M$18-3))*(Scenario_DT!M$12+$O399)-Scenario_DT!M$13)*(1-Scenario_DT!M$14)+Scenario_DT!M$13-Scenario_DT!M$15)*Scenario_DT!M$16</f>
        <v>2406.4088279455259</v>
      </c>
      <c r="W399" s="28">
        <f>((Scenario_DT!N$11*(IF(Scenario_DT!N$18=1,1,1+$M399/Scenario_DT!$C$19)*(1+$N399)^MAX(0,Scenario_DT!N$18-3))*(Scenario_DT!N$12+$O399)-Scenario_DT!N$13)*(1-Scenario_DT!N$14)+Scenario_DT!N$13-Scenario_DT!N$15)*Scenario_DT!N$16</f>
        <v>2458.1174614262873</v>
      </c>
      <c r="X399" s="28">
        <f>((Scenario_DT!O$11*(IF(Scenario_DT!O$18=1,1,1+$M399/Scenario_DT!$C$19)*(1+$N399)^MAX(0,Scenario_DT!O$18-3))*(Scenario_DT!O$12+$O399)-Scenario_DT!O$13)*(1-Scenario_DT!O$14)+Scenario_DT!O$13-Scenario_DT!O$15)*Scenario_DT!O$16</f>
        <v>2510.8746804396187</v>
      </c>
      <c r="Y399" s="28">
        <f>((Scenario_DT!P$11*(IF(Scenario_DT!P$18=1,1,1+$M399/Scenario_DT!$C$19)*(1+$N399)^MAX(0,Scenario_DT!P$18-3))*(Scenario_DT!P$12+$O399)-Scenario_DT!P$13)*(1-Scenario_DT!P$14)+Scenario_DT!P$13-Scenario_DT!P$15)*Scenario_DT!P$16</f>
        <v>2564.7002537826434</v>
      </c>
      <c r="Z399" s="28">
        <f>((Scenario_DT!Q$11*(IF(Scenario_DT!Q$18=1,1,1+$M399/Scenario_DT!$C$19)*(1+$N399)^MAX(0,Scenario_DT!Q$18-3))*(Scenario_DT!Q$12+$O399)-Scenario_DT!Q$13)*(1-Scenario_DT!Q$14)+Scenario_DT!Q$13-Scenario_DT!Q$15)*Scenario_DT!Q$16</f>
        <v>2619.6142466175452</v>
      </c>
      <c r="AA399" s="28">
        <f>((Scenario_DT!R$11*(IF(Scenario_DT!R$18=1,1,1+$M399/Scenario_DT!$C$19)*(1+$N399)^MAX(0,Scenario_DT!R$18-3))*(Scenario_DT!R$12+$O399)-Scenario_DT!R$13)*(1-Scenario_DT!R$14)+Scenario_DT!R$13-Scenario_DT!R$15)*Scenario_DT!R$16</f>
        <v>2675.6370210099208</v>
      </c>
      <c r="AB399" s="17">
        <f>(Scenario_DT!$R$11*(1+$M399/Scenario_DT!$C$19)*(1+$N399)^7*(Scenario_DT!$R$12+$O399)*(1+MIN(DCF_FCFF!$C$26+$Q399,(DCF_FCFF!$C$25+$P399)-0.02))*(1-DCF_FCFF!$C$27)*(1-DCF_FCFF!$C$28)/((DCF_FCFF!$C$25+$P399)-MIN(DCF_FCFF!$C$26+$Q399,(DCF_FCFF!$C$25+$P399)-0.02)))*(1+(DCF_FCFF!$C$25+$P399))^(-(Inputs!$C$9+9))</f>
        <v>21015.911608350565</v>
      </c>
      <c r="AC399" s="17">
        <f>SUMPRODUCT(R399:AA399*(1+(DCF_FCFF!$C$25+$P399))^(-Scenario_DT!$I$17:$R$17))+AB399</f>
        <v>35543.764083961512</v>
      </c>
      <c r="AD399" s="68">
        <f>((AC399-DCF_FCFF!$C$48)*(1-DCF_FCFF!$C$50)+DCF_FCFF!$C$57+DCF_FCFF!$C$58)/DCF_FCFF!$C$60</f>
        <v>244.7319342906973</v>
      </c>
      <c r="AE399" s="6"/>
      <c r="AF399" s="6"/>
      <c r="AG399" s="6"/>
    </row>
    <row r="400" spans="1:33" x14ac:dyDescent="0.3">
      <c r="A400" s="6"/>
      <c r="B400" s="72">
        <v>369</v>
      </c>
      <c r="C400" s="73">
        <v>3.2149087802850203E-2</v>
      </c>
      <c r="D400" s="73">
        <v>0.56998290359403303</v>
      </c>
      <c r="E400" s="73">
        <v>0.154283125413476</v>
      </c>
      <c r="F400" s="73">
        <v>0.94107628476469696</v>
      </c>
      <c r="G400" s="73">
        <v>0.167364999644179</v>
      </c>
      <c r="H400" s="15">
        <f t="shared" si="51"/>
        <v>-1.8501066782035749</v>
      </c>
      <c r="I400" s="15">
        <f t="shared" si="52"/>
        <v>0.17633063884956923</v>
      </c>
      <c r="J400" s="15">
        <f t="shared" si="53"/>
        <v>-1.0182350825481605</v>
      </c>
      <c r="K400" s="15">
        <f t="shared" si="54"/>
        <v>1.5638728549687979</v>
      </c>
      <c r="L400" s="15">
        <f t="shared" si="55"/>
        <v>-0.96463033604520698</v>
      </c>
      <c r="M400" s="18">
        <f t="shared" si="56"/>
        <v>-3.7002133564071497E-2</v>
      </c>
      <c r="N400" s="18">
        <f t="shared" si="57"/>
        <v>-6.1787722111401695E-3</v>
      </c>
      <c r="O400" s="18">
        <f t="shared" si="58"/>
        <v>-1.2218820990577927E-2</v>
      </c>
      <c r="P400" s="18">
        <f t="shared" si="59"/>
        <v>9.3832371298127881E-3</v>
      </c>
      <c r="Q400" s="18">
        <f t="shared" si="60"/>
        <v>-3.8585213441808281E-3</v>
      </c>
      <c r="R400" s="28">
        <f>((Scenario_DT!I$11*(IF(Scenario_DT!I$18=1,1,1+$M400/Scenario_DT!$C$19)*(1+$N400)^MAX(0,Scenario_DT!I$18-3))*(Scenario_DT!I$12+$O400)-Scenario_DT!I$13)*(1-Scenario_DT!I$14)+Scenario_DT!I$13-Scenario_DT!I$15)*Scenario_DT!I$16</f>
        <v>893.75731488365091</v>
      </c>
      <c r="S400" s="28">
        <f>((Scenario_DT!J$11*(IF(Scenario_DT!J$18=1,1,1+$M400/Scenario_DT!$C$19)*(1+$N400)^MAX(0,Scenario_DT!J$18-3))*(Scenario_DT!J$12+$O400)-Scenario_DT!J$13)*(1-Scenario_DT!J$14)+Scenario_DT!J$13-Scenario_DT!J$15)*Scenario_DT!J$16</f>
        <v>1706.7629656349568</v>
      </c>
      <c r="T400" s="28">
        <f>((Scenario_DT!K$11*(IF(Scenario_DT!K$18=1,1,1+$M400/Scenario_DT!$C$19)*(1+$N400)^MAX(0,Scenario_DT!K$18-3))*(Scenario_DT!K$12+$O400)-Scenario_DT!K$13)*(1-Scenario_DT!K$14)+Scenario_DT!K$13-Scenario_DT!K$15)*Scenario_DT!K$16</f>
        <v>1965.5432577364172</v>
      </c>
      <c r="U400" s="28">
        <f>((Scenario_DT!L$11*(IF(Scenario_DT!L$18=1,1,1+$M400/Scenario_DT!$C$19)*(1+$N400)^MAX(0,Scenario_DT!L$18-3))*(Scenario_DT!L$12+$O400)-Scenario_DT!L$13)*(1-Scenario_DT!L$14)+Scenario_DT!L$13-Scenario_DT!L$15)*Scenario_DT!L$16</f>
        <v>2343.8059438595096</v>
      </c>
      <c r="V400" s="28">
        <f>((Scenario_DT!M$11*(IF(Scenario_DT!M$18=1,1,1+$M400/Scenario_DT!$C$19)*(1+$N400)^MAX(0,Scenario_DT!M$18-3))*(Scenario_DT!M$12+$O400)-Scenario_DT!M$13)*(1-Scenario_DT!M$14)+Scenario_DT!M$13-Scenario_DT!M$15)*Scenario_DT!M$16</f>
        <v>2444.9593967390606</v>
      </c>
      <c r="W400" s="28">
        <f>((Scenario_DT!N$11*(IF(Scenario_DT!N$18=1,1,1+$M400/Scenario_DT!$C$19)*(1+$N400)^MAX(0,Scenario_DT!N$18-3))*(Scenario_DT!N$12+$O400)-Scenario_DT!N$13)*(1-Scenario_DT!N$14)+Scenario_DT!N$13-Scenario_DT!N$15)*Scenario_DT!N$16</f>
        <v>2550.4610574389335</v>
      </c>
      <c r="X400" s="28">
        <f>((Scenario_DT!O$11*(IF(Scenario_DT!O$18=1,1,1+$M400/Scenario_DT!$C$19)*(1+$N400)^MAX(0,Scenario_DT!O$18-3))*(Scenario_DT!O$12+$O400)-Scenario_DT!O$13)*(1-Scenario_DT!O$14)+Scenario_DT!O$13-Scenario_DT!O$15)*Scenario_DT!O$16</f>
        <v>2660.4995459392089</v>
      </c>
      <c r="Y400" s="28">
        <f>((Scenario_DT!P$11*(IF(Scenario_DT!P$18=1,1,1+$M400/Scenario_DT!$C$19)*(1+$N400)^MAX(0,Scenario_DT!P$18-3))*(Scenario_DT!P$12+$O400)-Scenario_DT!P$13)*(1-Scenario_DT!P$14)+Scenario_DT!P$13-Scenario_DT!P$15)*Scenario_DT!P$16</f>
        <v>2775.2716822304078</v>
      </c>
      <c r="Z400" s="28">
        <f>((Scenario_DT!Q$11*(IF(Scenario_DT!Q$18=1,1,1+$M400/Scenario_DT!$C$19)*(1+$N400)^MAX(0,Scenario_DT!Q$18-3))*(Scenario_DT!Q$12+$O400)-Scenario_DT!Q$13)*(1-Scenario_DT!Q$14)+Scenario_DT!Q$13-Scenario_DT!Q$15)*Scenario_DT!Q$16</f>
        <v>2894.9828430110288</v>
      </c>
      <c r="AA400" s="28">
        <f>((Scenario_DT!R$11*(IF(Scenario_DT!R$18=1,1,1+$M400/Scenario_DT!$C$19)*(1+$N400)^MAX(0,Scenario_DT!R$18-3))*(Scenario_DT!R$12+$O400)-Scenario_DT!R$13)*(1-Scenario_DT!R$14)+Scenario_DT!R$13-Scenario_DT!R$15)*Scenario_DT!R$16</f>
        <v>3019.8473339051211</v>
      </c>
      <c r="AB400" s="17">
        <f>(Scenario_DT!$R$11*(1+$M400/Scenario_DT!$C$19)*(1+$N400)^7*(Scenario_DT!$R$12+$O400)*(1+MIN(DCF_FCFF!$C$26+$Q400,(DCF_FCFF!$C$25+$P400)-0.02))*(1-DCF_FCFF!$C$27)*(1-DCF_FCFF!$C$28)/((DCF_FCFF!$C$25+$P400)-MIN(DCF_FCFF!$C$26+$Q400,(DCF_FCFF!$C$25+$P400)-0.02)))*(1+(DCF_FCFF!$C$25+$P400))^(-(Inputs!$C$9+9))</f>
        <v>18547.471946437287</v>
      </c>
      <c r="AC400" s="17">
        <f>SUMPRODUCT(R400:AA400*(1+(DCF_FCFF!$C$25+$P400))^(-Scenario_DT!$I$17:$R$17))+AB400</f>
        <v>33219.996347360066</v>
      </c>
      <c r="AD400" s="68">
        <f>((AC400-DCF_FCFF!$C$48)*(1-DCF_FCFF!$C$50)+DCF_FCFF!$C$57+DCF_FCFF!$C$58)/DCF_FCFF!$C$60</f>
        <v>222.42662580222895</v>
      </c>
      <c r="AE400" s="6"/>
      <c r="AF400" s="6"/>
      <c r="AG400" s="6"/>
    </row>
    <row r="401" spans="1:33" x14ac:dyDescent="0.3">
      <c r="A401" s="6"/>
      <c r="B401" s="72">
        <v>370</v>
      </c>
      <c r="C401" s="73">
        <v>0.62663921769748199</v>
      </c>
      <c r="D401" s="73">
        <v>0.32623836216405699</v>
      </c>
      <c r="E401" s="73">
        <v>0.641561325964352</v>
      </c>
      <c r="F401" s="73">
        <v>0.41225859646407498</v>
      </c>
      <c r="G401" s="73">
        <v>0.75964305230639495</v>
      </c>
      <c r="H401" s="15">
        <f t="shared" si="51"/>
        <v>0.32296524317736758</v>
      </c>
      <c r="I401" s="15">
        <f t="shared" si="52"/>
        <v>-0.45032415508774665</v>
      </c>
      <c r="J401" s="15">
        <f t="shared" si="53"/>
        <v>0.36263528536374584</v>
      </c>
      <c r="K401" s="15">
        <f t="shared" si="54"/>
        <v>-0.2217388397249028</v>
      </c>
      <c r="L401" s="15">
        <f t="shared" si="55"/>
        <v>0.70515481797695545</v>
      </c>
      <c r="M401" s="18">
        <f t="shared" si="56"/>
        <v>6.4593048635473516E-3</v>
      </c>
      <c r="N401" s="18">
        <f t="shared" si="57"/>
        <v>-1.8280762932405452E-3</v>
      </c>
      <c r="O401" s="18">
        <f t="shared" si="58"/>
        <v>4.3516234243649501E-3</v>
      </c>
      <c r="P401" s="18">
        <f t="shared" si="59"/>
        <v>-1.3304330383494167E-3</v>
      </c>
      <c r="Q401" s="18">
        <f t="shared" si="60"/>
        <v>2.8206192719078217E-3</v>
      </c>
      <c r="R401" s="28">
        <f>((Scenario_DT!I$11*(IF(Scenario_DT!I$18=1,1,1+$M401/Scenario_DT!$C$19)*(1+$N401)^MAX(0,Scenario_DT!I$18-3))*(Scenario_DT!I$12+$O401)-Scenario_DT!I$13)*(1-Scenario_DT!I$14)+Scenario_DT!I$13-Scenario_DT!I$15)*Scenario_DT!I$16</f>
        <v>917.11985825642455</v>
      </c>
      <c r="S401" s="28">
        <f>((Scenario_DT!J$11*(IF(Scenario_DT!J$18=1,1,1+$M401/Scenario_DT!$C$19)*(1+$N401)^MAX(0,Scenario_DT!J$18-3))*(Scenario_DT!J$12+$O401)-Scenario_DT!J$13)*(1-Scenario_DT!J$14)+Scenario_DT!J$13-Scenario_DT!J$15)*Scenario_DT!J$16</f>
        <v>1861.0034449804211</v>
      </c>
      <c r="T401" s="28">
        <f>((Scenario_DT!K$11*(IF(Scenario_DT!K$18=1,1,1+$M401/Scenario_DT!$C$19)*(1+$N401)^MAX(0,Scenario_DT!K$18-3))*(Scenario_DT!K$12+$O401)-Scenario_DT!K$13)*(1-Scenario_DT!K$14)+Scenario_DT!K$13-Scenario_DT!K$15)*Scenario_DT!K$16</f>
        <v>2126.8646973097202</v>
      </c>
      <c r="U401" s="28">
        <f>((Scenario_DT!L$11*(IF(Scenario_DT!L$18=1,1,1+$M401/Scenario_DT!$C$19)*(1+$N401)^MAX(0,Scenario_DT!L$18-3))*(Scenario_DT!L$12+$O401)-Scenario_DT!L$13)*(1-Scenario_DT!L$14)+Scenario_DT!L$13-Scenario_DT!L$15)*Scenario_DT!L$16</f>
        <v>2525.1146746201889</v>
      </c>
      <c r="V401" s="28">
        <f>((Scenario_DT!M$11*(IF(Scenario_DT!M$18=1,1,1+$M401/Scenario_DT!$C$19)*(1+$N401)^MAX(0,Scenario_DT!M$18-3))*(Scenario_DT!M$12+$O401)-Scenario_DT!M$13)*(1-Scenario_DT!M$14)+Scenario_DT!M$13-Scenario_DT!M$15)*Scenario_DT!M$16</f>
        <v>2645.7696801779525</v>
      </c>
      <c r="W401" s="28">
        <f>((Scenario_DT!N$11*(IF(Scenario_DT!N$18=1,1,1+$M401/Scenario_DT!$C$19)*(1+$N401)^MAX(0,Scenario_DT!N$18-3))*(Scenario_DT!N$12+$O401)-Scenario_DT!N$13)*(1-Scenario_DT!N$14)+Scenario_DT!N$13-Scenario_DT!N$15)*Scenario_DT!N$16</f>
        <v>2772.1797807326006</v>
      </c>
      <c r="X401" s="28">
        <f>((Scenario_DT!O$11*(IF(Scenario_DT!O$18=1,1,1+$M401/Scenario_DT!$C$19)*(1+$N401)^MAX(0,Scenario_DT!O$18-3))*(Scenario_DT!O$12+$O401)-Scenario_DT!O$13)*(1-Scenario_DT!O$14)+Scenario_DT!O$13-Scenario_DT!O$15)*Scenario_DT!O$16</f>
        <v>2904.621657941449</v>
      </c>
      <c r="Y401" s="28">
        <f>((Scenario_DT!P$11*(IF(Scenario_DT!P$18=1,1,1+$M401/Scenario_DT!$C$19)*(1+$N401)^MAX(0,Scenario_DT!P$18-3))*(Scenario_DT!P$12+$O401)-Scenario_DT!P$13)*(1-Scenario_DT!P$14)+Scenario_DT!P$13-Scenario_DT!P$15)*Scenario_DT!P$16</f>
        <v>3043.3853159491432</v>
      </c>
      <c r="Z401" s="28">
        <f>((Scenario_DT!Q$11*(IF(Scenario_DT!Q$18=1,1,1+$M401/Scenario_DT!$C$19)*(1+$N401)^MAX(0,Scenario_DT!Q$18-3))*(Scenario_DT!Q$12+$O401)-Scenario_DT!Q$13)*(1-Scenario_DT!Q$14)+Scenario_DT!Q$13-Scenario_DT!Q$15)*Scenario_DT!Q$16</f>
        <v>3188.7747230339878</v>
      </c>
      <c r="AA401" s="28">
        <f>((Scenario_DT!R$11*(IF(Scenario_DT!R$18=1,1,1+$M401/Scenario_DT!$C$19)*(1+$N401)^MAX(0,Scenario_DT!R$18-3))*(Scenario_DT!R$12+$O401)-Scenario_DT!R$13)*(1-Scenario_DT!R$14)+Scenario_DT!R$13-Scenario_DT!R$15)*Scenario_DT!R$16</f>
        <v>3341.1084841568622</v>
      </c>
      <c r="AB401" s="17">
        <f>(Scenario_DT!$R$11*(1+$M401/Scenario_DT!$C$19)*(1+$N401)^7*(Scenario_DT!$R$12+$O401)*(1+MIN(DCF_FCFF!$C$26+$Q401,(DCF_FCFF!$C$25+$P401)-0.02))*(1-DCF_FCFF!$C$27)*(1-DCF_FCFF!$C$28)/((DCF_FCFF!$C$25+$P401)-MIN(DCF_FCFF!$C$26+$Q401,(DCF_FCFF!$C$25+$P401)-0.02)))*(1+(DCF_FCFF!$C$25+$P401))^(-(Inputs!$C$9+9))</f>
        <v>31153.56697801625</v>
      </c>
      <c r="AC401" s="17">
        <f>SUMPRODUCT(R401:AA401*(1+(DCF_FCFF!$C$25+$P401))^(-Scenario_DT!$I$17:$R$17))+AB401</f>
        <v>47815.44939533469</v>
      </c>
      <c r="AD401" s="68">
        <f>((AC401-DCF_FCFF!$C$48)*(1-DCF_FCFF!$C$50)+DCF_FCFF!$C$57+DCF_FCFF!$C$58)/DCF_FCFF!$C$60</f>
        <v>362.52500036704731</v>
      </c>
      <c r="AE401" s="6"/>
      <c r="AF401" s="6"/>
      <c r="AG401" s="6"/>
    </row>
    <row r="402" spans="1:33" x14ac:dyDescent="0.3">
      <c r="A402" s="6"/>
      <c r="B402" s="72">
        <v>371</v>
      </c>
      <c r="C402" s="73">
        <v>0.230679125327858</v>
      </c>
      <c r="D402" s="73">
        <v>0.90579185291426001</v>
      </c>
      <c r="E402" s="73">
        <v>0.50020964931335199</v>
      </c>
      <c r="F402" s="73">
        <v>0.75609314771285296</v>
      </c>
      <c r="G402" s="73">
        <v>0.84973019140122696</v>
      </c>
      <c r="H402" s="15">
        <f t="shared" si="51"/>
        <v>-0.73661213924269509</v>
      </c>
      <c r="I402" s="15">
        <f t="shared" si="52"/>
        <v>1.315278580239654</v>
      </c>
      <c r="J402" s="15">
        <f t="shared" si="53"/>
        <v>5.2551292079301389E-4</v>
      </c>
      <c r="K402" s="15">
        <f t="shared" si="54"/>
        <v>0.69379033512855559</v>
      </c>
      <c r="L402" s="15">
        <f t="shared" si="55"/>
        <v>1.035276894352039</v>
      </c>
      <c r="M402" s="18">
        <f t="shared" si="56"/>
        <v>-1.4732242784853902E-2</v>
      </c>
      <c r="N402" s="18">
        <f t="shared" si="57"/>
        <v>6.1660687513577757E-3</v>
      </c>
      <c r="O402" s="18">
        <f t="shared" si="58"/>
        <v>6.3061550495161672E-6</v>
      </c>
      <c r="P402" s="18">
        <f t="shared" si="59"/>
        <v>4.162742010771334E-3</v>
      </c>
      <c r="Q402" s="18">
        <f t="shared" si="60"/>
        <v>4.1411075774081558E-3</v>
      </c>
      <c r="R402" s="28">
        <f>((Scenario_DT!I$11*(IF(Scenario_DT!I$18=1,1,1+$M402/Scenario_DT!$C$19)*(1+$N402)^MAX(0,Scenario_DT!I$18-3))*(Scenario_DT!I$12+$O402)-Scenario_DT!I$13)*(1-Scenario_DT!I$14)+Scenario_DT!I$13-Scenario_DT!I$15)*Scenario_DT!I$16</f>
        <v>910.9934285342805</v>
      </c>
      <c r="S402" s="28">
        <f>((Scenario_DT!J$11*(IF(Scenario_DT!J$18=1,1,1+$M402/Scenario_DT!$C$19)*(1+$N402)^MAX(0,Scenario_DT!J$18-3))*(Scenario_DT!J$12+$O402)-Scenario_DT!J$13)*(1-Scenario_DT!J$14)+Scenario_DT!J$13-Scenario_DT!J$15)*Scenario_DT!J$16</f>
        <v>1796.625802397818</v>
      </c>
      <c r="T402" s="28">
        <f>((Scenario_DT!K$11*(IF(Scenario_DT!K$18=1,1,1+$M402/Scenario_DT!$C$19)*(1+$N402)^MAX(0,Scenario_DT!K$18-3))*(Scenario_DT!K$12+$O402)-Scenario_DT!K$13)*(1-Scenario_DT!K$14)+Scenario_DT!K$13-Scenario_DT!K$15)*Scenario_DT!K$16</f>
        <v>2059.4278155955199</v>
      </c>
      <c r="U402" s="28">
        <f>((Scenario_DT!L$11*(IF(Scenario_DT!L$18=1,1,1+$M402/Scenario_DT!$C$19)*(1+$N402)^MAX(0,Scenario_DT!L$18-3))*(Scenario_DT!L$12+$O402)-Scenario_DT!L$13)*(1-Scenario_DT!L$14)+Scenario_DT!L$13-Scenario_DT!L$15)*Scenario_DT!L$16</f>
        <v>2473.4284838717485</v>
      </c>
      <c r="V402" s="28">
        <f>((Scenario_DT!M$11*(IF(Scenario_DT!M$18=1,1,1+$M402/Scenario_DT!$C$19)*(1+$N402)^MAX(0,Scenario_DT!M$18-3))*(Scenario_DT!M$12+$O402)-Scenario_DT!M$13)*(1-Scenario_DT!M$14)+Scenario_DT!M$13-Scenario_DT!M$15)*Scenario_DT!M$16</f>
        <v>2612.5016291126499</v>
      </c>
      <c r="W402" s="28">
        <f>((Scenario_DT!N$11*(IF(Scenario_DT!N$18=1,1,1+$M402/Scenario_DT!$C$19)*(1+$N402)^MAX(0,Scenario_DT!N$18-3))*(Scenario_DT!N$12+$O402)-Scenario_DT!N$13)*(1-Scenario_DT!N$14)+Scenario_DT!N$13-Scenario_DT!N$15)*Scenario_DT!N$16</f>
        <v>2759.3959203588115</v>
      </c>
      <c r="X402" s="28">
        <f>((Scenario_DT!O$11*(IF(Scenario_DT!O$18=1,1,1+$M402/Scenario_DT!$C$19)*(1+$N402)^MAX(0,Scenario_DT!O$18-3))*(Scenario_DT!O$12+$O402)-Scenario_DT!O$13)*(1-Scenario_DT!O$14)+Scenario_DT!O$13-Scenario_DT!O$15)*Scenario_DT!O$16</f>
        <v>2914.5540439167416</v>
      </c>
      <c r="Y402" s="28">
        <f>((Scenario_DT!P$11*(IF(Scenario_DT!P$18=1,1,1+$M402/Scenario_DT!$C$19)*(1+$N402)^MAX(0,Scenario_DT!P$18-3))*(Scenario_DT!P$12+$O402)-Scenario_DT!P$13)*(1-Scenario_DT!P$14)+Scenario_DT!P$13-Scenario_DT!P$15)*Scenario_DT!P$16</f>
        <v>3078.4437551946726</v>
      </c>
      <c r="Z402" s="28">
        <f>((Scenario_DT!Q$11*(IF(Scenario_DT!Q$18=1,1,1+$M402/Scenario_DT!$C$19)*(1+$N402)^MAX(0,Scenario_DT!Q$18-3))*(Scenario_DT!Q$12+$O402)-Scenario_DT!Q$13)*(1-Scenario_DT!Q$14)+Scenario_DT!Q$13-Scenario_DT!Q$15)*Scenario_DT!Q$16</f>
        <v>3251.5592977596148</v>
      </c>
      <c r="AA402" s="28">
        <f>((Scenario_DT!R$11*(IF(Scenario_DT!R$18=1,1,1+$M402/Scenario_DT!$C$19)*(1+$N402)^MAX(0,Scenario_DT!R$18-3))*(Scenario_DT!R$12+$O402)-Scenario_DT!R$13)*(1-Scenario_DT!R$14)+Scenario_DT!R$13-Scenario_DT!R$15)*Scenario_DT!R$16</f>
        <v>3434.4229026833063</v>
      </c>
      <c r="AB402" s="17">
        <f>(Scenario_DT!$R$11*(1+$M402/Scenario_DT!$C$19)*(1+$N402)^7*(Scenario_DT!$R$12+$O402)*(1+MIN(DCF_FCFF!$C$26+$Q402,(DCF_FCFF!$C$25+$P402)-0.02))*(1-DCF_FCFF!$C$27)*(1-DCF_FCFF!$C$28)/((DCF_FCFF!$C$25+$P402)-MIN(DCF_FCFF!$C$26+$Q402,(DCF_FCFF!$C$25+$P402)-0.02)))*(1+(DCF_FCFF!$C$25+$P402))^(-(Inputs!$C$9+9))</f>
        <v>28035.589556498457</v>
      </c>
      <c r="AC402" s="17">
        <f>SUMPRODUCT(R402:AA402*(1+(DCF_FCFF!$C$25+$P402))^(-Scenario_DT!$I$17:$R$17))+AB402</f>
        <v>44221.728355136227</v>
      </c>
      <c r="AD402" s="68">
        <f>((AC402-DCF_FCFF!$C$48)*(1-DCF_FCFF!$C$50)+DCF_FCFF!$C$57+DCF_FCFF!$C$58)/DCF_FCFF!$C$60</f>
        <v>328.02970414593693</v>
      </c>
      <c r="AE402" s="6"/>
      <c r="AF402" s="6"/>
      <c r="AG402" s="6"/>
    </row>
    <row r="403" spans="1:33" x14ac:dyDescent="0.3">
      <c r="A403" s="6"/>
      <c r="B403" s="72">
        <v>372</v>
      </c>
      <c r="C403" s="73">
        <v>0.99882861095480502</v>
      </c>
      <c r="D403" s="73">
        <v>0.22394566559395801</v>
      </c>
      <c r="E403" s="73">
        <v>0.28689241356345502</v>
      </c>
      <c r="F403" s="73">
        <v>0.25043308673188802</v>
      </c>
      <c r="G403" s="73">
        <v>0.26287133215978298</v>
      </c>
      <c r="H403" s="15">
        <f t="shared" si="51"/>
        <v>3.0429415811216849</v>
      </c>
      <c r="I403" s="15">
        <f t="shared" si="52"/>
        <v>-0.75893518302706497</v>
      </c>
      <c r="J403" s="15">
        <f t="shared" si="53"/>
        <v>-0.56248616507020988</v>
      </c>
      <c r="K403" s="15">
        <f t="shared" si="54"/>
        <v>-0.67312751027726192</v>
      </c>
      <c r="L403" s="15">
        <f t="shared" si="55"/>
        <v>-0.63451824406935387</v>
      </c>
      <c r="M403" s="18">
        <f t="shared" si="56"/>
        <v>6.0858831622433697E-2</v>
      </c>
      <c r="N403" s="18">
        <f t="shared" si="57"/>
        <v>6.9137091378688939E-3</v>
      </c>
      <c r="O403" s="18">
        <f t="shared" si="58"/>
        <v>-6.7498339808425185E-3</v>
      </c>
      <c r="P403" s="18">
        <f t="shared" si="59"/>
        <v>-4.0387650616635715E-3</v>
      </c>
      <c r="Q403" s="18">
        <f t="shared" si="60"/>
        <v>-2.5380729762774154E-3</v>
      </c>
      <c r="R403" s="28">
        <f>((Scenario_DT!I$11*(IF(Scenario_DT!I$18=1,1,1+$M403/Scenario_DT!$C$19)*(1+$N403)^MAX(0,Scenario_DT!I$18-3))*(Scenario_DT!I$12+$O403)-Scenario_DT!I$13)*(1-Scenario_DT!I$14)+Scenario_DT!I$13-Scenario_DT!I$15)*Scenario_DT!I$16</f>
        <v>901.46799801444627</v>
      </c>
      <c r="S403" s="28">
        <f>((Scenario_DT!J$11*(IF(Scenario_DT!J$18=1,1,1+$M403/Scenario_DT!$C$19)*(1+$N403)^MAX(0,Scenario_DT!J$18-3))*(Scenario_DT!J$12+$O403)-Scenario_DT!J$13)*(1-Scenario_DT!J$14)+Scenario_DT!J$13-Scenario_DT!J$15)*Scenario_DT!J$16</f>
        <v>1955.408605363556</v>
      </c>
      <c r="T403" s="28">
        <f>((Scenario_DT!K$11*(IF(Scenario_DT!K$18=1,1,1+$M403/Scenario_DT!$C$19)*(1+$N403)^MAX(0,Scenario_DT!K$18-3))*(Scenario_DT!K$12+$O403)-Scenario_DT!K$13)*(1-Scenario_DT!K$14)+Scenario_DT!K$13-Scenario_DT!K$15)*Scenario_DT!K$16</f>
        <v>2226.5490596059662</v>
      </c>
      <c r="U403" s="28">
        <f>((Scenario_DT!L$11*(IF(Scenario_DT!L$18=1,1,1+$M403/Scenario_DT!$C$19)*(1+$N403)^MAX(0,Scenario_DT!L$18-3))*(Scenario_DT!L$12+$O403)-Scenario_DT!L$13)*(1-Scenario_DT!L$14)+Scenario_DT!L$13-Scenario_DT!L$15)*Scenario_DT!L$16</f>
        <v>2653.9512294686042</v>
      </c>
      <c r="V403" s="28">
        <f>((Scenario_DT!M$11*(IF(Scenario_DT!M$18=1,1,1+$M403/Scenario_DT!$C$19)*(1+$N403)^MAX(0,Scenario_DT!M$18-3))*(Scenario_DT!M$12+$O403)-Scenario_DT!M$13)*(1-Scenario_DT!M$14)+Scenario_DT!M$13-Scenario_DT!M$15)*Scenario_DT!M$16</f>
        <v>2805.3159417704614</v>
      </c>
      <c r="W403" s="28">
        <f>((Scenario_DT!N$11*(IF(Scenario_DT!N$18=1,1,1+$M403/Scenario_DT!$C$19)*(1+$N403)^MAX(0,Scenario_DT!N$18-3))*(Scenario_DT!N$12+$O403)-Scenario_DT!N$13)*(1-Scenario_DT!N$14)+Scenario_DT!N$13-Scenario_DT!N$15)*Scenario_DT!N$16</f>
        <v>2965.3160119976446</v>
      </c>
      <c r="X403" s="28">
        <f>((Scenario_DT!O$11*(IF(Scenario_DT!O$18=1,1,1+$M403/Scenario_DT!$C$19)*(1+$N403)^MAX(0,Scenario_DT!O$18-3))*(Scenario_DT!O$12+$O403)-Scenario_DT!O$13)*(1-Scenario_DT!O$14)+Scenario_DT!O$13-Scenario_DT!O$15)*Scenario_DT!O$16</f>
        <v>3134.4469827479397</v>
      </c>
      <c r="Y403" s="28">
        <f>((Scenario_DT!P$11*(IF(Scenario_DT!P$18=1,1,1+$M403/Scenario_DT!$C$19)*(1+$N403)^MAX(0,Scenario_DT!P$18-3))*(Scenario_DT!P$12+$O403)-Scenario_DT!P$13)*(1-Scenario_DT!P$14)+Scenario_DT!P$13-Scenario_DT!P$15)*Scenario_DT!P$16</f>
        <v>3313.2328443583533</v>
      </c>
      <c r="Z403" s="28">
        <f>((Scenario_DT!Q$11*(IF(Scenario_DT!Q$18=1,1,1+$M403/Scenario_DT!$C$19)*(1+$N403)^MAX(0,Scenario_DT!Q$18-3))*(Scenario_DT!Q$12+$O403)-Scenario_DT!Q$13)*(1-Scenario_DT!Q$14)+Scenario_DT!Q$13-Scenario_DT!Q$15)*Scenario_DT!Q$16</f>
        <v>3502.2276673065567</v>
      </c>
      <c r="AA403" s="28">
        <f>((Scenario_DT!R$11*(IF(Scenario_DT!R$18=1,1,1+$M403/Scenario_DT!$C$19)*(1+$N403)^MAX(0,Scenario_DT!R$18-3))*(Scenario_DT!R$12+$O403)-Scenario_DT!R$13)*(1-Scenario_DT!R$14)+Scenario_DT!R$13-Scenario_DT!R$15)*Scenario_DT!R$16</f>
        <v>3702.0173282402402</v>
      </c>
      <c r="AB403" s="17">
        <f>(Scenario_DT!$R$11*(1+$M403/Scenario_DT!$C$19)*(1+$N403)^7*(Scenario_DT!$R$12+$O403)*(1+MIN(DCF_FCFF!$C$26+$Q403,(DCF_FCFF!$C$25+$P403)-0.02))*(1-DCF_FCFF!$C$27)*(1-DCF_FCFF!$C$28)/((DCF_FCFF!$C$25+$P403)-MIN(DCF_FCFF!$C$26+$Q403,(DCF_FCFF!$C$25+$P403)-0.02)))*(1+(DCF_FCFF!$C$25+$P403))^(-(Inputs!$C$9+9))</f>
        <v>33227.933812512805</v>
      </c>
      <c r="AC403" s="17">
        <f>SUMPRODUCT(R403:AA403*(1+(DCF_FCFF!$C$25+$P403))^(-Scenario_DT!$I$17:$R$17))+AB403</f>
        <v>51207.415055499252</v>
      </c>
      <c r="AD403" s="68">
        <f>((AC403-DCF_FCFF!$C$48)*(1-DCF_FCFF!$C$50)+DCF_FCFF!$C$57+DCF_FCFF!$C$58)/DCF_FCFF!$C$60</f>
        <v>395.08369340704724</v>
      </c>
      <c r="AE403" s="6"/>
      <c r="AF403" s="6"/>
      <c r="AG403" s="6"/>
    </row>
    <row r="404" spans="1:33" x14ac:dyDescent="0.3">
      <c r="A404" s="6"/>
      <c r="B404" s="72">
        <v>373</v>
      </c>
      <c r="C404" s="73">
        <v>0.58244474153937698</v>
      </c>
      <c r="D404" s="73">
        <v>0.993522523145843</v>
      </c>
      <c r="E404" s="73">
        <v>0.990278087092754</v>
      </c>
      <c r="F404" s="73">
        <v>0.52677323136230803</v>
      </c>
      <c r="G404" s="73">
        <v>0.63902721026467402</v>
      </c>
      <c r="H404" s="15">
        <f t="shared" si="51"/>
        <v>0.20815170437314495</v>
      </c>
      <c r="I404" s="15">
        <f t="shared" si="52"/>
        <v>2.4850052142279897</v>
      </c>
      <c r="J404" s="15">
        <f t="shared" si="53"/>
        <v>2.336910739476024</v>
      </c>
      <c r="K404" s="15">
        <f t="shared" si="54"/>
        <v>6.7160993980366401E-2</v>
      </c>
      <c r="L404" s="15">
        <f t="shared" si="55"/>
        <v>0.35585977744624836</v>
      </c>
      <c r="M404" s="18">
        <f t="shared" si="56"/>
        <v>4.1630340874628993E-3</v>
      </c>
      <c r="N404" s="18">
        <f t="shared" si="57"/>
        <v>1.804922796995842E-2</v>
      </c>
      <c r="O404" s="18">
        <f t="shared" si="58"/>
        <v>2.8042928873712288E-2</v>
      </c>
      <c r="P404" s="18">
        <f t="shared" si="59"/>
        <v>4.0296596388219842E-4</v>
      </c>
      <c r="Q404" s="18">
        <f t="shared" si="60"/>
        <v>1.4234391097849935E-3</v>
      </c>
      <c r="R404" s="28">
        <f>((Scenario_DT!I$11*(IF(Scenario_DT!I$18=1,1,1+$M404/Scenario_DT!$C$19)*(1+$N404)^MAX(0,Scenario_DT!I$18-3))*(Scenario_DT!I$12+$O404)-Scenario_DT!I$13)*(1-Scenario_DT!I$14)+Scenario_DT!I$13-Scenario_DT!I$15)*Scenario_DT!I$16</f>
        <v>950.522049365969</v>
      </c>
      <c r="S404" s="28">
        <f>((Scenario_DT!J$11*(IF(Scenario_DT!J$18=1,1,1+$M404/Scenario_DT!$C$19)*(1+$N404)^MAX(0,Scenario_DT!J$18-3))*(Scenario_DT!J$12+$O404)-Scenario_DT!J$13)*(1-Scenario_DT!J$14)+Scenario_DT!J$13-Scenario_DT!J$15)*Scenario_DT!J$16</f>
        <v>1929.4198452746432</v>
      </c>
      <c r="T404" s="28">
        <f>((Scenario_DT!K$11*(IF(Scenario_DT!K$18=1,1,1+$M404/Scenario_DT!$C$19)*(1+$N404)^MAX(0,Scenario_DT!K$18-3))*(Scenario_DT!K$12+$O404)-Scenario_DT!K$13)*(1-Scenario_DT!K$14)+Scenario_DT!K$13-Scenario_DT!K$15)*Scenario_DT!K$16</f>
        <v>2197.6884244269349</v>
      </c>
      <c r="U404" s="28">
        <f>((Scenario_DT!L$11*(IF(Scenario_DT!L$18=1,1,1+$M404/Scenario_DT!$C$19)*(1+$N404)^MAX(0,Scenario_DT!L$18-3))*(Scenario_DT!L$12+$O404)-Scenario_DT!L$13)*(1-Scenario_DT!L$14)+Scenario_DT!L$13-Scenario_DT!L$15)*Scenario_DT!L$16</f>
        <v>2652.2914028730852</v>
      </c>
      <c r="V404" s="28">
        <f>((Scenario_DT!M$11*(IF(Scenario_DT!M$18=1,1,1+$M404/Scenario_DT!$C$19)*(1+$N404)^MAX(0,Scenario_DT!M$18-3))*(Scenario_DT!M$12+$O404)-Scenario_DT!M$13)*(1-Scenario_DT!M$14)+Scenario_DT!M$13-Scenario_DT!M$15)*Scenario_DT!M$16</f>
        <v>2834.7697534812478</v>
      </c>
      <c r="W404" s="28">
        <f>((Scenario_DT!N$11*(IF(Scenario_DT!N$18=1,1,1+$M404/Scenario_DT!$C$19)*(1+$N404)^MAX(0,Scenario_DT!N$18-3))*(Scenario_DT!N$12+$O404)-Scenario_DT!N$13)*(1-Scenario_DT!N$14)+Scenario_DT!N$13-Scenario_DT!N$15)*Scenario_DT!N$16</f>
        <v>3029.816901245893</v>
      </c>
      <c r="X404" s="28">
        <f>((Scenario_DT!O$11*(IF(Scenario_DT!O$18=1,1,1+$M404/Scenario_DT!$C$19)*(1+$N404)^MAX(0,Scenario_DT!O$18-3))*(Scenario_DT!O$12+$O404)-Scenario_DT!O$13)*(1-Scenario_DT!O$14)+Scenario_DT!O$13-Scenario_DT!O$15)*Scenario_DT!O$16</f>
        <v>3238.3019916431681</v>
      </c>
      <c r="Y404" s="28">
        <f>((Scenario_DT!P$11*(IF(Scenario_DT!P$18=1,1,1+$M404/Scenario_DT!$C$19)*(1+$N404)^MAX(0,Scenario_DT!P$18-3))*(Scenario_DT!P$12+$O404)-Scenario_DT!P$13)*(1-Scenario_DT!P$14)+Scenario_DT!P$13-Scenario_DT!P$15)*Scenario_DT!P$16</f>
        <v>3461.1542409754306</v>
      </c>
      <c r="Z404" s="28">
        <f>((Scenario_DT!Q$11*(IF(Scenario_DT!Q$18=1,1,1+$M404/Scenario_DT!$C$19)*(1+$N404)^MAX(0,Scenario_DT!Q$18-3))*(Scenario_DT!Q$12+$O404)-Scenario_DT!Q$13)*(1-Scenario_DT!Q$14)+Scenario_DT!Q$13-Scenario_DT!Q$15)*Scenario_DT!Q$16</f>
        <v>3699.3670849233099</v>
      </c>
      <c r="AA404" s="28">
        <f>((Scenario_DT!R$11*(IF(Scenario_DT!R$18=1,1,1+$M404/Scenario_DT!$C$19)*(1+$N404)^MAX(0,Scenario_DT!R$18-3))*(Scenario_DT!R$12+$O404)-Scenario_DT!R$13)*(1-Scenario_DT!R$14)+Scenario_DT!R$13-Scenario_DT!R$15)*Scenario_DT!R$16</f>
        <v>3954.0026134396444</v>
      </c>
      <c r="AB404" s="17">
        <f>(Scenario_DT!$R$11*(1+$M404/Scenario_DT!$C$19)*(1+$N404)^7*(Scenario_DT!$R$12+$O404)*(1+MIN(DCF_FCFF!$C$26+$Q404,(DCF_FCFF!$C$25+$P404)-0.02))*(1-DCF_FCFF!$C$27)*(1-DCF_FCFF!$C$28)/((DCF_FCFF!$C$25+$P404)-MIN(DCF_FCFF!$C$26+$Q404,(DCF_FCFF!$C$25+$P404)-0.02)))*(1+(DCF_FCFF!$C$25+$P404))^(-(Inputs!$C$9+9))</f>
        <v>33924.989284111274</v>
      </c>
      <c r="AC404" s="17">
        <f>SUMPRODUCT(R404:AA404*(1+(DCF_FCFF!$C$25+$P404))^(-Scenario_DT!$I$17:$R$17))+AB404</f>
        <v>51983.035244089289</v>
      </c>
      <c r="AD404" s="68">
        <f>((AC404-DCF_FCFF!$C$48)*(1-DCF_FCFF!$C$50)+DCF_FCFF!$C$57+DCF_FCFF!$C$58)/DCF_FCFF!$C$60</f>
        <v>402.52869202024209</v>
      </c>
      <c r="AE404" s="6"/>
      <c r="AF404" s="6"/>
      <c r="AG404" s="6"/>
    </row>
    <row r="405" spans="1:33" x14ac:dyDescent="0.3">
      <c r="A405" s="6"/>
      <c r="B405" s="72">
        <v>374</v>
      </c>
      <c r="C405" s="73">
        <v>0.85997054370160597</v>
      </c>
      <c r="D405" s="73">
        <v>0.93293345845350495</v>
      </c>
      <c r="E405" s="73">
        <v>0.20386062732954399</v>
      </c>
      <c r="F405" s="73">
        <v>0.52854172894245299</v>
      </c>
      <c r="G405" s="73">
        <v>0.83283705466151203</v>
      </c>
      <c r="H405" s="15">
        <f t="shared" si="51"/>
        <v>1.0801870080432319</v>
      </c>
      <c r="I405" s="15">
        <f t="shared" si="52"/>
        <v>1.498000644173352</v>
      </c>
      <c r="J405" s="15">
        <f t="shared" si="53"/>
        <v>-0.82791038239873271</v>
      </c>
      <c r="K405" s="15">
        <f t="shared" si="54"/>
        <v>7.1604646604007824E-2</v>
      </c>
      <c r="L405" s="15">
        <f t="shared" si="55"/>
        <v>0.96543717178999233</v>
      </c>
      <c r="M405" s="18">
        <f t="shared" si="56"/>
        <v>2.1603740160864637E-2</v>
      </c>
      <c r="N405" s="18">
        <f t="shared" si="57"/>
        <v>1.4699200934089537E-2</v>
      </c>
      <c r="O405" s="18">
        <f t="shared" si="58"/>
        <v>-9.934924588784793E-3</v>
      </c>
      <c r="P405" s="18">
        <f t="shared" si="59"/>
        <v>4.2962787962404697E-4</v>
      </c>
      <c r="Q405" s="18">
        <f t="shared" si="60"/>
        <v>3.8617486871599695E-3</v>
      </c>
      <c r="R405" s="28">
        <f>((Scenario_DT!I$11*(IF(Scenario_DT!I$18=1,1,1+$M405/Scenario_DT!$C$19)*(1+$N405)^MAX(0,Scenario_DT!I$18-3))*(Scenario_DT!I$12+$O405)-Scenario_DT!I$13)*(1-Scenario_DT!I$14)+Scenario_DT!I$13-Scenario_DT!I$15)*Scenario_DT!I$16</f>
        <v>896.97736302537101</v>
      </c>
      <c r="S405" s="28">
        <f>((Scenario_DT!J$11*(IF(Scenario_DT!J$18=1,1,1+$M405/Scenario_DT!$C$19)*(1+$N405)^MAX(0,Scenario_DT!J$18-3))*(Scenario_DT!J$12+$O405)-Scenario_DT!J$13)*(1-Scenario_DT!J$14)+Scenario_DT!J$13-Scenario_DT!J$15)*Scenario_DT!J$16</f>
        <v>1852.0928746541945</v>
      </c>
      <c r="T405" s="28">
        <f>((Scenario_DT!K$11*(IF(Scenario_DT!K$18=1,1,1+$M405/Scenario_DT!$C$19)*(1+$N405)^MAX(0,Scenario_DT!K$18-3))*(Scenario_DT!K$12+$O405)-Scenario_DT!K$13)*(1-Scenario_DT!K$14)+Scenario_DT!K$13-Scenario_DT!K$15)*Scenario_DT!K$16</f>
        <v>2118.1453669983439</v>
      </c>
      <c r="U405" s="28">
        <f>((Scenario_DT!L$11*(IF(Scenario_DT!L$18=1,1,1+$M405/Scenario_DT!$C$19)*(1+$N405)^MAX(0,Scenario_DT!L$18-3))*(Scenario_DT!L$12+$O405)-Scenario_DT!L$13)*(1-Scenario_DT!L$14)+Scenario_DT!L$13-Scenario_DT!L$15)*Scenario_DT!L$16</f>
        <v>2557.8097131974509</v>
      </c>
      <c r="V405" s="28">
        <f>((Scenario_DT!M$11*(IF(Scenario_DT!M$18=1,1,1+$M405/Scenario_DT!$C$19)*(1+$N405)^MAX(0,Scenario_DT!M$18-3))*(Scenario_DT!M$12+$O405)-Scenario_DT!M$13)*(1-Scenario_DT!M$14)+Scenario_DT!M$13-Scenario_DT!M$15)*Scenario_DT!M$16</f>
        <v>2724.7168655443679</v>
      </c>
      <c r="W405" s="28">
        <f>((Scenario_DT!N$11*(IF(Scenario_DT!N$18=1,1,1+$M405/Scenario_DT!$C$19)*(1+$N405)^MAX(0,Scenario_DT!N$18-3))*(Scenario_DT!N$12+$O405)-Scenario_DT!N$13)*(1-Scenario_DT!N$14)+Scenario_DT!N$13-Scenario_DT!N$15)*Scenario_DT!N$16</f>
        <v>2902.5265484325482</v>
      </c>
      <c r="X405" s="28">
        <f>((Scenario_DT!O$11*(IF(Scenario_DT!O$18=1,1,1+$M405/Scenario_DT!$C$19)*(1+$N405)^MAX(0,Scenario_DT!O$18-3))*(Scenario_DT!O$12+$O405)-Scenario_DT!O$13)*(1-Scenario_DT!O$14)+Scenario_DT!O$13-Scenario_DT!O$15)*Scenario_DT!O$16</f>
        <v>3091.9542387512715</v>
      </c>
      <c r="Y405" s="28">
        <f>((Scenario_DT!P$11*(IF(Scenario_DT!P$18=1,1,1+$M405/Scenario_DT!$C$19)*(1+$N405)^MAX(0,Scenario_DT!P$18-3))*(Scenario_DT!P$12+$O405)-Scenario_DT!P$13)*(1-Scenario_DT!P$14)+Scenario_DT!P$13-Scenario_DT!P$15)*Scenario_DT!P$16</f>
        <v>3293.7623511872639</v>
      </c>
      <c r="Z405" s="28">
        <f>((Scenario_DT!Q$11*(IF(Scenario_DT!Q$18=1,1,1+$M405/Scenario_DT!$C$19)*(1+$N405)^MAX(0,Scenario_DT!Q$18-3))*(Scenario_DT!Q$12+$O405)-Scenario_DT!Q$13)*(1-Scenario_DT!Q$14)+Scenario_DT!Q$13-Scenario_DT!Q$15)*Scenario_DT!Q$16</f>
        <v>3508.7633152048243</v>
      </c>
      <c r="AA405" s="28">
        <f>((Scenario_DT!R$11*(IF(Scenario_DT!R$18=1,1,1+$M405/Scenario_DT!$C$19)*(1+$N405)^MAX(0,Scenario_DT!R$18-3))*(Scenario_DT!R$12+$O405)-Scenario_DT!R$13)*(1-Scenario_DT!R$14)+Scenario_DT!R$13-Scenario_DT!R$15)*Scenario_DT!R$16</f>
        <v>3737.8228536172755</v>
      </c>
      <c r="AB405" s="17">
        <f>(Scenario_DT!$R$11*(1+$M405/Scenario_DT!$C$19)*(1+$N405)^7*(Scenario_DT!$R$12+$O405)*(1+MIN(DCF_FCFF!$C$26+$Q405,(DCF_FCFF!$C$25+$P405)-0.02))*(1-DCF_FCFF!$C$27)*(1-DCF_FCFF!$C$28)/((DCF_FCFF!$C$25+$P405)-MIN(DCF_FCFF!$C$26+$Q405,(DCF_FCFF!$C$25+$P405)-0.02)))*(1+(DCF_FCFF!$C$25+$P405))^(-(Inputs!$C$9+9))</f>
        <v>33801.934979016121</v>
      </c>
      <c r="AC405" s="17">
        <f>SUMPRODUCT(R405:AA405*(1+(DCF_FCFF!$C$25+$P405))^(-Scenario_DT!$I$17:$R$17))+AB405</f>
        <v>51061.022167619543</v>
      </c>
      <c r="AD405" s="68">
        <f>((AC405-DCF_FCFF!$C$48)*(1-DCF_FCFF!$C$50)+DCF_FCFF!$C$57+DCF_FCFF!$C$58)/DCF_FCFF!$C$60</f>
        <v>393.6785019702084</v>
      </c>
      <c r="AE405" s="6"/>
      <c r="AF405" s="6"/>
      <c r="AG405" s="6"/>
    </row>
    <row r="406" spans="1:33" x14ac:dyDescent="0.3">
      <c r="A406" s="6"/>
      <c r="B406" s="72">
        <v>375</v>
      </c>
      <c r="C406" s="73">
        <v>0.30320207663459198</v>
      </c>
      <c r="D406" s="73">
        <v>0.43980904248046698</v>
      </c>
      <c r="E406" s="73">
        <v>0.98562110151200799</v>
      </c>
      <c r="F406" s="73">
        <v>0.98504669672087097</v>
      </c>
      <c r="G406" s="73">
        <v>0.90610681076518196</v>
      </c>
      <c r="H406" s="15">
        <f t="shared" si="51"/>
        <v>-0.51521304645266708</v>
      </c>
      <c r="I406" s="15">
        <f t="shared" si="52"/>
        <v>-0.15145337865971698</v>
      </c>
      <c r="J406" s="15">
        <f t="shared" si="53"/>
        <v>2.186790833125265</v>
      </c>
      <c r="K406" s="15">
        <f t="shared" si="54"/>
        <v>2.1713250960774451</v>
      </c>
      <c r="L406" s="15">
        <f t="shared" si="55"/>
        <v>1.3171558826722385</v>
      </c>
      <c r="M406" s="18">
        <f t="shared" si="56"/>
        <v>-1.0304260929053342E-2</v>
      </c>
      <c r="N406" s="18">
        <f t="shared" si="57"/>
        <v>-3.1101519730770593E-3</v>
      </c>
      <c r="O406" s="18">
        <f t="shared" si="58"/>
        <v>2.6241489997503181E-2</v>
      </c>
      <c r="P406" s="18">
        <f t="shared" si="59"/>
        <v>1.3027950576464671E-2</v>
      </c>
      <c r="Q406" s="18">
        <f t="shared" si="60"/>
        <v>5.2686235306889538E-3</v>
      </c>
      <c r="R406" s="28">
        <f>((Scenario_DT!I$11*(IF(Scenario_DT!I$18=1,1,1+$M406/Scenario_DT!$C$19)*(1+$N406)^MAX(0,Scenario_DT!I$18-3))*(Scenario_DT!I$12+$O406)-Scenario_DT!I$13)*(1-Scenario_DT!I$14)+Scenario_DT!I$13-Scenario_DT!I$15)*Scenario_DT!I$16</f>
        <v>947.98221441495934</v>
      </c>
      <c r="S406" s="28">
        <f>((Scenario_DT!J$11*(IF(Scenario_DT!J$18=1,1,1+$M406/Scenario_DT!$C$19)*(1+$N406)^MAX(0,Scenario_DT!J$18-3))*(Scenario_DT!J$12+$O406)-Scenario_DT!J$13)*(1-Scenario_DT!J$14)+Scenario_DT!J$13-Scenario_DT!J$15)*Scenario_DT!J$16</f>
        <v>1887.8751491899397</v>
      </c>
      <c r="T406" s="28">
        <f>((Scenario_DT!K$11*(IF(Scenario_DT!K$18=1,1,1+$M406/Scenario_DT!$C$19)*(1+$N406)^MAX(0,Scenario_DT!K$18-3))*(Scenario_DT!K$12+$O406)-Scenario_DT!K$13)*(1-Scenario_DT!K$14)+Scenario_DT!K$13-Scenario_DT!K$15)*Scenario_DT!K$16</f>
        <v>2154.1425930683499</v>
      </c>
      <c r="U406" s="28">
        <f>((Scenario_DT!L$11*(IF(Scenario_DT!L$18=1,1,1+$M406/Scenario_DT!$C$19)*(1+$N406)^MAX(0,Scenario_DT!L$18-3))*(Scenario_DT!L$12+$O406)-Scenario_DT!L$13)*(1-Scenario_DT!L$14)+Scenario_DT!L$13-Scenario_DT!L$15)*Scenario_DT!L$16</f>
        <v>2550.7226465773979</v>
      </c>
      <c r="V406" s="28">
        <f>((Scenario_DT!M$11*(IF(Scenario_DT!M$18=1,1,1+$M406/Scenario_DT!$C$19)*(1+$N406)^MAX(0,Scenario_DT!M$18-3))*(Scenario_DT!M$12+$O406)-Scenario_DT!M$13)*(1-Scenario_DT!M$14)+Scenario_DT!M$13-Scenario_DT!M$15)*Scenario_DT!M$16</f>
        <v>2669.1524496794041</v>
      </c>
      <c r="W406" s="28">
        <f>((Scenario_DT!N$11*(IF(Scenario_DT!N$18=1,1,1+$M406/Scenario_DT!$C$19)*(1+$N406)^MAX(0,Scenario_DT!N$18-3))*(Scenario_DT!N$12+$O406)-Scenario_DT!N$13)*(1-Scenario_DT!N$14)+Scenario_DT!N$13-Scenario_DT!N$15)*Scenario_DT!N$16</f>
        <v>2793.0688241137427</v>
      </c>
      <c r="X406" s="28">
        <f>((Scenario_DT!O$11*(IF(Scenario_DT!O$18=1,1,1+$M406/Scenario_DT!$C$19)*(1+$N406)^MAX(0,Scenario_DT!O$18-3))*(Scenario_DT!O$12+$O406)-Scenario_DT!O$13)*(1-Scenario_DT!O$14)+Scenario_DT!O$13-Scenario_DT!O$15)*Scenario_DT!O$16</f>
        <v>2922.7279915592349</v>
      </c>
      <c r="Y406" s="28">
        <f>((Scenario_DT!P$11*(IF(Scenario_DT!P$18=1,1,1+$M406/Scenario_DT!$C$19)*(1+$N406)^MAX(0,Scenario_DT!P$18-3))*(Scenario_DT!P$12+$O406)-Scenario_DT!P$13)*(1-Scenario_DT!P$14)+Scenario_DT!P$13-Scenario_DT!P$15)*Scenario_DT!P$16</f>
        <v>3058.3981596477574</v>
      </c>
      <c r="Z406" s="28">
        <f>((Scenario_DT!Q$11*(IF(Scenario_DT!Q$18=1,1,1+$M406/Scenario_DT!$C$19)*(1+$N406)^MAX(0,Scenario_DT!Q$18-3))*(Scenario_DT!Q$12+$O406)-Scenario_DT!Q$13)*(1-Scenario_DT!Q$14)+Scenario_DT!Q$13-Scenario_DT!Q$15)*Scenario_DT!Q$16</f>
        <v>3200.360082861067</v>
      </c>
      <c r="AA406" s="28">
        <f>((Scenario_DT!R$11*(IF(Scenario_DT!R$18=1,1,1+$M406/Scenario_DT!$C$19)*(1+$N406)^MAX(0,Scenario_DT!R$18-3))*(Scenario_DT!R$12+$O406)-Scenario_DT!R$13)*(1-Scenario_DT!R$14)+Scenario_DT!R$13-Scenario_DT!R$15)*Scenario_DT!R$16</f>
        <v>3348.9076496771731</v>
      </c>
      <c r="AB406" s="17">
        <f>(Scenario_DT!$R$11*(1+$M406/Scenario_DT!$C$19)*(1+$N406)^7*(Scenario_DT!$R$12+$O406)*(1+MIN(DCF_FCFF!$C$26+$Q406,(DCF_FCFF!$C$25+$P406)-0.02))*(1-DCF_FCFF!$C$27)*(1-DCF_FCFF!$C$28)/((DCF_FCFF!$C$25+$P406)-MIN(DCF_FCFF!$C$26+$Q406,(DCF_FCFF!$C$25+$P406)-0.02)))*(1+(DCF_FCFF!$C$25+$P406))^(-(Inputs!$C$9+9))</f>
        <v>21985.27929865833</v>
      </c>
      <c r="AC406" s="17">
        <f>SUMPRODUCT(R406:AA406*(1+(DCF_FCFF!$C$25+$P406))^(-Scenario_DT!$I$17:$R$17))+AB406</f>
        <v>37832.897673678985</v>
      </c>
      <c r="AD406" s="68">
        <f>((AC406-DCF_FCFF!$C$48)*(1-DCF_FCFF!$C$50)+DCF_FCFF!$C$57+DCF_FCFF!$C$58)/DCF_FCFF!$C$60</f>
        <v>266.70479762196942</v>
      </c>
      <c r="AE406" s="6"/>
      <c r="AF406" s="6"/>
      <c r="AG406" s="6"/>
    </row>
    <row r="407" spans="1:33" x14ac:dyDescent="0.3">
      <c r="A407" s="6"/>
      <c r="B407" s="72">
        <v>376</v>
      </c>
      <c r="C407" s="73">
        <v>0.79844834482805804</v>
      </c>
      <c r="D407" s="73">
        <v>0.26913050072280598</v>
      </c>
      <c r="E407" s="73">
        <v>0.32085007406718802</v>
      </c>
      <c r="F407" s="73">
        <v>0.54728284120487503</v>
      </c>
      <c r="G407" s="73">
        <v>0.56077737456201204</v>
      </c>
      <c r="H407" s="15">
        <f t="shared" si="51"/>
        <v>0.83609171244807301</v>
      </c>
      <c r="I407" s="15">
        <f t="shared" si="52"/>
        <v>-0.61544481751708524</v>
      </c>
      <c r="J407" s="15">
        <f t="shared" si="53"/>
        <v>-0.46532302545119436</v>
      </c>
      <c r="K407" s="15">
        <f t="shared" si="54"/>
        <v>0.11879935766495218</v>
      </c>
      <c r="L407" s="15">
        <f t="shared" si="55"/>
        <v>0.15294043195294071</v>
      </c>
      <c r="M407" s="18">
        <f t="shared" si="56"/>
        <v>1.672183424896146E-2</v>
      </c>
      <c r="N407" s="18">
        <f t="shared" si="57"/>
        <v>-9.1955992298589932E-4</v>
      </c>
      <c r="O407" s="18">
        <f t="shared" si="58"/>
        <v>-5.5838763054143325E-3</v>
      </c>
      <c r="P407" s="18">
        <f t="shared" si="59"/>
        <v>7.1279614598971307E-4</v>
      </c>
      <c r="Q407" s="18">
        <f t="shared" si="60"/>
        <v>6.1176172781176284E-4</v>
      </c>
      <c r="R407" s="28">
        <f>((Scenario_DT!I$11*(IF(Scenario_DT!I$18=1,1,1+$M407/Scenario_DT!$C$19)*(1+$N407)^MAX(0,Scenario_DT!I$18-3))*(Scenario_DT!I$12+$O407)-Scenario_DT!I$13)*(1-Scenario_DT!I$14)+Scenario_DT!I$13-Scenario_DT!I$15)*Scenario_DT!I$16</f>
        <v>903.11187286058146</v>
      </c>
      <c r="S407" s="28">
        <f>((Scenario_DT!J$11*(IF(Scenario_DT!J$18=1,1,1+$M407/Scenario_DT!$C$19)*(1+$N407)^MAX(0,Scenario_DT!J$18-3))*(Scenario_DT!J$12+$O407)-Scenario_DT!J$13)*(1-Scenario_DT!J$14)+Scenario_DT!J$13-Scenario_DT!J$15)*Scenario_DT!J$16</f>
        <v>1854.3170073284145</v>
      </c>
      <c r="T407" s="28">
        <f>((Scenario_DT!K$11*(IF(Scenario_DT!K$18=1,1,1+$M407/Scenario_DT!$C$19)*(1+$N407)^MAX(0,Scenario_DT!K$18-3))*(Scenario_DT!K$12+$O407)-Scenario_DT!K$13)*(1-Scenario_DT!K$14)+Scenario_DT!K$13-Scenario_DT!K$15)*Scenario_DT!K$16</f>
        <v>2120.2843029663882</v>
      </c>
      <c r="U407" s="28">
        <f>((Scenario_DT!L$11*(IF(Scenario_DT!L$18=1,1,1+$M407/Scenario_DT!$C$19)*(1+$N407)^MAX(0,Scenario_DT!L$18-3))*(Scenario_DT!L$12+$O407)-Scenario_DT!L$13)*(1-Scenario_DT!L$14)+Scenario_DT!L$13-Scenario_DT!L$15)*Scenario_DT!L$16</f>
        <v>2520.4478566472153</v>
      </c>
      <c r="V407" s="28">
        <f>((Scenario_DT!M$11*(IF(Scenario_DT!M$18=1,1,1+$M407/Scenario_DT!$C$19)*(1+$N407)^MAX(0,Scenario_DT!M$18-3))*(Scenario_DT!M$12+$O407)-Scenario_DT!M$13)*(1-Scenario_DT!M$14)+Scenario_DT!M$13-Scenario_DT!M$15)*Scenario_DT!M$16</f>
        <v>2643.2989383750264</v>
      </c>
      <c r="W407" s="28">
        <f>((Scenario_DT!N$11*(IF(Scenario_DT!N$18=1,1,1+$M407/Scenario_DT!$C$19)*(1+$N407)^MAX(0,Scenario_DT!N$18-3))*(Scenario_DT!N$12+$O407)-Scenario_DT!N$13)*(1-Scenario_DT!N$14)+Scenario_DT!N$13-Scenario_DT!N$15)*Scenario_DT!N$16</f>
        <v>2772.1293894987798</v>
      </c>
      <c r="X407" s="28">
        <f>((Scenario_DT!O$11*(IF(Scenario_DT!O$18=1,1,1+$M407/Scenario_DT!$C$19)*(1+$N407)^MAX(0,Scenario_DT!O$18-3))*(Scenario_DT!O$12+$O407)-Scenario_DT!O$13)*(1-Scenario_DT!O$14)+Scenario_DT!O$13-Scenario_DT!O$15)*Scenario_DT!O$16</f>
        <v>2907.2324946054964</v>
      </c>
      <c r="Y407" s="28">
        <f>((Scenario_DT!P$11*(IF(Scenario_DT!P$18=1,1,1+$M407/Scenario_DT!$C$19)*(1+$N407)^MAX(0,Scenario_DT!P$18-3))*(Scenario_DT!P$12+$O407)-Scenario_DT!P$13)*(1-Scenario_DT!P$14)+Scenario_DT!P$13-Scenario_DT!P$15)*Scenario_DT!P$16</f>
        <v>3048.9159444128823</v>
      </c>
      <c r="Z407" s="28">
        <f>((Scenario_DT!Q$11*(IF(Scenario_DT!Q$18=1,1,1+$M407/Scenario_DT!$C$19)*(1+$N407)^MAX(0,Scenario_DT!Q$18-3))*(Scenario_DT!Q$12+$O407)-Scenario_DT!Q$13)*(1-Scenario_DT!Q$14)+Scenario_DT!Q$13-Scenario_DT!Q$15)*Scenario_DT!Q$16</f>
        <v>3197.5025435105476</v>
      </c>
      <c r="AA407" s="28">
        <f>((Scenario_DT!R$11*(IF(Scenario_DT!R$18=1,1,1+$M407/Scenario_DT!$C$19)*(1+$N407)^MAX(0,Scenario_DT!R$18-3))*(Scenario_DT!R$12+$O407)-Scenario_DT!R$13)*(1-Scenario_DT!R$14)+Scenario_DT!R$13-Scenario_DT!R$15)*Scenario_DT!R$16</f>
        <v>3353.3309528678305</v>
      </c>
      <c r="AB407" s="17">
        <f>(Scenario_DT!$R$11*(1+$M407/Scenario_DT!$C$19)*(1+$N407)^7*(Scenario_DT!$R$12+$O407)*(1+MIN(DCF_FCFF!$C$26+$Q407,(DCF_FCFF!$C$25+$P407)-0.02))*(1-DCF_FCFF!$C$27)*(1-DCF_FCFF!$C$28)/((DCF_FCFF!$C$25+$P407)-MIN(DCF_FCFF!$C$26+$Q407,(DCF_FCFF!$C$25+$P407)-0.02)))*(1+(DCF_FCFF!$C$25+$P407))^(-(Inputs!$C$9+9))</f>
        <v>28070.440957582294</v>
      </c>
      <c r="AC407" s="17">
        <f>SUMPRODUCT(R407:AA407*(1+(DCF_FCFF!$C$25+$P407))^(-Scenario_DT!$I$17:$R$17))+AB407</f>
        <v>44573.12417907756</v>
      </c>
      <c r="AD407" s="68">
        <f>((AC407-DCF_FCFF!$C$48)*(1-DCF_FCFF!$C$50)+DCF_FCFF!$C$57+DCF_FCFF!$C$58)/DCF_FCFF!$C$60</f>
        <v>331.40267130229921</v>
      </c>
      <c r="AE407" s="6"/>
      <c r="AF407" s="6"/>
      <c r="AG407" s="6"/>
    </row>
    <row r="408" spans="1:33" x14ac:dyDescent="0.3">
      <c r="A408" s="6"/>
      <c r="B408" s="72">
        <v>377</v>
      </c>
      <c r="C408" s="73">
        <v>0.50550281935706698</v>
      </c>
      <c r="D408" s="73">
        <v>0.63667027991630598</v>
      </c>
      <c r="E408" s="73">
        <v>0.40832302263298897</v>
      </c>
      <c r="F408" s="73">
        <v>0.74917415731553305</v>
      </c>
      <c r="G408" s="73">
        <v>0.33354992647835502</v>
      </c>
      <c r="H408" s="15">
        <f t="shared" si="51"/>
        <v>1.3793960015250602E-2</v>
      </c>
      <c r="I408" s="15">
        <f t="shared" si="52"/>
        <v>0.34957264917746012</v>
      </c>
      <c r="J408" s="15">
        <f t="shared" si="53"/>
        <v>-0.23186091159475017</v>
      </c>
      <c r="K408" s="15">
        <f t="shared" si="54"/>
        <v>0.67189320681433806</v>
      </c>
      <c r="L408" s="15">
        <f t="shared" si="55"/>
        <v>-0.43013168458147238</v>
      </c>
      <c r="M408" s="18">
        <f t="shared" si="56"/>
        <v>2.7587920030501203E-4</v>
      </c>
      <c r="N408" s="18">
        <f t="shared" si="57"/>
        <v>2.4770861973082486E-3</v>
      </c>
      <c r="O408" s="18">
        <f t="shared" si="58"/>
        <v>-2.7823309391370021E-3</v>
      </c>
      <c r="P408" s="18">
        <f t="shared" si="59"/>
        <v>4.0313592408860281E-3</v>
      </c>
      <c r="Q408" s="18">
        <f t="shared" si="60"/>
        <v>-1.7205267383258896E-3</v>
      </c>
      <c r="R408" s="28">
        <f>((Scenario_DT!I$11*(IF(Scenario_DT!I$18=1,1,1+$M408/Scenario_DT!$C$19)*(1+$N408)^MAX(0,Scenario_DT!I$18-3))*(Scenario_DT!I$12+$O408)-Scenario_DT!I$13)*(1-Scenario_DT!I$14)+Scenario_DT!I$13-Scenario_DT!I$15)*Scenario_DT!I$16</f>
        <v>907.06175033468355</v>
      </c>
      <c r="S408" s="28">
        <f>((Scenario_DT!J$11*(IF(Scenario_DT!J$18=1,1,1+$M408/Scenario_DT!$C$19)*(1+$N408)^MAX(0,Scenario_DT!J$18-3))*(Scenario_DT!J$12+$O408)-Scenario_DT!J$13)*(1-Scenario_DT!J$14)+Scenario_DT!J$13-Scenario_DT!J$15)*Scenario_DT!J$16</f>
        <v>1823.9206001361881</v>
      </c>
      <c r="T408" s="28">
        <f>((Scenario_DT!K$11*(IF(Scenario_DT!K$18=1,1,1+$M408/Scenario_DT!$C$19)*(1+$N408)^MAX(0,Scenario_DT!K$18-3))*(Scenario_DT!K$12+$O408)-Scenario_DT!K$13)*(1-Scenario_DT!K$14)+Scenario_DT!K$13-Scenario_DT!K$15)*Scenario_DT!K$16</f>
        <v>2088.2244729856861</v>
      </c>
      <c r="U408" s="28">
        <f>((Scenario_DT!L$11*(IF(Scenario_DT!L$18=1,1,1+$M408/Scenario_DT!$C$19)*(1+$N408)^MAX(0,Scenario_DT!L$18-3))*(Scenario_DT!L$12+$O408)-Scenario_DT!L$13)*(1-Scenario_DT!L$14)+Scenario_DT!L$13-Scenario_DT!L$15)*Scenario_DT!L$16</f>
        <v>2494.9494645460341</v>
      </c>
      <c r="V408" s="28">
        <f>((Scenario_DT!M$11*(IF(Scenario_DT!M$18=1,1,1+$M408/Scenario_DT!$C$19)*(1+$N408)^MAX(0,Scenario_DT!M$18-3))*(Scenario_DT!M$12+$O408)-Scenario_DT!M$13)*(1-Scenario_DT!M$14)+Scenario_DT!M$13-Scenario_DT!M$15)*Scenario_DT!M$16</f>
        <v>2625.5086136665841</v>
      </c>
      <c r="W408" s="28">
        <f>((Scenario_DT!N$11*(IF(Scenario_DT!N$18=1,1,1+$M408/Scenario_DT!$C$19)*(1+$N408)^MAX(0,Scenario_DT!N$18-3))*(Scenario_DT!N$12+$O408)-Scenario_DT!N$13)*(1-Scenario_DT!N$14)+Scenario_DT!N$13-Scenario_DT!N$15)*Scenario_DT!N$16</f>
        <v>2762.8963116685045</v>
      </c>
      <c r="X408" s="28">
        <f>((Scenario_DT!O$11*(IF(Scenario_DT!O$18=1,1,1+$M408/Scenario_DT!$C$19)*(1+$N408)^MAX(0,Scenario_DT!O$18-3))*(Scenario_DT!O$12+$O408)-Scenario_DT!O$13)*(1-Scenario_DT!O$14)+Scenario_DT!O$13-Scenario_DT!O$15)*Scenario_DT!O$16</f>
        <v>2907.4722687368594</v>
      </c>
      <c r="Y408" s="28">
        <f>((Scenario_DT!P$11*(IF(Scenario_DT!P$18=1,1,1+$M408/Scenario_DT!$C$19)*(1+$N408)^MAX(0,Scenario_DT!P$18-3))*(Scenario_DT!P$12+$O408)-Scenario_DT!P$13)*(1-Scenario_DT!P$14)+Scenario_DT!P$13-Scenario_DT!P$15)*Scenario_DT!P$16</f>
        <v>3059.6151621261174</v>
      </c>
      <c r="Z408" s="28">
        <f>((Scenario_DT!Q$11*(IF(Scenario_DT!Q$18=1,1,1+$M408/Scenario_DT!$C$19)*(1+$N408)^MAX(0,Scenario_DT!Q$18-3))*(Scenario_DT!Q$12+$O408)-Scenario_DT!Q$13)*(1-Scenario_DT!Q$14)+Scenario_DT!Q$13-Scenario_DT!Q$15)*Scenario_DT!Q$16</f>
        <v>3219.7236361253986</v>
      </c>
      <c r="AA408" s="28">
        <f>((Scenario_DT!R$11*(IF(Scenario_DT!R$18=1,1,1+$M408/Scenario_DT!$C$19)*(1+$N408)^MAX(0,Scenario_DT!R$18-3))*(Scenario_DT!R$12+$O408)-Scenario_DT!R$13)*(1-Scenario_DT!R$14)+Scenario_DT!R$13-Scenario_DT!R$15)*Scenario_DT!R$16</f>
        <v>3388.2173547268108</v>
      </c>
      <c r="AB408" s="17">
        <f>(Scenario_DT!$R$11*(1+$M408/Scenario_DT!$C$19)*(1+$N408)^7*(Scenario_DT!$R$12+$O408)*(1+MIN(DCF_FCFF!$C$26+$Q408,(DCF_FCFF!$C$25+$P408)-0.02))*(1-DCF_FCFF!$C$27)*(1-DCF_FCFF!$C$28)/((DCF_FCFF!$C$25+$P408)-MIN(DCF_FCFF!$C$26+$Q408,(DCF_FCFF!$C$25+$P408)-0.02)))*(1+(DCF_FCFF!$C$25+$P408))^(-(Inputs!$C$9+9))</f>
        <v>24727.182346141191</v>
      </c>
      <c r="AC408" s="17">
        <f>SUMPRODUCT(R408:AA408*(1+(DCF_FCFF!$C$25+$P408))^(-Scenario_DT!$I$17:$R$17))+AB408</f>
        <v>40945.095799226619</v>
      </c>
      <c r="AD408" s="68">
        <f>((AC408-DCF_FCFF!$C$48)*(1-DCF_FCFF!$C$50)+DCF_FCFF!$C$57+DCF_FCFF!$C$58)/DCF_FCFF!$C$60</f>
        <v>296.57806687094302</v>
      </c>
      <c r="AE408" s="6"/>
      <c r="AF408" s="6"/>
      <c r="AG408" s="6"/>
    </row>
    <row r="409" spans="1:33" x14ac:dyDescent="0.3">
      <c r="A409" s="6"/>
      <c r="B409" s="72">
        <v>378</v>
      </c>
      <c r="C409" s="73">
        <v>0.330676996946353</v>
      </c>
      <c r="D409" s="73">
        <v>0.127225961891828</v>
      </c>
      <c r="E409" s="73">
        <v>0.188712210028919</v>
      </c>
      <c r="F409" s="73">
        <v>0.85052087892135797</v>
      </c>
      <c r="G409" s="73">
        <v>0.44628233858044197</v>
      </c>
      <c r="H409" s="15">
        <f t="shared" si="51"/>
        <v>-0.43804454350397148</v>
      </c>
      <c r="I409" s="15">
        <f t="shared" si="52"/>
        <v>-1.1396025469242133</v>
      </c>
      <c r="J409" s="15">
        <f t="shared" si="53"/>
        <v>-0.88265182196690195</v>
      </c>
      <c r="K409" s="15">
        <f t="shared" si="54"/>
        <v>1.0386699911843122</v>
      </c>
      <c r="L409" s="15">
        <f t="shared" si="55"/>
        <v>-0.13505969461547376</v>
      </c>
      <c r="M409" s="18">
        <f t="shared" si="56"/>
        <v>-8.7608908700794307E-3</v>
      </c>
      <c r="N409" s="18">
        <f t="shared" si="57"/>
        <v>-9.6475762208464173E-3</v>
      </c>
      <c r="O409" s="18">
        <f t="shared" si="58"/>
        <v>-1.0591821863602824E-2</v>
      </c>
      <c r="P409" s="18">
        <f t="shared" si="59"/>
        <v>6.2320199471058739E-3</v>
      </c>
      <c r="Q409" s="18">
        <f t="shared" si="60"/>
        <v>-5.4023877846189506E-4</v>
      </c>
      <c r="R409" s="28">
        <f>((Scenario_DT!I$11*(IF(Scenario_DT!I$18=1,1,1+$M409/Scenario_DT!$C$19)*(1+$N409)^MAX(0,Scenario_DT!I$18-3))*(Scenario_DT!I$12+$O409)-Scenario_DT!I$13)*(1-Scenario_DT!I$14)+Scenario_DT!I$13-Scenario_DT!I$15)*Scenario_DT!I$16</f>
        <v>896.05120856082624</v>
      </c>
      <c r="S409" s="28">
        <f>((Scenario_DT!J$11*(IF(Scenario_DT!J$18=1,1,1+$M409/Scenario_DT!$C$19)*(1+$N409)^MAX(0,Scenario_DT!J$18-3))*(Scenario_DT!J$12+$O409)-Scenario_DT!J$13)*(1-Scenario_DT!J$14)+Scenario_DT!J$13-Scenario_DT!J$15)*Scenario_DT!J$16</f>
        <v>1778.3054987330397</v>
      </c>
      <c r="T409" s="28">
        <f>((Scenario_DT!K$11*(IF(Scenario_DT!K$18=1,1,1+$M409/Scenario_DT!$C$19)*(1+$N409)^MAX(0,Scenario_DT!K$18-3))*(Scenario_DT!K$12+$O409)-Scenario_DT!K$13)*(1-Scenario_DT!K$14)+Scenario_DT!K$13-Scenario_DT!K$15)*Scenario_DT!K$16</f>
        <v>2040.6450164352491</v>
      </c>
      <c r="U409" s="28">
        <f>((Scenario_DT!L$11*(IF(Scenario_DT!L$18=1,1,1+$M409/Scenario_DT!$C$19)*(1+$N409)^MAX(0,Scenario_DT!L$18-3))*(Scenario_DT!L$12+$O409)-Scenario_DT!L$13)*(1-Scenario_DT!L$14)+Scenario_DT!L$13-Scenario_DT!L$15)*Scenario_DT!L$16</f>
        <v>2414.5383054266244</v>
      </c>
      <c r="V409" s="28">
        <f>((Scenario_DT!M$11*(IF(Scenario_DT!M$18=1,1,1+$M409/Scenario_DT!$C$19)*(1+$N409)^MAX(0,Scenario_DT!M$18-3))*(Scenario_DT!M$12+$O409)-Scenario_DT!M$13)*(1-Scenario_DT!M$14)+Scenario_DT!M$13-Scenario_DT!M$15)*Scenario_DT!M$16</f>
        <v>2509.9136846819442</v>
      </c>
      <c r="W409" s="28">
        <f>((Scenario_DT!N$11*(IF(Scenario_DT!N$18=1,1,1+$M409/Scenario_DT!$C$19)*(1+$N409)^MAX(0,Scenario_DT!N$18-3))*(Scenario_DT!N$12+$O409)-Scenario_DT!N$13)*(1-Scenario_DT!N$14)+Scenario_DT!N$13-Scenario_DT!N$15)*Scenario_DT!N$16</f>
        <v>2609.0327733792019</v>
      </c>
      <c r="X409" s="28">
        <f>((Scenario_DT!O$11*(IF(Scenario_DT!O$18=1,1,1+$M409/Scenario_DT!$C$19)*(1+$N409)^MAX(0,Scenario_DT!O$18-3))*(Scenario_DT!O$12+$O409)-Scenario_DT!O$13)*(1-Scenario_DT!O$14)+Scenario_DT!O$13-Scenario_DT!O$15)*Scenario_DT!O$16</f>
        <v>2712.0438110281893</v>
      </c>
      <c r="Y409" s="28">
        <f>((Scenario_DT!P$11*(IF(Scenario_DT!P$18=1,1,1+$M409/Scenario_DT!$C$19)*(1+$N409)^MAX(0,Scenario_DT!P$18-3))*(Scenario_DT!P$12+$O409)-Scenario_DT!P$13)*(1-Scenario_DT!P$14)+Scenario_DT!P$13-Scenario_DT!P$15)*Scenario_DT!P$16</f>
        <v>2819.1009188373769</v>
      </c>
      <c r="Z409" s="28">
        <f>((Scenario_DT!Q$11*(IF(Scenario_DT!Q$18=1,1,1+$M409/Scenario_DT!$C$19)*(1+$N409)^MAX(0,Scenario_DT!Q$18-3))*(Scenario_DT!Q$12+$O409)-Scenario_DT!Q$13)*(1-Scenario_DT!Q$14)+Scenario_DT!Q$13-Scenario_DT!Q$15)*Scenario_DT!Q$16</f>
        <v>2930.3643331587368</v>
      </c>
      <c r="AA409" s="28">
        <f>((Scenario_DT!R$11*(IF(Scenario_DT!R$18=1,1,1+$M409/Scenario_DT!$C$19)*(1+$N409)^MAX(0,Scenario_DT!R$18-3))*(Scenario_DT!R$12+$O409)-Scenario_DT!R$13)*(1-Scenario_DT!R$14)+Scenario_DT!R$13-Scenario_DT!R$15)*Scenario_DT!R$16</f>
        <v>3046.0006481974083</v>
      </c>
      <c r="AB409" s="17">
        <f>(Scenario_DT!$R$11*(1+$M409/Scenario_DT!$C$19)*(1+$N409)^7*(Scenario_DT!$R$12+$O409)*(1+MIN(DCF_FCFF!$C$26+$Q409,(DCF_FCFF!$C$25+$P409)-0.02))*(1-DCF_FCFF!$C$27)*(1-DCF_FCFF!$C$28)/((DCF_FCFF!$C$25+$P409)-MIN(DCF_FCFF!$C$26+$Q409,(DCF_FCFF!$C$25+$P409)-0.02)))*(1+(DCF_FCFF!$C$25+$P409))^(-(Inputs!$C$9+9))</f>
        <v>21465.717997393465</v>
      </c>
      <c r="AC409" s="17">
        <f>SUMPRODUCT(R409:AA409*(1+(DCF_FCFF!$C$25+$P409))^(-Scenario_DT!$I$17:$R$17))+AB409</f>
        <v>36676.727831623524</v>
      </c>
      <c r="AD409" s="68">
        <f>((AC409-DCF_FCFF!$C$48)*(1-DCF_FCFF!$C$50)+DCF_FCFF!$C$57+DCF_FCFF!$C$58)/DCF_FCFF!$C$60</f>
        <v>255.60699099271173</v>
      </c>
      <c r="AE409" s="6"/>
      <c r="AF409" s="6"/>
      <c r="AG409" s="6"/>
    </row>
    <row r="410" spans="1:33" x14ac:dyDescent="0.3">
      <c r="A410" s="6"/>
      <c r="B410" s="72">
        <v>379</v>
      </c>
      <c r="C410" s="73">
        <v>0.22786778655283399</v>
      </c>
      <c r="D410" s="73">
        <v>0.75934110002238697</v>
      </c>
      <c r="E410" s="73">
        <v>0.55398112581685899</v>
      </c>
      <c r="F410" s="73">
        <v>2.11560114232935E-2</v>
      </c>
      <c r="G410" s="73">
        <v>0.316361457336715</v>
      </c>
      <c r="H410" s="15">
        <f t="shared" si="51"/>
        <v>-0.74588717512859914</v>
      </c>
      <c r="I410" s="15">
        <f t="shared" si="52"/>
        <v>0.70418463249793739</v>
      </c>
      <c r="J410" s="15">
        <f t="shared" si="53"/>
        <v>0.13572618280514961</v>
      </c>
      <c r="K410" s="15">
        <f t="shared" si="54"/>
        <v>-2.0304381426742899</v>
      </c>
      <c r="L410" s="15">
        <f t="shared" si="55"/>
        <v>-0.47789784586060291</v>
      </c>
      <c r="M410" s="18">
        <f t="shared" si="56"/>
        <v>-1.4917743502571983E-2</v>
      </c>
      <c r="N410" s="18">
        <f t="shared" si="57"/>
        <v>1.895185545068185E-3</v>
      </c>
      <c r="O410" s="18">
        <f t="shared" si="58"/>
        <v>1.6287141936617954E-3</v>
      </c>
      <c r="P410" s="18">
        <f t="shared" si="59"/>
        <v>-1.218262885604574E-2</v>
      </c>
      <c r="Q410" s="18">
        <f t="shared" si="60"/>
        <v>-1.9115913834424117E-3</v>
      </c>
      <c r="R410" s="28">
        <f>((Scenario_DT!I$11*(IF(Scenario_DT!I$18=1,1,1+$M410/Scenario_DT!$C$19)*(1+$N410)^MAX(0,Scenario_DT!I$18-3))*(Scenario_DT!I$12+$O410)-Scenario_DT!I$13)*(1-Scenario_DT!I$14)+Scenario_DT!I$13-Scenario_DT!I$15)*Scenario_DT!I$16</f>
        <v>913.28084927094062</v>
      </c>
      <c r="S410" s="28">
        <f>((Scenario_DT!J$11*(IF(Scenario_DT!J$18=1,1,1+$M410/Scenario_DT!$C$19)*(1+$N410)^MAX(0,Scenario_DT!J$18-3))*(Scenario_DT!J$12+$O410)-Scenario_DT!J$13)*(1-Scenario_DT!J$14)+Scenario_DT!J$13-Scenario_DT!J$15)*Scenario_DT!J$16</f>
        <v>1801.1433336633354</v>
      </c>
      <c r="T410" s="28">
        <f>((Scenario_DT!K$11*(IF(Scenario_DT!K$18=1,1,1+$M410/Scenario_DT!$C$19)*(1+$N410)^MAX(0,Scenario_DT!K$18-3))*(Scenario_DT!K$12+$O410)-Scenario_DT!K$13)*(1-Scenario_DT!K$14)+Scenario_DT!K$13-Scenario_DT!K$15)*Scenario_DT!K$16</f>
        <v>2064.1031506033596</v>
      </c>
      <c r="U410" s="28">
        <f>((Scenario_DT!L$11*(IF(Scenario_DT!L$18=1,1,1+$M410/Scenario_DT!$C$19)*(1+$N410)^MAX(0,Scenario_DT!L$18-3))*(Scenario_DT!L$12+$O410)-Scenario_DT!L$13)*(1-Scenario_DT!L$14)+Scenario_DT!L$13-Scenario_DT!L$15)*Scenario_DT!L$16</f>
        <v>2467.831439517483</v>
      </c>
      <c r="V410" s="28">
        <f>((Scenario_DT!M$11*(IF(Scenario_DT!M$18=1,1,1+$M410/Scenario_DT!$C$19)*(1+$N410)^MAX(0,Scenario_DT!M$18-3))*(Scenario_DT!M$12+$O410)-Scenario_DT!M$13)*(1-Scenario_DT!M$14)+Scenario_DT!M$13-Scenario_DT!M$15)*Scenario_DT!M$16</f>
        <v>2595.4460101778541</v>
      </c>
      <c r="W410" s="28">
        <f>((Scenario_DT!N$11*(IF(Scenario_DT!N$18=1,1,1+$M410/Scenario_DT!$C$19)*(1+$N410)^MAX(0,Scenario_DT!N$18-3))*(Scenario_DT!N$12+$O410)-Scenario_DT!N$13)*(1-Scenario_DT!N$14)+Scenario_DT!N$13-Scenario_DT!N$15)*Scenario_DT!N$16</f>
        <v>2729.655313856781</v>
      </c>
      <c r="X410" s="28">
        <f>((Scenario_DT!O$11*(IF(Scenario_DT!O$18=1,1,1+$M410/Scenario_DT!$C$19)*(1+$N410)^MAX(0,Scenario_DT!O$18-3))*(Scenario_DT!O$12+$O410)-Scenario_DT!O$13)*(1-Scenario_DT!O$14)+Scenario_DT!O$13-Scenario_DT!O$15)*Scenario_DT!O$16</f>
        <v>2870.8026583288233</v>
      </c>
      <c r="Y410" s="28">
        <f>((Scenario_DT!P$11*(IF(Scenario_DT!P$18=1,1,1+$M410/Scenario_DT!$C$19)*(1+$N410)^MAX(0,Scenario_DT!P$18-3))*(Scenario_DT!P$12+$O410)-Scenario_DT!P$13)*(1-Scenario_DT!P$14)+Scenario_DT!P$13-Scenario_DT!P$15)*Scenario_DT!P$16</f>
        <v>3019.2492423162244</v>
      </c>
      <c r="Z410" s="28">
        <f>((Scenario_DT!Q$11*(IF(Scenario_DT!Q$18=1,1,1+$M410/Scenario_DT!$C$19)*(1+$N410)^MAX(0,Scenario_DT!Q$18-3))*(Scenario_DT!Q$12+$O410)-Scenario_DT!Q$13)*(1-Scenario_DT!Q$14)+Scenario_DT!Q$13-Scenario_DT!Q$15)*Scenario_DT!Q$16</f>
        <v>3175.3750877576335</v>
      </c>
      <c r="AA410" s="28">
        <f>((Scenario_DT!R$11*(IF(Scenario_DT!R$18=1,1,1+$M410/Scenario_DT!$C$19)*(1+$N410)^MAX(0,Scenario_DT!R$18-3))*(Scenario_DT!R$12+$O410)-Scenario_DT!R$13)*(1-Scenario_DT!R$14)+Scenario_DT!R$13-Scenario_DT!R$15)*Scenario_DT!R$16</f>
        <v>3339.5800206423701</v>
      </c>
      <c r="AB410" s="17">
        <f>(Scenario_DT!$R$11*(1+$M410/Scenario_DT!$C$19)*(1+$N410)^7*(Scenario_DT!$R$12+$O410)*(1+MIN(DCF_FCFF!$C$26+$Q410,(DCF_FCFF!$C$25+$P410)-0.02))*(1-DCF_FCFF!$C$27)*(1-DCF_FCFF!$C$28)/((DCF_FCFF!$C$25+$P410)-MIN(DCF_FCFF!$C$26+$Q410,(DCF_FCFF!$C$25+$P410)-0.02)))*(1+(DCF_FCFF!$C$25+$P410))^(-(Inputs!$C$9+9))</f>
        <v>39280.433250655442</v>
      </c>
      <c r="AC410" s="17">
        <f>SUMPRODUCT(R410:AA410*(1+(DCF_FCFF!$C$25+$P410))^(-Scenario_DT!$I$17:$R$17))+AB410</f>
        <v>56464.710117317867</v>
      </c>
      <c r="AD410" s="68">
        <f>((AC410-DCF_FCFF!$C$48)*(1-DCF_FCFF!$C$50)+DCF_FCFF!$C$57+DCF_FCFF!$C$58)/DCF_FCFF!$C$60</f>
        <v>445.54725149924644</v>
      </c>
      <c r="AE410" s="6"/>
      <c r="AF410" s="6"/>
      <c r="AG410" s="6"/>
    </row>
    <row r="411" spans="1:33" x14ac:dyDescent="0.3">
      <c r="A411" s="6"/>
      <c r="B411" s="72">
        <v>380</v>
      </c>
      <c r="C411" s="73">
        <v>0.17700141112134099</v>
      </c>
      <c r="D411" s="73">
        <v>0.65587286098284103</v>
      </c>
      <c r="E411" s="73">
        <v>0.27503104063025302</v>
      </c>
      <c r="F411" s="73">
        <v>6.49467792099436E-2</v>
      </c>
      <c r="G411" s="73">
        <v>5.4934989197669301E-2</v>
      </c>
      <c r="H411" s="15">
        <f t="shared" si="51"/>
        <v>-0.92685307784587689</v>
      </c>
      <c r="I411" s="15">
        <f t="shared" si="52"/>
        <v>0.40122526915322521</v>
      </c>
      <c r="J411" s="15">
        <f t="shared" si="53"/>
        <v>-0.59766710122473132</v>
      </c>
      <c r="K411" s="15">
        <f t="shared" si="54"/>
        <v>-1.5145217629293188</v>
      </c>
      <c r="L411" s="15">
        <f t="shared" si="55"/>
        <v>-1.5987778229543954</v>
      </c>
      <c r="M411" s="18">
        <f t="shared" si="56"/>
        <v>-1.8537061556917537E-2</v>
      </c>
      <c r="N411" s="18">
        <f t="shared" si="57"/>
        <v>-9.2764210556797223E-4</v>
      </c>
      <c r="O411" s="18">
        <f t="shared" si="58"/>
        <v>-7.1720052146967764E-3</v>
      </c>
      <c r="P411" s="18">
        <f t="shared" si="59"/>
        <v>-9.087130577575913E-3</v>
      </c>
      <c r="Q411" s="18">
        <f t="shared" si="60"/>
        <v>-6.3951112918175816E-3</v>
      </c>
      <c r="R411" s="28">
        <f>((Scenario_DT!I$11*(IF(Scenario_DT!I$18=1,1,1+$M411/Scenario_DT!$C$19)*(1+$N411)^MAX(0,Scenario_DT!I$18-3))*(Scenario_DT!I$12+$O411)-Scenario_DT!I$13)*(1-Scenario_DT!I$14)+Scenario_DT!I$13-Scenario_DT!I$15)*Scenario_DT!I$16</f>
        <v>900.87278200727837</v>
      </c>
      <c r="S411" s="28">
        <f>((Scenario_DT!J$11*(IF(Scenario_DT!J$18=1,1,1+$M411/Scenario_DT!$C$19)*(1+$N411)^MAX(0,Scenario_DT!J$18-3))*(Scenario_DT!J$12+$O411)-Scenario_DT!J$13)*(1-Scenario_DT!J$14)+Scenario_DT!J$13-Scenario_DT!J$15)*Scenario_DT!J$16</f>
        <v>1765.6397633672714</v>
      </c>
      <c r="T411" s="28">
        <f>((Scenario_DT!K$11*(IF(Scenario_DT!K$18=1,1,1+$M411/Scenario_DT!$C$19)*(1+$N411)^MAX(0,Scenario_DT!K$18-3))*(Scenario_DT!K$12+$O411)-Scenario_DT!K$13)*(1-Scenario_DT!K$14)+Scenario_DT!K$13-Scenario_DT!K$15)*Scenario_DT!K$16</f>
        <v>2027.186756660687</v>
      </c>
      <c r="U411" s="28">
        <f>((Scenario_DT!L$11*(IF(Scenario_DT!L$18=1,1,1+$M411/Scenario_DT!$C$19)*(1+$N411)^MAX(0,Scenario_DT!L$18-3))*(Scenario_DT!L$12+$O411)-Scenario_DT!L$13)*(1-Scenario_DT!L$14)+Scenario_DT!L$13-Scenario_DT!L$15)*Scenario_DT!L$16</f>
        <v>2421.6701910690499</v>
      </c>
      <c r="V411" s="28">
        <f>((Scenario_DT!M$11*(IF(Scenario_DT!M$18=1,1,1+$M411/Scenario_DT!$C$19)*(1+$N411)^MAX(0,Scenario_DT!M$18-3))*(Scenario_DT!M$12+$O411)-Scenario_DT!M$13)*(1-Scenario_DT!M$14)+Scenario_DT!M$13-Scenario_DT!M$15)*Scenario_DT!M$16</f>
        <v>2539.6570688948136</v>
      </c>
      <c r="W411" s="28">
        <f>((Scenario_DT!N$11*(IF(Scenario_DT!N$18=1,1,1+$M411/Scenario_DT!$C$19)*(1+$N411)^MAX(0,Scenario_DT!N$18-3))*(Scenario_DT!N$12+$O411)-Scenario_DT!N$13)*(1-Scenario_DT!N$14)+Scenario_DT!N$13-Scenario_DT!N$15)*Scenario_DT!N$16</f>
        <v>2663.3837879411462</v>
      </c>
      <c r="X411" s="28">
        <f>((Scenario_DT!O$11*(IF(Scenario_DT!O$18=1,1,1+$M411/Scenario_DT!$C$19)*(1+$N411)^MAX(0,Scenario_DT!O$18-3))*(Scenario_DT!O$12+$O411)-Scenario_DT!O$13)*(1-Scenario_DT!O$14)+Scenario_DT!O$13-Scenario_DT!O$15)*Scenario_DT!O$16</f>
        <v>2793.1318379203567</v>
      </c>
      <c r="Y411" s="28">
        <f>((Scenario_DT!P$11*(IF(Scenario_DT!P$18=1,1,1+$M411/Scenario_DT!$C$19)*(1+$N411)^MAX(0,Scenario_DT!P$18-3))*(Scenario_DT!P$12+$O411)-Scenario_DT!P$13)*(1-Scenario_DT!P$14)+Scenario_DT!P$13-Scenario_DT!P$15)*Scenario_DT!P$16</f>
        <v>2929.1965338815767</v>
      </c>
      <c r="Z411" s="28">
        <f>((Scenario_DT!Q$11*(IF(Scenario_DT!Q$18=1,1,1+$M411/Scenario_DT!$C$19)*(1+$N411)^MAX(0,Scenario_DT!Q$18-3))*(Scenario_DT!Q$12+$O411)-Scenario_DT!Q$13)*(1-Scenario_DT!Q$14)+Scenario_DT!Q$13-Scenario_DT!Q$15)*Scenario_DT!Q$16</f>
        <v>3071.8876953535109</v>
      </c>
      <c r="AA411" s="28">
        <f>((Scenario_DT!R$11*(IF(Scenario_DT!R$18=1,1,1+$M411/Scenario_DT!$C$19)*(1+$N411)^MAX(0,Scenario_DT!R$18-3))*(Scenario_DT!R$12+$O411)-Scenario_DT!R$13)*(1-Scenario_DT!R$14)+Scenario_DT!R$13-Scenario_DT!R$15)*Scenario_DT!R$16</f>
        <v>3221.5303588456259</v>
      </c>
      <c r="AB411" s="17">
        <f>(Scenario_DT!$R$11*(1+$M411/Scenario_DT!$C$19)*(1+$N411)^7*(Scenario_DT!$R$12+$O411)*(1+MIN(DCF_FCFF!$C$26+$Q411,(DCF_FCFF!$C$25+$P411)-0.02))*(1-DCF_FCFF!$C$27)*(1-DCF_FCFF!$C$28)/((DCF_FCFF!$C$25+$P411)-MIN(DCF_FCFF!$C$26+$Q411,(DCF_FCFF!$C$25+$P411)-0.02)))*(1+(DCF_FCFF!$C$25+$P411))^(-(Inputs!$C$9+9))</f>
        <v>30893.744922473121</v>
      </c>
      <c r="AC411" s="17">
        <f>SUMPRODUCT(R411:AA411*(1+(DCF_FCFF!$C$25+$P411))^(-Scenario_DT!$I$17:$R$17))+AB411</f>
        <v>47434.599988524526</v>
      </c>
      <c r="AD411" s="68">
        <f>((AC411-DCF_FCFF!$C$48)*(1-DCF_FCFF!$C$50)+DCF_FCFF!$C$57+DCF_FCFF!$C$58)/DCF_FCFF!$C$60</f>
        <v>358.86931508802934</v>
      </c>
      <c r="AE411" s="6"/>
      <c r="AF411" s="6"/>
      <c r="AG411" s="6"/>
    </row>
    <row r="412" spans="1:33" x14ac:dyDescent="0.3">
      <c r="A412" s="6"/>
      <c r="B412" s="72">
        <v>381</v>
      </c>
      <c r="C412" s="73">
        <v>0.58172729795871503</v>
      </c>
      <c r="D412" s="73">
        <v>2.1723455704089598E-2</v>
      </c>
      <c r="E412" s="73">
        <v>0.84879211313608904</v>
      </c>
      <c r="F412" s="73">
        <v>0.15539711925727601</v>
      </c>
      <c r="G412" s="73">
        <v>0.60656633519543002</v>
      </c>
      <c r="H412" s="15">
        <f t="shared" si="51"/>
        <v>0.20631430633812045</v>
      </c>
      <c r="I412" s="15">
        <f t="shared" si="52"/>
        <v>-2.0193879652985856</v>
      </c>
      <c r="J412" s="15">
        <f t="shared" si="53"/>
        <v>1.0312666912391653</v>
      </c>
      <c r="K412" s="15">
        <f t="shared" si="54"/>
        <v>-1.0135568871108214</v>
      </c>
      <c r="L412" s="15">
        <f t="shared" si="55"/>
        <v>0.27038077397314325</v>
      </c>
      <c r="M412" s="18">
        <f t="shared" si="56"/>
        <v>4.1262861267624094E-3</v>
      </c>
      <c r="N412" s="18">
        <f t="shared" si="57"/>
        <v>-1.3165472999008665E-2</v>
      </c>
      <c r="O412" s="18">
        <f t="shared" si="58"/>
        <v>1.2375200294869984E-2</v>
      </c>
      <c r="P412" s="18">
        <f t="shared" si="59"/>
        <v>-6.0813413226649283E-3</v>
      </c>
      <c r="Q412" s="18">
        <f t="shared" si="60"/>
        <v>1.081523095892573E-3</v>
      </c>
      <c r="R412" s="28">
        <f>((Scenario_DT!I$11*(IF(Scenario_DT!I$18=1,1,1+$M412/Scenario_DT!$C$19)*(1+$N412)^MAX(0,Scenario_DT!I$18-3))*(Scenario_DT!I$12+$O412)-Scenario_DT!I$13)*(1-Scenario_DT!I$14)+Scenario_DT!I$13-Scenario_DT!I$15)*Scenario_DT!I$16</f>
        <v>928.43223817502928</v>
      </c>
      <c r="S412" s="28">
        <f>((Scenario_DT!J$11*(IF(Scenario_DT!J$18=1,1,1+$M412/Scenario_DT!$C$19)*(1+$N412)^MAX(0,Scenario_DT!J$18-3))*(Scenario_DT!J$12+$O412)-Scenario_DT!J$13)*(1-Scenario_DT!J$14)+Scenario_DT!J$13-Scenario_DT!J$15)*Scenario_DT!J$16</f>
        <v>1880.4238279179299</v>
      </c>
      <c r="T412" s="28">
        <f>((Scenario_DT!K$11*(IF(Scenario_DT!K$18=1,1,1+$M412/Scenario_DT!$C$19)*(1+$N412)^MAX(0,Scenario_DT!K$18-3))*(Scenario_DT!K$12+$O412)-Scenario_DT!K$13)*(1-Scenario_DT!K$14)+Scenario_DT!K$13-Scenario_DT!K$15)*Scenario_DT!K$16</f>
        <v>2146.9112492790946</v>
      </c>
      <c r="U412" s="28">
        <f>((Scenario_DT!L$11*(IF(Scenario_DT!L$18=1,1,1+$M412/Scenario_DT!$C$19)*(1+$N412)^MAX(0,Scenario_DT!L$18-3))*(Scenario_DT!L$12+$O412)-Scenario_DT!L$13)*(1-Scenario_DT!L$14)+Scenario_DT!L$13-Scenario_DT!L$15)*Scenario_DT!L$16</f>
        <v>2517.2470914879345</v>
      </c>
      <c r="V412" s="28">
        <f>((Scenario_DT!M$11*(IF(Scenario_DT!M$18=1,1,1+$M412/Scenario_DT!$C$19)*(1+$N412)^MAX(0,Scenario_DT!M$18-3))*(Scenario_DT!M$12+$O412)-Scenario_DT!M$13)*(1-Scenario_DT!M$14)+Scenario_DT!M$13-Scenario_DT!M$15)*Scenario_DT!M$16</f>
        <v>2607.356956169453</v>
      </c>
      <c r="W412" s="28">
        <f>((Scenario_DT!N$11*(IF(Scenario_DT!N$18=1,1,1+$M412/Scenario_DT!$C$19)*(1+$N412)^MAX(0,Scenario_DT!N$18-3))*(Scenario_DT!N$12+$O412)-Scenario_DT!N$13)*(1-Scenario_DT!N$14)+Scenario_DT!N$13-Scenario_DT!N$15)*Scenario_DT!N$16</f>
        <v>2700.6619655015847</v>
      </c>
      <c r="X412" s="28">
        <f>((Scenario_DT!O$11*(IF(Scenario_DT!O$18=1,1,1+$M412/Scenario_DT!$C$19)*(1+$N412)^MAX(0,Scenario_DT!O$18-3))*(Scenario_DT!O$12+$O412)-Scenario_DT!O$13)*(1-Scenario_DT!O$14)+Scenario_DT!O$13-Scenario_DT!O$15)*Scenario_DT!O$16</f>
        <v>2797.2762373812293</v>
      </c>
      <c r="Y412" s="28">
        <f>((Scenario_DT!P$11*(IF(Scenario_DT!P$18=1,1,1+$M412/Scenario_DT!$C$19)*(1+$N412)^MAX(0,Scenario_DT!P$18-3))*(Scenario_DT!P$12+$O412)-Scenario_DT!P$13)*(1-Scenario_DT!P$14)+Scenario_DT!P$13-Scenario_DT!P$15)*Scenario_DT!P$16</f>
        <v>2897.3179678034089</v>
      </c>
      <c r="Z412" s="28">
        <f>((Scenario_DT!Q$11*(IF(Scenario_DT!Q$18=1,1,1+$M412/Scenario_DT!$C$19)*(1+$N412)^MAX(0,Scenario_DT!Q$18-3))*(Scenario_DT!Q$12+$O412)-Scenario_DT!Q$13)*(1-Scenario_DT!Q$14)+Scenario_DT!Q$13-Scenario_DT!Q$15)*Scenario_DT!Q$16</f>
        <v>3000.9095763642181</v>
      </c>
      <c r="AA412" s="28">
        <f>((Scenario_DT!R$11*(IF(Scenario_DT!R$18=1,1,1+$M412/Scenario_DT!$C$19)*(1+$N412)^MAX(0,Scenario_DT!R$18-3))*(Scenario_DT!R$12+$O412)-Scenario_DT!R$13)*(1-Scenario_DT!R$14)+Scenario_DT!R$13-Scenario_DT!R$15)*Scenario_DT!R$16</f>
        <v>3108.1778569423604</v>
      </c>
      <c r="AB412" s="17">
        <f>(Scenario_DT!$R$11*(1+$M412/Scenario_DT!$C$19)*(1+$N412)^7*(Scenario_DT!$R$12+$O412)*(1+MIN(DCF_FCFF!$C$26+$Q412,(DCF_FCFF!$C$25+$P412)-0.02))*(1-DCF_FCFF!$C$27)*(1-DCF_FCFF!$C$28)/((DCF_FCFF!$C$25+$P412)-MIN(DCF_FCFF!$C$26+$Q412,(DCF_FCFF!$C$25+$P412)-0.02)))*(1+(DCF_FCFF!$C$25+$P412))^(-(Inputs!$C$9+9))</f>
        <v>32277.51887425048</v>
      </c>
      <c r="AC412" s="17">
        <f>SUMPRODUCT(R412:AA412*(1+(DCF_FCFF!$C$25+$P412))^(-Scenario_DT!$I$17:$R$17))+AB412</f>
        <v>48883.022331423563</v>
      </c>
      <c r="AD412" s="68">
        <f>((AC412-DCF_FCFF!$C$48)*(1-DCF_FCFF!$C$50)+DCF_FCFF!$C$57+DCF_FCFF!$C$58)/DCF_FCFF!$C$60</f>
        <v>372.77238580851514</v>
      </c>
      <c r="AE412" s="6"/>
      <c r="AF412" s="6"/>
      <c r="AG412" s="6"/>
    </row>
    <row r="413" spans="1:33" x14ac:dyDescent="0.3">
      <c r="A413" s="6"/>
      <c r="B413" s="72">
        <v>382</v>
      </c>
      <c r="C413" s="73">
        <v>0.44468802801074597</v>
      </c>
      <c r="D413" s="73">
        <v>0.44285152123190302</v>
      </c>
      <c r="E413" s="73">
        <v>7.1797142360045904E-2</v>
      </c>
      <c r="F413" s="73">
        <v>0.80275225021221597</v>
      </c>
      <c r="G413" s="73">
        <v>0.89305248475325305</v>
      </c>
      <c r="H413" s="15">
        <f t="shared" si="51"/>
        <v>-0.13909376388768072</v>
      </c>
      <c r="I413" s="15">
        <f t="shared" si="52"/>
        <v>-0.14374347134940493</v>
      </c>
      <c r="J413" s="15">
        <f t="shared" si="53"/>
        <v>-1.4625363724300608</v>
      </c>
      <c r="K413" s="15">
        <f t="shared" si="54"/>
        <v>0.85149309109328308</v>
      </c>
      <c r="L413" s="15">
        <f t="shared" si="55"/>
        <v>1.242926198603413</v>
      </c>
      <c r="M413" s="18">
        <f t="shared" si="56"/>
        <v>-2.7818752777536144E-3</v>
      </c>
      <c r="N413" s="18">
        <f t="shared" si="57"/>
        <v>-1.552259038084685E-3</v>
      </c>
      <c r="O413" s="18">
        <f t="shared" si="58"/>
        <v>-1.755043646916073E-2</v>
      </c>
      <c r="P413" s="18">
        <f t="shared" si="59"/>
        <v>5.1089585465596988E-3</v>
      </c>
      <c r="Q413" s="18">
        <f t="shared" si="60"/>
        <v>4.9717047944136524E-3</v>
      </c>
      <c r="R413" s="28">
        <f>((Scenario_DT!I$11*(IF(Scenario_DT!I$18=1,1,1+$M413/Scenario_DT!$C$19)*(1+$N413)^MAX(0,Scenario_DT!I$18-3))*(Scenario_DT!I$12+$O413)-Scenario_DT!I$13)*(1-Scenario_DT!I$14)+Scenario_DT!I$13-Scenario_DT!I$15)*Scenario_DT!I$16</f>
        <v>886.2403108283454</v>
      </c>
      <c r="S413" s="28">
        <f>((Scenario_DT!J$11*(IF(Scenario_DT!J$18=1,1,1+$M413/Scenario_DT!$C$19)*(1+$N413)^MAX(0,Scenario_DT!J$18-3))*(Scenario_DT!J$12+$O413)-Scenario_DT!J$13)*(1-Scenario_DT!J$14)+Scenario_DT!J$13-Scenario_DT!J$15)*Scenario_DT!J$16</f>
        <v>1770.8620511672239</v>
      </c>
      <c r="T413" s="28">
        <f>((Scenario_DT!K$11*(IF(Scenario_DT!K$18=1,1,1+$M413/Scenario_DT!$C$19)*(1+$N413)^MAX(0,Scenario_DT!K$18-3))*(Scenario_DT!K$12+$O413)-Scenario_DT!K$13)*(1-Scenario_DT!K$14)+Scenario_DT!K$13-Scenario_DT!K$15)*Scenario_DT!K$16</f>
        <v>2033.1344641578053</v>
      </c>
      <c r="U413" s="28">
        <f>((Scenario_DT!L$11*(IF(Scenario_DT!L$18=1,1,1+$M413/Scenario_DT!$C$19)*(1+$N413)^MAX(0,Scenario_DT!L$18-3))*(Scenario_DT!L$12+$O413)-Scenario_DT!L$13)*(1-Scenario_DT!L$14)+Scenario_DT!L$13-Scenario_DT!L$15)*Scenario_DT!L$16</f>
        <v>2426.4509567233085</v>
      </c>
      <c r="V413" s="28">
        <f>((Scenario_DT!M$11*(IF(Scenario_DT!M$18=1,1,1+$M413/Scenario_DT!$C$19)*(1+$N413)^MAX(0,Scenario_DT!M$18-3))*(Scenario_DT!M$12+$O413)-Scenario_DT!M$13)*(1-Scenario_DT!M$14)+Scenario_DT!M$13-Scenario_DT!M$15)*Scenario_DT!M$16</f>
        <v>2543.0697664269514</v>
      </c>
      <c r="W413" s="28">
        <f>((Scenario_DT!N$11*(IF(Scenario_DT!N$18=1,1,1+$M413/Scenario_DT!$C$19)*(1+$N413)^MAX(0,Scenario_DT!N$18-3))*(Scenario_DT!N$12+$O413)-Scenario_DT!N$13)*(1-Scenario_DT!N$14)+Scenario_DT!N$13-Scenario_DT!N$15)*Scenario_DT!N$16</f>
        <v>2665.2838357734449</v>
      </c>
      <c r="X413" s="28">
        <f>((Scenario_DT!O$11*(IF(Scenario_DT!O$18=1,1,1+$M413/Scenario_DT!$C$19)*(1+$N413)^MAX(0,Scenario_DT!O$18-3))*(Scenario_DT!O$12+$O413)-Scenario_DT!O$13)*(1-Scenario_DT!O$14)+Scenario_DT!O$13-Scenario_DT!O$15)*Scenario_DT!O$16</f>
        <v>2793.3638170195409</v>
      </c>
      <c r="Y413" s="28">
        <f>((Scenario_DT!P$11*(IF(Scenario_DT!P$18=1,1,1+$M413/Scenario_DT!$C$19)*(1+$N413)^MAX(0,Scenario_DT!P$18-3))*(Scenario_DT!P$12+$O413)-Scenario_DT!P$13)*(1-Scenario_DT!P$14)+Scenario_DT!P$13-Scenario_DT!P$15)*Scenario_DT!P$16</f>
        <v>2927.5934750925639</v>
      </c>
      <c r="Z413" s="28">
        <f>((Scenario_DT!Q$11*(IF(Scenario_DT!Q$18=1,1,1+$M413/Scenario_DT!$C$19)*(1+$N413)^MAX(0,Scenario_DT!Q$18-3))*(Scenario_DT!Q$12+$O413)-Scenario_DT!Q$13)*(1-Scenario_DT!Q$14)+Scenario_DT!Q$13-Scenario_DT!Q$15)*Scenario_DT!Q$16</f>
        <v>3068.2703230221182</v>
      </c>
      <c r="AA413" s="28">
        <f>((Scenario_DT!R$11*(IF(Scenario_DT!R$18=1,1,1+$M413/Scenario_DT!$C$19)*(1+$N413)^MAX(0,Scenario_DT!R$18-3))*(Scenario_DT!R$12+$O413)-Scenario_DT!R$13)*(1-Scenario_DT!R$14)+Scenario_DT!R$13-Scenario_DT!R$15)*Scenario_DT!R$16</f>
        <v>3215.7062881629477</v>
      </c>
      <c r="AB413" s="17">
        <f>(Scenario_DT!$R$11*(1+$M413/Scenario_DT!$C$19)*(1+$N413)^7*(Scenario_DT!$R$12+$O413)*(1+MIN(DCF_FCFF!$C$26+$Q413,(DCF_FCFF!$C$25+$P413)-0.02))*(1-DCF_FCFF!$C$27)*(1-DCF_FCFF!$C$28)/((DCF_FCFF!$C$25+$P413)-MIN(DCF_FCFF!$C$26+$Q413,(DCF_FCFF!$C$25+$P413)-0.02)))*(1+(DCF_FCFF!$C$25+$P413))^(-(Inputs!$C$9+9))</f>
        <v>26011.723106556808</v>
      </c>
      <c r="AC413" s="17">
        <f>SUMPRODUCT(R413:AA413*(1+(DCF_FCFF!$C$25+$P413))^(-Scenario_DT!$I$17:$R$17))+AB413</f>
        <v>41584.502430965949</v>
      </c>
      <c r="AD413" s="68">
        <f>((AC413-DCF_FCFF!$C$48)*(1-DCF_FCFF!$C$50)+DCF_FCFF!$C$57+DCF_FCFF!$C$58)/DCF_FCFF!$C$60</f>
        <v>302.71558308905566</v>
      </c>
      <c r="AE413" s="6"/>
      <c r="AF413" s="6"/>
      <c r="AG413" s="6"/>
    </row>
    <row r="414" spans="1:33" x14ac:dyDescent="0.3">
      <c r="A414" s="6"/>
      <c r="B414" s="72">
        <v>383</v>
      </c>
      <c r="C414" s="73">
        <v>1.1016667384228501E-2</v>
      </c>
      <c r="D414" s="73">
        <v>0.17860417569711801</v>
      </c>
      <c r="E414" s="73">
        <v>0.90390418879547896</v>
      </c>
      <c r="F414" s="73">
        <v>0.54949361280005804</v>
      </c>
      <c r="G414" s="73">
        <v>0.15003957824820999</v>
      </c>
      <c r="H414" s="15">
        <f t="shared" si="51"/>
        <v>-2.2897927305769956</v>
      </c>
      <c r="I414" s="15">
        <f t="shared" si="52"/>
        <v>-0.92069755820499899</v>
      </c>
      <c r="J414" s="15">
        <f t="shared" si="53"/>
        <v>1.3041230751960748</v>
      </c>
      <c r="K414" s="15">
        <f t="shared" si="54"/>
        <v>0.12438206338951477</v>
      </c>
      <c r="L414" s="15">
        <f t="shared" si="55"/>
        <v>-1.0362636563700238</v>
      </c>
      <c r="M414" s="18">
        <f t="shared" si="56"/>
        <v>-4.5795854611539913E-2</v>
      </c>
      <c r="N414" s="18">
        <f t="shared" si="57"/>
        <v>-1.5537950719170631E-2</v>
      </c>
      <c r="O414" s="18">
        <f t="shared" si="58"/>
        <v>1.56494769023529E-2</v>
      </c>
      <c r="P414" s="18">
        <f t="shared" si="59"/>
        <v>7.4629238033708861E-4</v>
      </c>
      <c r="Q414" s="18">
        <f t="shared" si="60"/>
        <v>-4.1450546254800952E-3</v>
      </c>
      <c r="R414" s="28">
        <f>((Scenario_DT!I$11*(IF(Scenario_DT!I$18=1,1,1+$M414/Scenario_DT!$C$19)*(1+$N414)^MAX(0,Scenario_DT!I$18-3))*(Scenario_DT!I$12+$O414)-Scenario_DT!I$13)*(1-Scenario_DT!I$14)+Scenario_DT!I$13-Scenario_DT!I$15)*Scenario_DT!I$16</f>
        <v>933.04861582557658</v>
      </c>
      <c r="S414" s="28">
        <f>((Scenario_DT!J$11*(IF(Scenario_DT!J$18=1,1,1+$M414/Scenario_DT!$C$19)*(1+$N414)^MAX(0,Scenario_DT!J$18-3))*(Scenario_DT!J$12+$O414)-Scenario_DT!J$13)*(1-Scenario_DT!J$14)+Scenario_DT!J$13-Scenario_DT!J$15)*Scenario_DT!J$16</f>
        <v>1768.43674444199</v>
      </c>
      <c r="T414" s="28">
        <f>((Scenario_DT!K$11*(IF(Scenario_DT!K$18=1,1,1+$M414/Scenario_DT!$C$19)*(1+$N414)^MAX(0,Scenario_DT!K$18-3))*(Scenario_DT!K$12+$O414)-Scenario_DT!K$13)*(1-Scenario_DT!K$14)+Scenario_DT!K$13-Scenario_DT!K$15)*Scenario_DT!K$16</f>
        <v>2029.1584943006555</v>
      </c>
      <c r="U414" s="28">
        <f>((Scenario_DT!L$11*(IF(Scenario_DT!L$18=1,1,1+$M414/Scenario_DT!$C$19)*(1+$N414)^MAX(0,Scenario_DT!L$18-3))*(Scenario_DT!L$12+$O414)-Scenario_DT!L$13)*(1-Scenario_DT!L$14)+Scenario_DT!L$13-Scenario_DT!L$15)*Scenario_DT!L$16</f>
        <v>2388.070230716959</v>
      </c>
      <c r="V414" s="28">
        <f>((Scenario_DT!M$11*(IF(Scenario_DT!M$18=1,1,1+$M414/Scenario_DT!$C$19)*(1+$N414)^MAX(0,Scenario_DT!M$18-3))*(Scenario_DT!M$12+$O414)-Scenario_DT!M$13)*(1-Scenario_DT!M$14)+Scenario_DT!M$13-Scenario_DT!M$15)*Scenario_DT!M$16</f>
        <v>2467.5159979295818</v>
      </c>
      <c r="W414" s="28">
        <f>((Scenario_DT!N$11*(IF(Scenario_DT!N$18=1,1,1+$M414/Scenario_DT!$C$19)*(1+$N414)^MAX(0,Scenario_DT!N$18-3))*(Scenario_DT!N$12+$O414)-Scenario_DT!N$13)*(1-Scenario_DT!N$14)+Scenario_DT!N$13-Scenario_DT!N$15)*Scenario_DT!N$16</f>
        <v>2549.5693162158482</v>
      </c>
      <c r="X414" s="28">
        <f>((Scenario_DT!O$11*(IF(Scenario_DT!O$18=1,1,1+$M414/Scenario_DT!$C$19)*(1+$N414)^MAX(0,Scenario_DT!O$18-3))*(Scenario_DT!O$12+$O414)-Scenario_DT!O$13)*(1-Scenario_DT!O$14)+Scenario_DT!O$13-Scenario_DT!O$15)*Scenario_DT!O$16</f>
        <v>2634.3162486564756</v>
      </c>
      <c r="Y414" s="28">
        <f>((Scenario_DT!P$11*(IF(Scenario_DT!P$18=1,1,1+$M414/Scenario_DT!$C$19)*(1+$N414)^MAX(0,Scenario_DT!P$18-3))*(Scenario_DT!P$12+$O414)-Scenario_DT!P$13)*(1-Scenario_DT!P$14)+Scenario_DT!P$13-Scenario_DT!P$15)*Scenario_DT!P$16</f>
        <v>2721.8456925244759</v>
      </c>
      <c r="Z414" s="28">
        <f>((Scenario_DT!Q$11*(IF(Scenario_DT!Q$18=1,1,1+$M414/Scenario_DT!$C$19)*(1+$N414)^MAX(0,Scenario_DT!Q$18-3))*(Scenario_DT!Q$12+$O414)-Scenario_DT!Q$13)*(1-Scenario_DT!Q$14)+Scenario_DT!Q$13-Scenario_DT!Q$15)*Scenario_DT!Q$16</f>
        <v>2812.2494720747641</v>
      </c>
      <c r="AA414" s="28">
        <f>((Scenario_DT!R$11*(IF(Scenario_DT!R$18=1,1,1+$M414/Scenario_DT!$C$19)*(1+$N414)^MAX(0,Scenario_DT!R$18-3))*(Scenario_DT!R$12+$O414)-Scenario_DT!R$13)*(1-Scenario_DT!R$14)+Scenario_DT!R$13-Scenario_DT!R$15)*Scenario_DT!R$16</f>
        <v>2905.6224343455688</v>
      </c>
      <c r="AB414" s="17">
        <f>(Scenario_DT!$R$11*(1+$M414/Scenario_DT!$C$19)*(1+$N414)^7*(Scenario_DT!$R$12+$O414)*(1+MIN(DCF_FCFF!$C$26+$Q414,(DCF_FCFF!$C$25+$P414)-0.02))*(1-DCF_FCFF!$C$27)*(1-DCF_FCFF!$C$28)/((DCF_FCFF!$C$25+$P414)-MIN(DCF_FCFF!$C$26+$Q414,(DCF_FCFF!$C$25+$P414)-0.02)))*(1+(DCF_FCFF!$C$25+$P414))^(-(Inputs!$C$9+9))</f>
        <v>22135.788935816614</v>
      </c>
      <c r="AC414" s="17">
        <f>SUMPRODUCT(R414:AA414*(1+(DCF_FCFF!$C$25+$P414))^(-Scenario_DT!$I$17:$R$17))+AB414</f>
        <v>37402.009754714207</v>
      </c>
      <c r="AD414" s="68">
        <f>((AC414-DCF_FCFF!$C$48)*(1-DCF_FCFF!$C$50)+DCF_FCFF!$C$57+DCF_FCFF!$C$58)/DCF_FCFF!$C$60</f>
        <v>262.56880425005011</v>
      </c>
      <c r="AE414" s="6"/>
      <c r="AF414" s="6"/>
      <c r="AG414" s="6"/>
    </row>
    <row r="415" spans="1:33" x14ac:dyDescent="0.3">
      <c r="A415" s="6"/>
      <c r="B415" s="72">
        <v>384</v>
      </c>
      <c r="C415" s="73">
        <v>0.20279045260915901</v>
      </c>
      <c r="D415" s="73">
        <v>0.65998624423711405</v>
      </c>
      <c r="E415" s="73">
        <v>0.72481682224687305</v>
      </c>
      <c r="F415" s="73">
        <v>0.59942680857993502</v>
      </c>
      <c r="G415" s="73">
        <v>0.95314837991252599</v>
      </c>
      <c r="H415" s="15">
        <f t="shared" ref="H415:H478" si="61">NORMSINV(C415)</f>
        <v>-0.83169538683133226</v>
      </c>
      <c r="I415" s="15">
        <f t="shared" ref="I415:I478" si="62">NORMSINV(D415)</f>
        <v>0.41242558776964183</v>
      </c>
      <c r="J415" s="15">
        <f t="shared" ref="J415:J478" si="63">NORMSINV(E415)</f>
        <v>0.59721124039793794</v>
      </c>
      <c r="K415" s="15">
        <f t="shared" ref="K415:K478" si="64">NORMSINV(F415)</f>
        <v>0.25186374605385919</v>
      </c>
      <c r="L415" s="15">
        <f t="shared" ref="L415:L478" si="65">NORMSINV(G415)</f>
        <v>1.6761784693858339</v>
      </c>
      <c r="M415" s="18">
        <f t="shared" ref="M415:M478" si="66">H415*$C$5</f>
        <v>-1.6633907736626645E-2</v>
      </c>
      <c r="N415" s="18">
        <f t="shared" ref="N415:N478" si="67">($C$10*H415+SQRT(1-$C$10^2)*I415)*$C$6</f>
        <v>-4.6941325789142096E-4</v>
      </c>
      <c r="O415" s="18">
        <f t="shared" ref="O415:O478" si="68">J415*$C$7</f>
        <v>7.1665348847752552E-3</v>
      </c>
      <c r="P415" s="18">
        <f t="shared" ref="P415:P478" si="69">K415*$C$8</f>
        <v>1.5111824763231552E-3</v>
      </c>
      <c r="Q415" s="18">
        <f t="shared" ref="Q415:Q478" si="70">L415*$C$9</f>
        <v>6.7047138775433359E-3</v>
      </c>
      <c r="R415" s="28">
        <f>((Scenario_DT!I$11*(IF(Scenario_DT!I$18=1,1,1+$M415/Scenario_DT!$C$19)*(1+$N415)^MAX(0,Scenario_DT!I$18-3))*(Scenario_DT!I$12+$O415)-Scenario_DT!I$13)*(1-Scenario_DT!I$14)+Scenario_DT!I$13-Scenario_DT!I$15)*Scenario_DT!I$16</f>
        <v>921.08858048484274</v>
      </c>
      <c r="S415" s="28">
        <f>((Scenario_DT!J$11*(IF(Scenario_DT!J$18=1,1,1+$M415/Scenario_DT!$C$19)*(1+$N415)^MAX(0,Scenario_DT!J$18-3))*(Scenario_DT!J$12+$O415)-Scenario_DT!J$13)*(1-Scenario_DT!J$14)+Scenario_DT!J$13-Scenario_DT!J$15)*Scenario_DT!J$16</f>
        <v>1813.9274402821884</v>
      </c>
      <c r="T415" s="28">
        <f>((Scenario_DT!K$11*(IF(Scenario_DT!K$18=1,1,1+$M415/Scenario_DT!$C$19)*(1+$N415)^MAX(0,Scenario_DT!K$18-3))*(Scenario_DT!K$12+$O415)-Scenario_DT!K$13)*(1-Scenario_DT!K$14)+Scenario_DT!K$13-Scenario_DT!K$15)*Scenario_DT!K$16</f>
        <v>2077.2933204176602</v>
      </c>
      <c r="U415" s="28">
        <f>((Scenario_DT!L$11*(IF(Scenario_DT!L$18=1,1,1+$M415/Scenario_DT!$C$19)*(1+$N415)^MAX(0,Scenario_DT!L$18-3))*(Scenario_DT!L$12+$O415)-Scenario_DT!L$13)*(1-Scenario_DT!L$14)+Scenario_DT!L$13-Scenario_DT!L$15)*Scenario_DT!L$16</f>
        <v>2475.9656648643554</v>
      </c>
      <c r="V415" s="28">
        <f>((Scenario_DT!M$11*(IF(Scenario_DT!M$18=1,1,1+$M415/Scenario_DT!$C$19)*(1+$N415)^MAX(0,Scenario_DT!M$18-3))*(Scenario_DT!M$12+$O415)-Scenario_DT!M$13)*(1-Scenario_DT!M$14)+Scenario_DT!M$13-Scenario_DT!M$15)*Scenario_DT!M$16</f>
        <v>2597.8138372964077</v>
      </c>
      <c r="W415" s="28">
        <f>((Scenario_DT!N$11*(IF(Scenario_DT!N$18=1,1,1+$M415/Scenario_DT!$C$19)*(1+$N415)^MAX(0,Scenario_DT!N$18-3))*(Scenario_DT!N$12+$O415)-Scenario_DT!N$13)*(1-Scenario_DT!N$14)+Scenario_DT!N$13-Scenario_DT!N$15)*Scenario_DT!N$16</f>
        <v>2725.6505338180955</v>
      </c>
      <c r="X415" s="28">
        <f>((Scenario_DT!O$11*(IF(Scenario_DT!O$18=1,1,1+$M415/Scenario_DT!$C$19)*(1+$N415)^MAX(0,Scenario_DT!O$18-3))*(Scenario_DT!O$12+$O415)-Scenario_DT!O$13)*(1-Scenario_DT!O$14)+Scenario_DT!O$13-Scenario_DT!O$15)*Scenario_DT!O$16</f>
        <v>2859.772375751686</v>
      </c>
      <c r="Y415" s="28">
        <f>((Scenario_DT!P$11*(IF(Scenario_DT!P$18=1,1,1+$M415/Scenario_DT!$C$19)*(1+$N415)^MAX(0,Scenario_DT!P$18-3))*(Scenario_DT!P$12+$O415)-Scenario_DT!P$13)*(1-Scenario_DT!P$14)+Scenario_DT!P$13-Scenario_DT!P$15)*Scenario_DT!P$16</f>
        <v>3000.4906971337664</v>
      </c>
      <c r="Z415" s="28">
        <f>((Scenario_DT!Q$11*(IF(Scenario_DT!Q$18=1,1,1+$M415/Scenario_DT!$C$19)*(1+$N415)^MAX(0,Scenario_DT!Q$18-3))*(Scenario_DT!Q$12+$O415)-Scenario_DT!Q$13)*(1-Scenario_DT!Q$14)+Scenario_DT!Q$13-Scenario_DT!Q$15)*Scenario_DT!Q$16</f>
        <v>3148.1322745675911</v>
      </c>
      <c r="AA415" s="28">
        <f>((Scenario_DT!R$11*(IF(Scenario_DT!R$18=1,1,1+$M415/Scenario_DT!$C$19)*(1+$N415)^MAX(0,Scenario_DT!R$18-3))*(Scenario_DT!R$12+$O415)-Scenario_DT!R$13)*(1-Scenario_DT!R$14)+Scenario_DT!R$13-Scenario_DT!R$15)*Scenario_DT!R$16</f>
        <v>3303.0400932766543</v>
      </c>
      <c r="AB415" s="17">
        <f>(Scenario_DT!$R$11*(1+$M415/Scenario_DT!$C$19)*(1+$N415)^7*(Scenario_DT!$R$12+$O415)*(1+MIN(DCF_FCFF!$C$26+$Q415,(DCF_FCFF!$C$25+$P415)-0.02))*(1-DCF_FCFF!$C$27)*(1-DCF_FCFF!$C$28)/((DCF_FCFF!$C$25+$P415)-MIN(DCF_FCFF!$C$26+$Q415,(DCF_FCFF!$C$25+$P415)-0.02)))*(1+(DCF_FCFF!$C$25+$P415))^(-(Inputs!$C$9+9))</f>
        <v>30858.214686691226</v>
      </c>
      <c r="AC415" s="17">
        <f>SUMPRODUCT(R415:AA415*(1+(DCF_FCFF!$C$25+$P415))^(-Scenario_DT!$I$17:$R$17))+AB415</f>
        <v>47051.880213593104</v>
      </c>
      <c r="AD415" s="68">
        <f>((AC415-DCF_FCFF!$C$48)*(1-DCF_FCFF!$C$50)+DCF_FCFF!$C$57+DCF_FCFF!$C$58)/DCF_FCFF!$C$60</f>
        <v>355.19567657845624</v>
      </c>
      <c r="AE415" s="6"/>
      <c r="AF415" s="6"/>
      <c r="AG415" s="6"/>
    </row>
    <row r="416" spans="1:33" x14ac:dyDescent="0.3">
      <c r="A416" s="6"/>
      <c r="B416" s="72">
        <v>385</v>
      </c>
      <c r="C416" s="73">
        <v>0.49406360366177698</v>
      </c>
      <c r="D416" s="73">
        <v>0.30027191214252702</v>
      </c>
      <c r="E416" s="73">
        <v>0.47723290997579698</v>
      </c>
      <c r="F416" s="73">
        <v>0.35966629366661101</v>
      </c>
      <c r="G416" s="73">
        <v>0.22441589267468601</v>
      </c>
      <c r="H416" s="15">
        <f t="shared" si="61"/>
        <v>-1.488088809860051E-2</v>
      </c>
      <c r="I416" s="15">
        <f t="shared" si="62"/>
        <v>-0.52361862543766369</v>
      </c>
      <c r="J416" s="15">
        <f t="shared" si="63"/>
        <v>-5.7099644072317428E-2</v>
      </c>
      <c r="K416" s="15">
        <f t="shared" si="64"/>
        <v>-0.35935091826672955</v>
      </c>
      <c r="L416" s="15">
        <f t="shared" si="65"/>
        <v>-0.75736405405957474</v>
      </c>
      <c r="M416" s="18">
        <f t="shared" si="66"/>
        <v>-2.9761776197201019E-4</v>
      </c>
      <c r="N416" s="18">
        <f t="shared" si="67"/>
        <v>-3.6872598045840457E-3</v>
      </c>
      <c r="O416" s="18">
        <f t="shared" si="68"/>
        <v>-6.8519572886780919E-4</v>
      </c>
      <c r="P416" s="18">
        <f t="shared" si="69"/>
        <v>-2.1561055096003773E-3</v>
      </c>
      <c r="Q416" s="18">
        <f t="shared" si="70"/>
        <v>-3.0294562162382992E-3</v>
      </c>
      <c r="R416" s="28">
        <f>((Scenario_DT!I$11*(IF(Scenario_DT!I$18=1,1,1+$M416/Scenario_DT!$C$19)*(1+$N416)^MAX(0,Scenario_DT!I$18-3))*(Scenario_DT!I$12+$O416)-Scenario_DT!I$13)*(1-Scenario_DT!I$14)+Scenario_DT!I$13-Scenario_DT!I$15)*Scenario_DT!I$16</f>
        <v>910.01848529493031</v>
      </c>
      <c r="S416" s="28">
        <f>((Scenario_DT!J$11*(IF(Scenario_DT!J$18=1,1,1+$M416/Scenario_DT!$C$19)*(1+$N416)^MAX(0,Scenario_DT!J$18-3))*(Scenario_DT!J$12+$O416)-Scenario_DT!J$13)*(1-Scenario_DT!J$14)+Scenario_DT!J$13-Scenario_DT!J$15)*Scenario_DT!J$16</f>
        <v>1829.0668809073622</v>
      </c>
      <c r="T416" s="28">
        <f>((Scenario_DT!K$11*(IF(Scenario_DT!K$18=1,1,1+$M416/Scenario_DT!$C$19)*(1+$N416)^MAX(0,Scenario_DT!K$18-3))*(Scenario_DT!K$12+$O416)-Scenario_DT!K$13)*(1-Scenario_DT!K$14)+Scenario_DT!K$13-Scenario_DT!K$15)*Scenario_DT!K$16</f>
        <v>2093.5382058529572</v>
      </c>
      <c r="U416" s="28">
        <f>((Scenario_DT!L$11*(IF(Scenario_DT!L$18=1,1,1+$M416/Scenario_DT!$C$19)*(1+$N416)^MAX(0,Scenario_DT!L$18-3))*(Scenario_DT!L$12+$O416)-Scenario_DT!L$13)*(1-Scenario_DT!L$14)+Scenario_DT!L$13-Scenario_DT!L$15)*Scenario_DT!L$16</f>
        <v>2485.1251659836153</v>
      </c>
      <c r="V416" s="28">
        <f>((Scenario_DT!M$11*(IF(Scenario_DT!M$18=1,1,1+$M416/Scenario_DT!$C$19)*(1+$N416)^MAX(0,Scenario_DT!M$18-3))*(Scenario_DT!M$12+$O416)-Scenario_DT!M$13)*(1-Scenario_DT!M$14)+Scenario_DT!M$13-Scenario_DT!M$15)*Scenario_DT!M$16</f>
        <v>2598.9731940846641</v>
      </c>
      <c r="W416" s="28">
        <f>((Scenario_DT!N$11*(IF(Scenario_DT!N$18=1,1,1+$M416/Scenario_DT!$C$19)*(1+$N416)^MAX(0,Scenario_DT!N$18-3))*(Scenario_DT!N$12+$O416)-Scenario_DT!N$13)*(1-Scenario_DT!N$14)+Scenario_DT!N$13-Scenario_DT!N$15)*Scenario_DT!N$16</f>
        <v>2718.0237311296</v>
      </c>
      <c r="X416" s="28">
        <f>((Scenario_DT!O$11*(IF(Scenario_DT!O$18=1,1,1+$M416/Scenario_DT!$C$19)*(1+$N416)^MAX(0,Scenario_DT!O$18-3))*(Scenario_DT!O$12+$O416)-Scenario_DT!O$13)*(1-Scenario_DT!O$14)+Scenario_DT!O$13-Scenario_DT!O$15)*Scenario_DT!O$16</f>
        <v>2842.5164972875036</v>
      </c>
      <c r="Y416" s="28">
        <f>((Scenario_DT!P$11*(IF(Scenario_DT!P$18=1,1,1+$M416/Scenario_DT!$C$19)*(1+$N416)^MAX(0,Scenario_DT!P$18-3))*(Scenario_DT!P$12+$O416)-Scenario_DT!P$13)*(1-Scenario_DT!P$14)+Scenario_DT!P$13-Scenario_DT!P$15)*Scenario_DT!P$16</f>
        <v>2972.7022786812863</v>
      </c>
      <c r="Z416" s="28">
        <f>((Scenario_DT!Q$11*(IF(Scenario_DT!Q$18=1,1,1+$M416/Scenario_DT!$C$19)*(1+$N416)^MAX(0,Scenario_DT!Q$18-3))*(Scenario_DT!Q$12+$O416)-Scenario_DT!Q$13)*(1-Scenario_DT!Q$14)+Scenario_DT!Q$13-Scenario_DT!Q$15)*Scenario_DT!Q$16</f>
        <v>3108.843438424497</v>
      </c>
      <c r="AA416" s="28">
        <f>((Scenario_DT!R$11*(IF(Scenario_DT!R$18=1,1,1+$M416/Scenario_DT!$C$19)*(1+$N416)^MAX(0,Scenario_DT!R$18-3))*(Scenario_DT!R$12+$O416)-Scenario_DT!R$13)*(1-Scenario_DT!R$14)+Scenario_DT!R$13-Scenario_DT!R$15)*Scenario_DT!R$16</f>
        <v>3251.2144512608552</v>
      </c>
      <c r="AB416" s="17">
        <f>(Scenario_DT!$R$11*(1+$M416/Scenario_DT!$C$19)*(1+$N416)^7*(Scenario_DT!$R$12+$O416)*(1+MIN(DCF_FCFF!$C$26+$Q416,(DCF_FCFF!$C$25+$P416)-0.02))*(1-DCF_FCFF!$C$27)*(1-DCF_FCFF!$C$28)/((DCF_FCFF!$C$25+$P416)-MIN(DCF_FCFF!$C$26+$Q416,(DCF_FCFF!$C$25+$P416)-0.02)))*(1+(DCF_FCFF!$C$25+$P416))^(-(Inputs!$C$9+9))</f>
        <v>27393.508943984409</v>
      </c>
      <c r="AC416" s="17">
        <f>SUMPRODUCT(R416:AA416*(1+(DCF_FCFF!$C$25+$P416))^(-Scenario_DT!$I$17:$R$17))+AB416</f>
        <v>43789.462680373013</v>
      </c>
      <c r="AD416" s="68">
        <f>((AC416-DCF_FCFF!$C$48)*(1-DCF_FCFF!$C$50)+DCF_FCFF!$C$57+DCF_FCFF!$C$58)/DCF_FCFF!$C$60</f>
        <v>323.88048601509627</v>
      </c>
      <c r="AE416" s="6"/>
      <c r="AF416" s="6"/>
      <c r="AG416" s="6"/>
    </row>
    <row r="417" spans="1:33" x14ac:dyDescent="0.3">
      <c r="A417" s="6"/>
      <c r="B417" s="72">
        <v>386</v>
      </c>
      <c r="C417" s="73">
        <v>4.5963249340140101E-2</v>
      </c>
      <c r="D417" s="73">
        <v>0.35221249356512402</v>
      </c>
      <c r="E417" s="73">
        <v>0.71140934770974196</v>
      </c>
      <c r="F417" s="73">
        <v>1.8437802875193799E-2</v>
      </c>
      <c r="G417" s="73">
        <v>0.43917851320593498</v>
      </c>
      <c r="H417" s="15">
        <f t="shared" si="61"/>
        <v>-1.68532181704856</v>
      </c>
      <c r="I417" s="15">
        <f t="shared" si="62"/>
        <v>-0.37935402378837707</v>
      </c>
      <c r="J417" s="15">
        <f t="shared" si="63"/>
        <v>0.55750666794756221</v>
      </c>
      <c r="K417" s="15">
        <f t="shared" si="64"/>
        <v>-2.0871386219149604</v>
      </c>
      <c r="L417" s="15">
        <f t="shared" si="65"/>
        <v>-0.15305230666390512</v>
      </c>
      <c r="M417" s="18">
        <f t="shared" si="66"/>
        <v>-3.3706436340971202E-2</v>
      </c>
      <c r="N417" s="18">
        <f t="shared" si="67"/>
        <v>-9.3695290412228859E-3</v>
      </c>
      <c r="O417" s="18">
        <f t="shared" si="68"/>
        <v>6.6900800153707465E-3</v>
      </c>
      <c r="P417" s="18">
        <f t="shared" si="69"/>
        <v>-1.2522831731489763E-2</v>
      </c>
      <c r="Q417" s="18">
        <f t="shared" si="70"/>
        <v>-6.1220922665562055E-4</v>
      </c>
      <c r="R417" s="28">
        <f>((Scenario_DT!I$11*(IF(Scenario_DT!I$18=1,1,1+$M417/Scenario_DT!$C$19)*(1+$N417)^MAX(0,Scenario_DT!I$18-3))*(Scenario_DT!I$12+$O417)-Scenario_DT!I$13)*(1-Scenario_DT!I$14)+Scenario_DT!I$13-Scenario_DT!I$15)*Scenario_DT!I$16</f>
        <v>920.41683039336124</v>
      </c>
      <c r="S417" s="28">
        <f>((Scenario_DT!J$11*(IF(Scenario_DT!J$18=1,1,1+$M417/Scenario_DT!$C$19)*(1+$N417)^MAX(0,Scenario_DT!J$18-3))*(Scenario_DT!J$12+$O417)-Scenario_DT!J$13)*(1-Scenario_DT!J$14)+Scenario_DT!J$13-Scenario_DT!J$15)*Scenario_DT!J$16</f>
        <v>1771.1854184537901</v>
      </c>
      <c r="T417" s="28">
        <f>((Scenario_DT!K$11*(IF(Scenario_DT!K$18=1,1,1+$M417/Scenario_DT!$C$19)*(1+$N417)^MAX(0,Scenario_DT!K$18-3))*(Scenario_DT!K$12+$O417)-Scenario_DT!K$13)*(1-Scenario_DT!K$14)+Scenario_DT!K$13-Scenario_DT!K$15)*Scenario_DT!K$16</f>
        <v>2032.4180844081134</v>
      </c>
      <c r="U417" s="28">
        <f>((Scenario_DT!L$11*(IF(Scenario_DT!L$18=1,1,1+$M417/Scenario_DT!$C$19)*(1+$N417)^MAX(0,Scenario_DT!L$18-3))*(Scenario_DT!L$12+$O417)-Scenario_DT!L$13)*(1-Scenario_DT!L$14)+Scenario_DT!L$13-Scenario_DT!L$15)*Scenario_DT!L$16</f>
        <v>2406.5676157378839</v>
      </c>
      <c r="V417" s="28">
        <f>((Scenario_DT!M$11*(IF(Scenario_DT!M$18=1,1,1+$M417/Scenario_DT!$C$19)*(1+$N417)^MAX(0,Scenario_DT!M$18-3))*(Scenario_DT!M$12+$O417)-Scenario_DT!M$13)*(1-Scenario_DT!M$14)+Scenario_DT!M$13-Scenario_DT!M$15)*Scenario_DT!M$16</f>
        <v>2502.3327261551763</v>
      </c>
      <c r="W417" s="28">
        <f>((Scenario_DT!N$11*(IF(Scenario_DT!N$18=1,1,1+$M417/Scenario_DT!$C$19)*(1+$N417)^MAX(0,Scenario_DT!N$18-3))*(Scenario_DT!N$12+$O417)-Scenario_DT!N$13)*(1-Scenario_DT!N$14)+Scenario_DT!N$13-Scenario_DT!N$15)*Scenario_DT!N$16</f>
        <v>2601.8855001449183</v>
      </c>
      <c r="X417" s="28">
        <f>((Scenario_DT!O$11*(IF(Scenario_DT!O$18=1,1,1+$M417/Scenario_DT!$C$19)*(1+$N417)^MAX(0,Scenario_DT!O$18-3))*(Scenario_DT!O$12+$O417)-Scenario_DT!O$13)*(1-Scenario_DT!O$14)+Scenario_DT!O$13-Scenario_DT!O$15)*Scenario_DT!O$16</f>
        <v>2705.3770708944821</v>
      </c>
      <c r="Y417" s="28">
        <f>((Scenario_DT!P$11*(IF(Scenario_DT!P$18=1,1,1+$M417/Scenario_DT!$C$19)*(1+$N417)^MAX(0,Scenario_DT!P$18-3))*(Scenario_DT!P$12+$O417)-Scenario_DT!P$13)*(1-Scenario_DT!P$14)+Scenario_DT!P$13-Scenario_DT!P$15)*Scenario_DT!P$16</f>
        <v>2812.964614494826</v>
      </c>
      <c r="Z417" s="28">
        <f>((Scenario_DT!Q$11*(IF(Scenario_DT!Q$18=1,1,1+$M417/Scenario_DT!$C$19)*(1+$N417)^MAX(0,Scenario_DT!Q$18-3))*(Scenario_DT!Q$12+$O417)-Scenario_DT!Q$13)*(1-Scenario_DT!Q$14)+Scenario_DT!Q$13-Scenario_DT!Q$15)*Scenario_DT!Q$16</f>
        <v>2924.8115916533411</v>
      </c>
      <c r="AA417" s="28">
        <f>((Scenario_DT!R$11*(IF(Scenario_DT!R$18=1,1,1+$M417/Scenario_DT!$C$19)*(1+$N417)^MAX(0,Scenario_DT!R$18-3))*(Scenario_DT!R$12+$O417)-Scenario_DT!R$13)*(1-Scenario_DT!R$14)+Scenario_DT!R$13-Scenario_DT!R$15)*Scenario_DT!R$16</f>
        <v>3041.0879990751091</v>
      </c>
      <c r="AB417" s="17">
        <f>(Scenario_DT!$R$11*(1+$M417/Scenario_DT!$C$19)*(1+$N417)^7*(Scenario_DT!$R$12+$O417)*(1+MIN(DCF_FCFF!$C$26+$Q417,(DCF_FCFF!$C$25+$P417)-0.02))*(1-DCF_FCFF!$C$27)*(1-DCF_FCFF!$C$28)/((DCF_FCFF!$C$25+$P417)-MIN(DCF_FCFF!$C$26+$Q417,(DCF_FCFF!$C$25+$P417)-0.02)))*(1+(DCF_FCFF!$C$25+$P417))^(-(Inputs!$C$9+9))</f>
        <v>37482.607940417838</v>
      </c>
      <c r="AC417" s="17">
        <f>SUMPRODUCT(R417:AA417*(1+(DCF_FCFF!$C$25+$P417))^(-Scenario_DT!$I$17:$R$17))+AB417</f>
        <v>53919.884890442263</v>
      </c>
      <c r="AD417" s="68">
        <f>((AC417-DCF_FCFF!$C$48)*(1-DCF_FCFF!$C$50)+DCF_FCFF!$C$57+DCF_FCFF!$C$58)/DCF_FCFF!$C$60</f>
        <v>421.12006334243267</v>
      </c>
      <c r="AE417" s="6"/>
      <c r="AF417" s="6"/>
      <c r="AG417" s="6"/>
    </row>
    <row r="418" spans="1:33" x14ac:dyDescent="0.3">
      <c r="A418" s="6"/>
      <c r="B418" s="72">
        <v>387</v>
      </c>
      <c r="C418" s="73">
        <v>0.64400940144986796</v>
      </c>
      <c r="D418" s="73">
        <v>0.61040410917430699</v>
      </c>
      <c r="E418" s="73">
        <v>0.77664843588871602</v>
      </c>
      <c r="F418" s="73">
        <v>0.81051971565979797</v>
      </c>
      <c r="G418" s="73">
        <v>0.71170582091938805</v>
      </c>
      <c r="H418" s="15">
        <f t="shared" si="61"/>
        <v>0.36919659041144459</v>
      </c>
      <c r="I418" s="15">
        <f t="shared" si="62"/>
        <v>0.28037243672440265</v>
      </c>
      <c r="J418" s="15">
        <f t="shared" si="63"/>
        <v>0.76092288571448818</v>
      </c>
      <c r="K418" s="15">
        <f t="shared" si="64"/>
        <v>0.87981309658898643</v>
      </c>
      <c r="L418" s="15">
        <f t="shared" si="65"/>
        <v>0.5583749741270092</v>
      </c>
      <c r="M418" s="18">
        <f t="shared" si="66"/>
        <v>7.3839318082288916E-3</v>
      </c>
      <c r="N418" s="18">
        <f t="shared" si="67"/>
        <v>3.4192635834400004E-3</v>
      </c>
      <c r="O418" s="18">
        <f t="shared" si="68"/>
        <v>9.1310746285738591E-3</v>
      </c>
      <c r="P418" s="18">
        <f t="shared" si="69"/>
        <v>5.278878579533919E-3</v>
      </c>
      <c r="Q418" s="18">
        <f t="shared" si="70"/>
        <v>2.233499896508037E-3</v>
      </c>
      <c r="R418" s="28">
        <f>((Scenario_DT!I$11*(IF(Scenario_DT!I$18=1,1,1+$M418/Scenario_DT!$C$19)*(1+$N418)^MAX(0,Scenario_DT!I$18-3))*(Scenario_DT!I$12+$O418)-Scenario_DT!I$13)*(1-Scenario_DT!I$14)+Scenario_DT!I$13-Scenario_DT!I$15)*Scenario_DT!I$16</f>
        <v>923.85837010681848</v>
      </c>
      <c r="S418" s="28">
        <f>((Scenario_DT!J$11*(IF(Scenario_DT!J$18=1,1,1+$M418/Scenario_DT!$C$19)*(1+$N418)^MAX(0,Scenario_DT!J$18-3))*(Scenario_DT!J$12+$O418)-Scenario_DT!J$13)*(1-Scenario_DT!J$14)+Scenario_DT!J$13-Scenario_DT!J$15)*Scenario_DT!J$16</f>
        <v>1878.2021854294221</v>
      </c>
      <c r="T418" s="28">
        <f>((Scenario_DT!K$11*(IF(Scenario_DT!K$18=1,1,1+$M418/Scenario_DT!$C$19)*(1+$N418)^MAX(0,Scenario_DT!K$18-3))*(Scenario_DT!K$12+$O418)-Scenario_DT!K$13)*(1-Scenario_DT!K$14)+Scenario_DT!K$13-Scenario_DT!K$15)*Scenario_DT!K$16</f>
        <v>2144.7196660061809</v>
      </c>
      <c r="U418" s="28">
        <f>((Scenario_DT!L$11*(IF(Scenario_DT!L$18=1,1,1+$M418/Scenario_DT!$C$19)*(1+$N418)^MAX(0,Scenario_DT!L$18-3))*(Scenario_DT!L$12+$O418)-Scenario_DT!L$13)*(1-Scenario_DT!L$14)+Scenario_DT!L$13-Scenario_DT!L$15)*Scenario_DT!L$16</f>
        <v>2557.5006045253185</v>
      </c>
      <c r="V418" s="28">
        <f>((Scenario_DT!M$11*(IF(Scenario_DT!M$18=1,1,1+$M418/Scenario_DT!$C$19)*(1+$N418)^MAX(0,Scenario_DT!M$18-3))*(Scenario_DT!M$12+$O418)-Scenario_DT!M$13)*(1-Scenario_DT!M$14)+Scenario_DT!M$13-Scenario_DT!M$15)*Scenario_DT!M$16</f>
        <v>2693.896796721157</v>
      </c>
      <c r="W418" s="28">
        <f>((Scenario_DT!N$11*(IF(Scenario_DT!N$18=1,1,1+$M418/Scenario_DT!$C$19)*(1+$N418)^MAX(0,Scenario_DT!N$18-3))*(Scenario_DT!N$12+$O418)-Scenario_DT!N$13)*(1-Scenario_DT!N$14)+Scenario_DT!N$13-Scenario_DT!N$15)*Scenario_DT!N$16</f>
        <v>2837.565055037026</v>
      </c>
      <c r="X418" s="28">
        <f>((Scenario_DT!O$11*(IF(Scenario_DT!O$18=1,1,1+$M418/Scenario_DT!$C$19)*(1+$N418)^MAX(0,Scenario_DT!O$18-3))*(Scenario_DT!O$12+$O418)-Scenario_DT!O$13)*(1-Scenario_DT!O$14)+Scenario_DT!O$13-Scenario_DT!O$15)*Scenario_DT!O$16</f>
        <v>2988.8957332519694</v>
      </c>
      <c r="Y418" s="28">
        <f>((Scenario_DT!P$11*(IF(Scenario_DT!P$18=1,1,1+$M418/Scenario_DT!$C$19)*(1+$N418)^MAX(0,Scenario_DT!P$18-3))*(Scenario_DT!P$12+$O418)-Scenario_DT!P$13)*(1-Scenario_DT!P$14)+Scenario_DT!P$13-Scenario_DT!P$15)*Scenario_DT!P$16</f>
        <v>3148.3001560643274</v>
      </c>
      <c r="Z418" s="28">
        <f>((Scenario_DT!Q$11*(IF(Scenario_DT!Q$18=1,1,1+$M418/Scenario_DT!$C$19)*(1+$N418)^MAX(0,Scenario_DT!Q$18-3))*(Scenario_DT!Q$12+$O418)-Scenario_DT!Q$13)*(1-Scenario_DT!Q$14)+Scenario_DT!Q$13-Scenario_DT!Q$15)*Scenario_DT!Q$16</f>
        <v>3316.2117454670411</v>
      </c>
      <c r="AA418" s="28">
        <f>((Scenario_DT!R$11*(IF(Scenario_DT!R$18=1,1,1+$M418/Scenario_DT!$C$19)*(1+$N418)^MAX(0,Scenario_DT!R$18-3))*(Scenario_DT!R$12+$O418)-Scenario_DT!R$13)*(1-Scenario_DT!R$14)+Scenario_DT!R$13-Scenario_DT!R$15)*Scenario_DT!R$16</f>
        <v>3493.0872076010032</v>
      </c>
      <c r="AB418" s="17">
        <f>(Scenario_DT!$R$11*(1+$M418/Scenario_DT!$C$19)*(1+$N418)^7*(Scenario_DT!$R$12+$O418)*(1+MIN(DCF_FCFF!$C$26+$Q418,(DCF_FCFF!$C$25+$P418)-0.02))*(1-DCF_FCFF!$C$27)*(1-DCF_FCFF!$C$28)/((DCF_FCFF!$C$25+$P418)-MIN(DCF_FCFF!$C$26+$Q418,(DCF_FCFF!$C$25+$P418)-0.02)))*(1+(DCF_FCFF!$C$25+$P418))^(-(Inputs!$C$9+9))</f>
        <v>26590.411332246447</v>
      </c>
      <c r="AC418" s="17">
        <f>SUMPRODUCT(R418:AA418*(1+(DCF_FCFF!$C$25+$P418))^(-Scenario_DT!$I$17:$R$17))+AB418</f>
        <v>43166.534183045806</v>
      </c>
      <c r="AD418" s="68">
        <f>((AC418-DCF_FCFF!$C$48)*(1-DCF_FCFF!$C$50)+DCF_FCFF!$C$57+DCF_FCFF!$C$58)/DCF_FCFF!$C$60</f>
        <v>317.90113959407114</v>
      </c>
      <c r="AE418" s="6"/>
      <c r="AF418" s="6"/>
      <c r="AG418" s="6"/>
    </row>
    <row r="419" spans="1:33" x14ac:dyDescent="0.3">
      <c r="A419" s="6"/>
      <c r="B419" s="72">
        <v>388</v>
      </c>
      <c r="C419" s="73">
        <v>0.102797696144749</v>
      </c>
      <c r="D419" s="73">
        <v>0.475022444004361</v>
      </c>
      <c r="E419" s="73">
        <v>0.60340595748760895</v>
      </c>
      <c r="F419" s="73">
        <v>0.24556603880945199</v>
      </c>
      <c r="G419" s="73">
        <v>4.2551817646776499E-2</v>
      </c>
      <c r="H419" s="15">
        <f t="shared" si="61"/>
        <v>-1.2657701293211805</v>
      </c>
      <c r="I419" s="15">
        <f t="shared" si="62"/>
        <v>-6.2650408549387401E-2</v>
      </c>
      <c r="J419" s="15">
        <f t="shared" si="63"/>
        <v>0.26217297844506288</v>
      </c>
      <c r="K419" s="15">
        <f t="shared" si="64"/>
        <v>-0.688509360699048</v>
      </c>
      <c r="L419" s="15">
        <f t="shared" si="65"/>
        <v>-1.7218116953496134</v>
      </c>
      <c r="M419" s="18">
        <f t="shared" si="66"/>
        <v>-2.5315402586423612E-2</v>
      </c>
      <c r="N419" s="18">
        <f t="shared" si="67"/>
        <v>-5.4971352801746684E-3</v>
      </c>
      <c r="O419" s="18">
        <f t="shared" si="68"/>
        <v>3.1460757413407548E-3</v>
      </c>
      <c r="P419" s="18">
        <f t="shared" si="69"/>
        <v>-4.1310561641942885E-3</v>
      </c>
      <c r="Q419" s="18">
        <f t="shared" si="70"/>
        <v>-6.8872467813984543E-3</v>
      </c>
      <c r="R419" s="28">
        <f>((Scenario_DT!I$11*(IF(Scenario_DT!I$18=1,1,1+$M419/Scenario_DT!$C$19)*(1+$N419)^MAX(0,Scenario_DT!I$18-3))*(Scenario_DT!I$12+$O419)-Scenario_DT!I$13)*(1-Scenario_DT!I$14)+Scenario_DT!I$13-Scenario_DT!I$15)*Scenario_DT!I$16</f>
        <v>915.42016576011451</v>
      </c>
      <c r="S419" s="28">
        <f>((Scenario_DT!J$11*(IF(Scenario_DT!J$18=1,1,1+$M419/Scenario_DT!$C$19)*(1+$N419)^MAX(0,Scenario_DT!J$18-3))*(Scenario_DT!J$12+$O419)-Scenario_DT!J$13)*(1-Scenario_DT!J$14)+Scenario_DT!J$13-Scenario_DT!J$15)*Scenario_DT!J$16</f>
        <v>1780.7605525117251</v>
      </c>
      <c r="T419" s="28">
        <f>((Scenario_DT!K$11*(IF(Scenario_DT!K$18=1,1,1+$M419/Scenario_DT!$C$19)*(1+$N419)^MAX(0,Scenario_DT!K$18-3))*(Scenario_DT!K$12+$O419)-Scenario_DT!K$13)*(1-Scenario_DT!K$14)+Scenario_DT!K$13-Scenario_DT!K$15)*Scenario_DT!K$16</f>
        <v>2042.6263714070215</v>
      </c>
      <c r="U419" s="28">
        <f>((Scenario_DT!L$11*(IF(Scenario_DT!L$18=1,1,1+$M419/Scenario_DT!$C$19)*(1+$N419)^MAX(0,Scenario_DT!L$18-3))*(Scenario_DT!L$12+$O419)-Scenario_DT!L$13)*(1-Scenario_DT!L$14)+Scenario_DT!L$13-Scenario_DT!L$15)*Scenario_DT!L$16</f>
        <v>2426.8202411298448</v>
      </c>
      <c r="V419" s="28">
        <f>((Scenario_DT!M$11*(IF(Scenario_DT!M$18=1,1,1+$M419/Scenario_DT!$C$19)*(1+$N419)^MAX(0,Scenario_DT!M$18-3))*(Scenario_DT!M$12+$O419)-Scenario_DT!M$13)*(1-Scenario_DT!M$14)+Scenario_DT!M$13-Scenario_DT!M$15)*Scenario_DT!M$16</f>
        <v>2533.3348346024363</v>
      </c>
      <c r="W419" s="28">
        <f>((Scenario_DT!N$11*(IF(Scenario_DT!N$18=1,1,1+$M419/Scenario_DT!$C$19)*(1+$N419)^MAX(0,Scenario_DT!N$18-3))*(Scenario_DT!N$12+$O419)-Scenario_DT!N$13)*(1-Scenario_DT!N$14)+Scenario_DT!N$13-Scenario_DT!N$15)*Scenario_DT!N$16</f>
        <v>2644.5082661140359</v>
      </c>
      <c r="X419" s="28">
        <f>((Scenario_DT!O$11*(IF(Scenario_DT!O$18=1,1,1+$M419/Scenario_DT!$C$19)*(1+$N419)^MAX(0,Scenario_DT!O$18-3))*(Scenario_DT!O$12+$O419)-Scenario_DT!O$13)*(1-Scenario_DT!O$14)+Scenario_DT!O$13-Scenario_DT!O$15)*Scenario_DT!O$16</f>
        <v>2760.5460931217503</v>
      </c>
      <c r="Y419" s="28">
        <f>((Scenario_DT!P$11*(IF(Scenario_DT!P$18=1,1,1+$M419/Scenario_DT!$C$19)*(1+$N419)^MAX(0,Scenario_DT!P$18-3))*(Scenario_DT!P$12+$O419)-Scenario_DT!P$13)*(1-Scenario_DT!P$14)+Scenario_DT!P$13-Scenario_DT!P$15)*Scenario_DT!P$16</f>
        <v>2881.662961396381</v>
      </c>
      <c r="Z419" s="28">
        <f>((Scenario_DT!Q$11*(IF(Scenario_DT!Q$18=1,1,1+$M419/Scenario_DT!$C$19)*(1+$N419)^MAX(0,Scenario_DT!Q$18-3))*(Scenario_DT!Q$12+$O419)-Scenario_DT!Q$13)*(1-Scenario_DT!Q$14)+Scenario_DT!Q$13-Scenario_DT!Q$15)*Scenario_DT!Q$16</f>
        <v>3008.0830070644206</v>
      </c>
      <c r="AA419" s="28">
        <f>((Scenario_DT!R$11*(IF(Scenario_DT!R$18=1,1,1+$M419/Scenario_DT!$C$19)*(1+$N419)^MAX(0,Scenario_DT!R$18-3))*(Scenario_DT!R$12+$O419)-Scenario_DT!R$13)*(1-Scenario_DT!R$14)+Scenario_DT!R$13-Scenario_DT!R$15)*Scenario_DT!R$16</f>
        <v>3140.0402764391315</v>
      </c>
      <c r="AB419" s="17">
        <f>(Scenario_DT!$R$11*(1+$M419/Scenario_DT!$C$19)*(1+$N419)^7*(Scenario_DT!$R$12+$O419)*(1+MIN(DCF_FCFF!$C$26+$Q419,(DCF_FCFF!$C$25+$P419)-0.02))*(1-DCF_FCFF!$C$27)*(1-DCF_FCFF!$C$28)/((DCF_FCFF!$C$25+$P419)-MIN(DCF_FCFF!$C$26+$Q419,(DCF_FCFF!$C$25+$P419)-0.02)))*(1+(DCF_FCFF!$C$25+$P419))^(-(Inputs!$C$9+9))</f>
        <v>25873.76016491506</v>
      </c>
      <c r="AC419" s="17">
        <f>SUMPRODUCT(R419:AA419*(1+(DCF_FCFF!$C$25+$P419))^(-Scenario_DT!$I$17:$R$17))+AB419</f>
        <v>41977.105389067874</v>
      </c>
      <c r="AD419" s="68">
        <f>((AC419-DCF_FCFF!$C$48)*(1-DCF_FCFF!$C$50)+DCF_FCFF!$C$57+DCF_FCFF!$C$58)/DCF_FCFF!$C$60</f>
        <v>306.48408798565782</v>
      </c>
      <c r="AE419" s="6"/>
      <c r="AF419" s="6"/>
      <c r="AG419" s="6"/>
    </row>
    <row r="420" spans="1:33" x14ac:dyDescent="0.3">
      <c r="A420" s="6"/>
      <c r="B420" s="72">
        <v>389</v>
      </c>
      <c r="C420" s="73">
        <v>0.22359032087604699</v>
      </c>
      <c r="D420" s="73">
        <v>0.45489440173263901</v>
      </c>
      <c r="E420" s="73">
        <v>0.41393031905460098</v>
      </c>
      <c r="F420" s="73">
        <v>0.17666698132716199</v>
      </c>
      <c r="G420" s="73">
        <v>0.82441554268349304</v>
      </c>
      <c r="H420" s="15">
        <f t="shared" si="61"/>
        <v>-0.76012370931198503</v>
      </c>
      <c r="I420" s="15">
        <f t="shared" si="62"/>
        <v>-0.11330493677706466</v>
      </c>
      <c r="J420" s="15">
        <f t="shared" si="63"/>
        <v>-0.21744618960254231</v>
      </c>
      <c r="K420" s="15">
        <f t="shared" si="64"/>
        <v>-0.92814190940384711</v>
      </c>
      <c r="L420" s="15">
        <f t="shared" si="65"/>
        <v>0.93232437463960049</v>
      </c>
      <c r="M420" s="18">
        <f t="shared" si="66"/>
        <v>-1.5202474186239701E-2</v>
      </c>
      <c r="N420" s="18">
        <f t="shared" si="67"/>
        <v>-3.8254944662329616E-3</v>
      </c>
      <c r="O420" s="18">
        <f t="shared" si="68"/>
        <v>-2.6093542752305076E-3</v>
      </c>
      <c r="P420" s="18">
        <f t="shared" si="69"/>
        <v>-5.568851456423083E-3</v>
      </c>
      <c r="Q420" s="18">
        <f t="shared" si="70"/>
        <v>3.7292974985584019E-3</v>
      </c>
      <c r="R420" s="28">
        <f>((Scenario_DT!I$11*(IF(Scenario_DT!I$18=1,1,1+$M420/Scenario_DT!$C$19)*(1+$N420)^MAX(0,Scenario_DT!I$18-3))*(Scenario_DT!I$12+$O420)-Scenario_DT!I$13)*(1-Scenario_DT!I$14)+Scenario_DT!I$13-Scenario_DT!I$15)*Scenario_DT!I$16</f>
        <v>907.30562881565879</v>
      </c>
      <c r="S420" s="28">
        <f>((Scenario_DT!J$11*(IF(Scenario_DT!J$18=1,1,1+$M420/Scenario_DT!$C$19)*(1+$N420)^MAX(0,Scenario_DT!J$18-3))*(Scenario_DT!J$12+$O420)-Scenario_DT!J$13)*(1-Scenario_DT!J$14)+Scenario_DT!J$13-Scenario_DT!J$15)*Scenario_DT!J$16</f>
        <v>1787.5016080149071</v>
      </c>
      <c r="T420" s="28">
        <f>((Scenario_DT!K$11*(IF(Scenario_DT!K$18=1,1,1+$M420/Scenario_DT!$C$19)*(1+$N420)^MAX(0,Scenario_DT!K$18-3))*(Scenario_DT!K$12+$O420)-Scenario_DT!K$13)*(1-Scenario_DT!K$14)+Scenario_DT!K$13-Scenario_DT!K$15)*Scenario_DT!K$16</f>
        <v>2049.9561722559506</v>
      </c>
      <c r="U420" s="28">
        <f>((Scenario_DT!L$11*(IF(Scenario_DT!L$18=1,1,1+$M420/Scenario_DT!$C$19)*(1+$N420)^MAX(0,Scenario_DT!L$18-3))*(Scenario_DT!L$12+$O420)-Scenario_DT!L$13)*(1-Scenario_DT!L$14)+Scenario_DT!L$13-Scenario_DT!L$15)*Scenario_DT!L$16</f>
        <v>2438.6806432515664</v>
      </c>
      <c r="V420" s="28">
        <f>((Scenario_DT!M$11*(IF(Scenario_DT!M$18=1,1,1+$M420/Scenario_DT!$C$19)*(1+$N420)^MAX(0,Scenario_DT!M$18-3))*(Scenario_DT!M$12+$O420)-Scenario_DT!M$13)*(1-Scenario_DT!M$14)+Scenario_DT!M$13-Scenario_DT!M$15)*Scenario_DT!M$16</f>
        <v>2550.0298458577413</v>
      </c>
      <c r="W420" s="28">
        <f>((Scenario_DT!N$11*(IF(Scenario_DT!N$18=1,1,1+$M420/Scenario_DT!$C$19)*(1+$N420)^MAX(0,Scenario_DT!N$18-3))*(Scenario_DT!N$12+$O420)-Scenario_DT!N$13)*(1-Scenario_DT!N$14)+Scenario_DT!N$13-Scenario_DT!N$15)*Scenario_DT!N$16</f>
        <v>2666.4499015281635</v>
      </c>
      <c r="X420" s="28">
        <f>((Scenario_DT!O$11*(IF(Scenario_DT!O$18=1,1,1+$M420/Scenario_DT!$C$19)*(1+$N420)^MAX(0,Scenario_DT!O$18-3))*(Scenario_DT!O$12+$O420)-Scenario_DT!O$13)*(1-Scenario_DT!O$14)+Scenario_DT!O$13-Scenario_DT!O$15)*Scenario_DT!O$16</f>
        <v>2788.1737037353937</v>
      </c>
      <c r="Y420" s="28">
        <f>((Scenario_DT!P$11*(IF(Scenario_DT!P$18=1,1,1+$M420/Scenario_DT!$C$19)*(1+$N420)^MAX(0,Scenario_DT!P$18-3))*(Scenario_DT!P$12+$O420)-Scenario_DT!P$13)*(1-Scenario_DT!P$14)+Scenario_DT!P$13-Scenario_DT!P$15)*Scenario_DT!P$16</f>
        <v>2915.4448623473068</v>
      </c>
      <c r="Z420" s="28">
        <f>((Scenario_DT!Q$11*(IF(Scenario_DT!Q$18=1,1,1+$M420/Scenario_DT!$C$19)*(1+$N420)^MAX(0,Scenario_DT!Q$18-3))*(Scenario_DT!Q$12+$O420)-Scenario_DT!Q$13)*(1-Scenario_DT!Q$14)+Scenario_DT!Q$13-Scenario_DT!Q$15)*Scenario_DT!Q$16</f>
        <v>3048.5181969458213</v>
      </c>
      <c r="AA420" s="28">
        <f>((Scenario_DT!R$11*(IF(Scenario_DT!R$18=1,1,1+$M420/Scenario_DT!$C$19)*(1+$N420)^MAX(0,Scenario_DT!R$18-3))*(Scenario_DT!R$12+$O420)-Scenario_DT!R$13)*(1-Scenario_DT!R$14)+Scenario_DT!R$13-Scenario_DT!R$15)*Scenario_DT!R$16</f>
        <v>3187.6602528577801</v>
      </c>
      <c r="AB420" s="17">
        <f>(Scenario_DT!$R$11*(1+$M420/Scenario_DT!$C$19)*(1+$N420)^7*(Scenario_DT!$R$12+$O420)*(1+MIN(DCF_FCFF!$C$26+$Q420,(DCF_FCFF!$C$25+$P420)-0.02))*(1-DCF_FCFF!$C$27)*(1-DCF_FCFF!$C$28)/((DCF_FCFF!$C$25+$P420)-MIN(DCF_FCFF!$C$26+$Q420,(DCF_FCFF!$C$25+$P420)-0.02)))*(1+(DCF_FCFF!$C$25+$P420))^(-(Inputs!$C$9+9))</f>
        <v>34747.63391097101</v>
      </c>
      <c r="AC420" s="17">
        <f>SUMPRODUCT(R420:AA420*(1+(DCF_FCFF!$C$25+$P420))^(-Scenario_DT!$I$17:$R$17))+AB420</f>
        <v>51070.103026734556</v>
      </c>
      <c r="AD420" s="68">
        <f>((AC420-DCF_FCFF!$C$48)*(1-DCF_FCFF!$C$50)+DCF_FCFF!$C$57+DCF_FCFF!$C$58)/DCF_FCFF!$C$60</f>
        <v>393.76566703438857</v>
      </c>
      <c r="AE420" s="6"/>
      <c r="AF420" s="6"/>
      <c r="AG420" s="6"/>
    </row>
    <row r="421" spans="1:33" x14ac:dyDescent="0.3">
      <c r="A421" s="6"/>
      <c r="B421" s="72">
        <v>390</v>
      </c>
      <c r="C421" s="73">
        <v>0.925686668736725</v>
      </c>
      <c r="D421" s="73">
        <v>0.201348319052715</v>
      </c>
      <c r="E421" s="73">
        <v>0.92957291556722199</v>
      </c>
      <c r="F421" s="73">
        <v>1.78609591751808E-2</v>
      </c>
      <c r="G421" s="73">
        <v>0.92496247270694498</v>
      </c>
      <c r="H421" s="15">
        <f t="shared" si="61"/>
        <v>1.4443993889220783</v>
      </c>
      <c r="I421" s="15">
        <f t="shared" si="62"/>
        <v>-0.83681486916877268</v>
      </c>
      <c r="J421" s="15">
        <f t="shared" si="63"/>
        <v>1.4726176277906089</v>
      </c>
      <c r="K421" s="15">
        <f t="shared" si="64"/>
        <v>-2.1000787037443263</v>
      </c>
      <c r="L421" s="15">
        <f t="shared" si="65"/>
        <v>1.439266414793454</v>
      </c>
      <c r="M421" s="18">
        <f t="shared" si="66"/>
        <v>2.8887987778441565E-2</v>
      </c>
      <c r="N421" s="18">
        <f t="shared" si="67"/>
        <v>-2.002592402935477E-5</v>
      </c>
      <c r="O421" s="18">
        <f t="shared" si="68"/>
        <v>1.7671411533487308E-2</v>
      </c>
      <c r="P421" s="18">
        <f t="shared" si="69"/>
        <v>-1.2600472222465959E-2</v>
      </c>
      <c r="Q421" s="18">
        <f t="shared" si="70"/>
        <v>5.7570656591738158E-3</v>
      </c>
      <c r="R421" s="28">
        <f>((Scenario_DT!I$11*(IF(Scenario_DT!I$18=1,1,1+$M421/Scenario_DT!$C$19)*(1+$N421)^MAX(0,Scenario_DT!I$18-3))*(Scenario_DT!I$12+$O421)-Scenario_DT!I$13)*(1-Scenario_DT!I$14)+Scenario_DT!I$13-Scenario_DT!I$15)*Scenario_DT!I$16</f>
        <v>935.89932606206207</v>
      </c>
      <c r="S421" s="28">
        <f>((Scenario_DT!J$11*(IF(Scenario_DT!J$18=1,1,1+$M421/Scenario_DT!$C$19)*(1+$N421)^MAX(0,Scenario_DT!J$18-3))*(Scenario_DT!J$12+$O421)-Scenario_DT!J$13)*(1-Scenario_DT!J$14)+Scenario_DT!J$13-Scenario_DT!J$15)*Scenario_DT!J$16</f>
        <v>1957.736170839592</v>
      </c>
      <c r="T421" s="28">
        <f>((Scenario_DT!K$11*(IF(Scenario_DT!K$18=1,1,1+$M421/Scenario_DT!$C$19)*(1+$N421)^MAX(0,Scenario_DT!K$18-3))*(Scenario_DT!K$12+$O421)-Scenario_DT!K$13)*(1-Scenario_DT!K$14)+Scenario_DT!K$13-Scenario_DT!K$15)*Scenario_DT!K$16</f>
        <v>2227.8741101643914</v>
      </c>
      <c r="U421" s="28">
        <f>((Scenario_DT!L$11*(IF(Scenario_DT!L$18=1,1,1+$M421/Scenario_DT!$C$19)*(1+$N421)^MAX(0,Scenario_DT!L$18-3))*(Scenario_DT!L$12+$O421)-Scenario_DT!L$13)*(1-Scenario_DT!L$14)+Scenario_DT!L$13-Scenario_DT!L$15)*Scenario_DT!L$16</f>
        <v>2636.9664633932839</v>
      </c>
      <c r="V421" s="28">
        <f>((Scenario_DT!M$11*(IF(Scenario_DT!M$18=1,1,1+$M421/Scenario_DT!$C$19)*(1+$N421)^MAX(0,Scenario_DT!M$18-3))*(Scenario_DT!M$12+$O421)-Scenario_DT!M$13)*(1-Scenario_DT!M$14)+Scenario_DT!M$13-Scenario_DT!M$15)*Scenario_DT!M$16</f>
        <v>2768.0375538667599</v>
      </c>
      <c r="W421" s="28">
        <f>((Scenario_DT!N$11*(IF(Scenario_DT!N$18=1,1,1+$M421/Scenario_DT!$C$19)*(1+$N421)^MAX(0,Scenario_DT!N$18-3))*(Scenario_DT!N$12+$O421)-Scenario_DT!N$13)*(1-Scenario_DT!N$14)+Scenario_DT!N$13-Scenario_DT!N$15)*Scenario_DT!N$16</f>
        <v>2905.6163538139517</v>
      </c>
      <c r="X421" s="28">
        <f>((Scenario_DT!O$11*(IF(Scenario_DT!O$18=1,1,1+$M421/Scenario_DT!$C$19)*(1+$N421)^MAX(0,Scenario_DT!O$18-3))*(Scenario_DT!O$12+$O421)-Scenario_DT!O$13)*(1-Scenario_DT!O$14)+Scenario_DT!O$13-Scenario_DT!O$15)*Scenario_DT!O$16</f>
        <v>3050.0283158777092</v>
      </c>
      <c r="Y421" s="28">
        <f>((Scenario_DT!P$11*(IF(Scenario_DT!P$18=1,1,1+$M421/Scenario_DT!$C$19)*(1+$N421)^MAX(0,Scenario_DT!P$18-3))*(Scenario_DT!P$12+$O421)-Scenario_DT!P$13)*(1-Scenario_DT!P$14)+Scenario_DT!P$13-Scenario_DT!P$15)*Scenario_DT!P$16</f>
        <v>3201.6151891024397</v>
      </c>
      <c r="Z421" s="28">
        <f>((Scenario_DT!Q$11*(IF(Scenario_DT!Q$18=1,1,1+$M421/Scenario_DT!$C$19)*(1+$N421)^MAX(0,Scenario_DT!Q$18-3))*(Scenario_DT!Q$12+$O421)-Scenario_DT!Q$13)*(1-Scenario_DT!Q$14)+Scenario_DT!Q$13-Scenario_DT!Q$15)*Scenario_DT!Q$16</f>
        <v>3360.7358350035402</v>
      </c>
      <c r="AA421" s="28">
        <f>((Scenario_DT!R$11*(IF(Scenario_DT!R$18=1,1,1+$M421/Scenario_DT!$C$19)*(1+$N421)^MAX(0,Scenario_DT!R$18-3))*(Scenario_DT!R$12+$O421)-Scenario_DT!R$13)*(1-Scenario_DT!R$14)+Scenario_DT!R$13-Scenario_DT!R$15)*Scenario_DT!R$16</f>
        <v>3527.7670844969184</v>
      </c>
      <c r="AB421" s="17">
        <f>(Scenario_DT!$R$11*(1+$M421/Scenario_DT!$C$19)*(1+$N421)^7*(Scenario_DT!$R$12+$O421)*(1+MIN(DCF_FCFF!$C$26+$Q421,(DCF_FCFF!$C$25+$P421)-0.02))*(1-DCF_FCFF!$C$27)*(1-DCF_FCFF!$C$28)/((DCF_FCFF!$C$25+$P421)-MIN(DCF_FCFF!$C$26+$Q421,(DCF_FCFF!$C$25+$P421)-0.02)))*(1+(DCF_FCFF!$C$25+$P421))^(-(Inputs!$C$9+9))</f>
        <v>52519.422788272248</v>
      </c>
      <c r="AC421" s="17">
        <f>SUMPRODUCT(R421:AA421*(1+(DCF_FCFF!$C$25+$P421))^(-Scenario_DT!$I$17:$R$17))+AB421</f>
        <v>70849.794657387742</v>
      </c>
      <c r="AD421" s="68">
        <f>((AC421-DCF_FCFF!$C$48)*(1-DCF_FCFF!$C$50)+DCF_FCFF!$C$57+DCF_FCFF!$C$58)/DCF_FCFF!$C$60</f>
        <v>583.62634746269441</v>
      </c>
      <c r="AE421" s="6"/>
      <c r="AF421" s="6"/>
      <c r="AG421" s="6"/>
    </row>
    <row r="422" spans="1:33" x14ac:dyDescent="0.3">
      <c r="A422" s="6"/>
      <c r="B422" s="72">
        <v>391</v>
      </c>
      <c r="C422" s="73">
        <v>0.95192879008090803</v>
      </c>
      <c r="D422" s="73">
        <v>1.20518630159252E-2</v>
      </c>
      <c r="E422" s="73">
        <v>0.76301929677674796</v>
      </c>
      <c r="F422" s="73">
        <v>0.97020157256984296</v>
      </c>
      <c r="G422" s="73">
        <v>0.90590221881777799</v>
      </c>
      <c r="H422" s="15">
        <f t="shared" si="61"/>
        <v>1.663849946276909</v>
      </c>
      <c r="I422" s="15">
        <f t="shared" si="62"/>
        <v>-2.2554718698239751</v>
      </c>
      <c r="J422" s="15">
        <f t="shared" si="63"/>
        <v>0.71604849276000127</v>
      </c>
      <c r="K422" s="15">
        <f t="shared" si="64"/>
        <v>1.8837643713270797</v>
      </c>
      <c r="L422" s="15">
        <f t="shared" si="65"/>
        <v>1.3159358870904714</v>
      </c>
      <c r="M422" s="18">
        <f t="shared" si="66"/>
        <v>3.3276998925538183E-2</v>
      </c>
      <c r="N422" s="18">
        <f t="shared" si="67"/>
        <v>-8.9709677092023703E-3</v>
      </c>
      <c r="O422" s="18">
        <f t="shared" si="68"/>
        <v>8.5925819131200155E-3</v>
      </c>
      <c r="P422" s="18">
        <f t="shared" si="69"/>
        <v>1.1302586227962479E-2</v>
      </c>
      <c r="Q422" s="18">
        <f t="shared" si="70"/>
        <v>5.2637435483618858E-3</v>
      </c>
      <c r="R422" s="28">
        <f>((Scenario_DT!I$11*(IF(Scenario_DT!I$18=1,1,1+$M422/Scenario_DT!$C$19)*(1+$N422)^MAX(0,Scenario_DT!I$18-3))*(Scenario_DT!I$12+$O422)-Scenario_DT!I$13)*(1-Scenario_DT!I$14)+Scenario_DT!I$13-Scenario_DT!I$15)*Scenario_DT!I$16</f>
        <v>923.09915332869969</v>
      </c>
      <c r="S422" s="28">
        <f>((Scenario_DT!J$11*(IF(Scenario_DT!J$18=1,1,1+$M422/Scenario_DT!$C$19)*(1+$N422)^MAX(0,Scenario_DT!J$18-3))*(Scenario_DT!J$12+$O422)-Scenario_DT!J$13)*(1-Scenario_DT!J$14)+Scenario_DT!J$13-Scenario_DT!J$15)*Scenario_DT!J$16</f>
        <v>1939.2970469342663</v>
      </c>
      <c r="T422" s="28">
        <f>((Scenario_DT!K$11*(IF(Scenario_DT!K$18=1,1,1+$M422/Scenario_DT!$C$19)*(1+$N422)^MAX(0,Scenario_DT!K$18-3))*(Scenario_DT!K$12+$O422)-Scenario_DT!K$13)*(1-Scenario_DT!K$14)+Scenario_DT!K$13-Scenario_DT!K$15)*Scenario_DT!K$16</f>
        <v>2208.9143716968138</v>
      </c>
      <c r="U422" s="28">
        <f>((Scenario_DT!L$11*(IF(Scenario_DT!L$18=1,1,1+$M422/Scenario_DT!$C$19)*(1+$N422)^MAX(0,Scenario_DT!L$18-3))*(Scenario_DT!L$12+$O422)-Scenario_DT!L$13)*(1-Scenario_DT!L$14)+Scenario_DT!L$13-Scenario_DT!L$15)*Scenario_DT!L$16</f>
        <v>2593.2611882538695</v>
      </c>
      <c r="V422" s="28">
        <f>((Scenario_DT!M$11*(IF(Scenario_DT!M$18=1,1,1+$M422/Scenario_DT!$C$19)*(1+$N422)^MAX(0,Scenario_DT!M$18-3))*(Scenario_DT!M$12+$O422)-Scenario_DT!M$13)*(1-Scenario_DT!M$14)+Scenario_DT!M$13-Scenario_DT!M$15)*Scenario_DT!M$16</f>
        <v>2697.6165991782591</v>
      </c>
      <c r="W422" s="28">
        <f>((Scenario_DT!N$11*(IF(Scenario_DT!N$18=1,1,1+$M422/Scenario_DT!$C$19)*(1+$N422)^MAX(0,Scenario_DT!N$18-3))*(Scenario_DT!N$12+$O422)-Scenario_DT!N$13)*(1-Scenario_DT!N$14)+Scenario_DT!N$13-Scenario_DT!N$15)*Scenario_DT!N$16</f>
        <v>2806.149003918661</v>
      </c>
      <c r="X422" s="28">
        <f>((Scenario_DT!O$11*(IF(Scenario_DT!O$18=1,1,1+$M422/Scenario_DT!$C$19)*(1+$N422)^MAX(0,Scenario_DT!O$18-3))*(Scenario_DT!O$12+$O422)-Scenario_DT!O$13)*(1-Scenario_DT!O$14)+Scenario_DT!O$13-Scenario_DT!O$15)*Scenario_DT!O$16</f>
        <v>2919.0269707381267</v>
      </c>
      <c r="Y422" s="28">
        <f>((Scenario_DT!P$11*(IF(Scenario_DT!P$18=1,1,1+$M422/Scenario_DT!$C$19)*(1+$N422)^MAX(0,Scenario_DT!P$18-3))*(Scenario_DT!P$12+$O422)-Scenario_DT!P$13)*(1-Scenario_DT!P$14)+Scenario_DT!P$13-Scenario_DT!P$15)*Scenario_DT!P$16</f>
        <v>3036.4258840267362</v>
      </c>
      <c r="Z422" s="28">
        <f>((Scenario_DT!Q$11*(IF(Scenario_DT!Q$18=1,1,1+$M422/Scenario_DT!$C$19)*(1+$N422)^MAX(0,Scenario_DT!Q$18-3))*(Scenario_DT!Q$12+$O422)-Scenario_DT!Q$13)*(1-Scenario_DT!Q$14)+Scenario_DT!Q$13-Scenario_DT!Q$15)*Scenario_DT!Q$16</f>
        <v>3158.5282200308689</v>
      </c>
      <c r="AA422" s="28">
        <f>((Scenario_DT!R$11*(IF(Scenario_DT!R$18=1,1,1+$M422/Scenario_DT!$C$19)*(1+$N422)^MAX(0,Scenario_DT!R$18-3))*(Scenario_DT!R$12+$O422)-Scenario_DT!R$13)*(1-Scenario_DT!R$14)+Scenario_DT!R$13-Scenario_DT!R$15)*Scenario_DT!R$16</f>
        <v>3285.5238337372352</v>
      </c>
      <c r="AB422" s="17">
        <f>(Scenario_DT!$R$11*(1+$M422/Scenario_DT!$C$19)*(1+$N422)^7*(Scenario_DT!$R$12+$O422)*(1+MIN(DCF_FCFF!$C$26+$Q422,(DCF_FCFF!$C$25+$P422)-0.02))*(1-DCF_FCFF!$C$27)*(1-DCF_FCFF!$C$28)/((DCF_FCFF!$C$25+$P422)-MIN(DCF_FCFF!$C$26+$Q422,(DCF_FCFF!$C$25+$P422)-0.02)))*(1+(DCF_FCFF!$C$25+$P422))^(-(Inputs!$C$9+9))</f>
        <v>22562.125085073061</v>
      </c>
      <c r="AC422" s="17">
        <f>SUMPRODUCT(R422:AA422*(1+(DCF_FCFF!$C$25+$P422))^(-Scenario_DT!$I$17:$R$17))+AB422</f>
        <v>38589.648440026358</v>
      </c>
      <c r="AD422" s="68">
        <f>((AC422-DCF_FCFF!$C$48)*(1-DCF_FCFF!$C$50)+DCF_FCFF!$C$57+DCF_FCFF!$C$58)/DCF_FCFF!$C$60</f>
        <v>273.96867301983934</v>
      </c>
      <c r="AE422" s="6"/>
      <c r="AF422" s="6"/>
      <c r="AG422" s="6"/>
    </row>
    <row r="423" spans="1:33" x14ac:dyDescent="0.3">
      <c r="A423" s="6"/>
      <c r="B423" s="72">
        <v>392</v>
      </c>
      <c r="C423" s="73">
        <v>0.97071016119621301</v>
      </c>
      <c r="D423" s="73">
        <v>0.55032350569763899</v>
      </c>
      <c r="E423" s="73">
        <v>7.8156139885388304E-2</v>
      </c>
      <c r="F423" s="73">
        <v>0.84978919780503603</v>
      </c>
      <c r="G423" s="73">
        <v>0.61382825580901201</v>
      </c>
      <c r="H423" s="15">
        <f t="shared" si="61"/>
        <v>1.8913347134575147</v>
      </c>
      <c r="I423" s="15">
        <f t="shared" si="62"/>
        <v>0.1264787252291916</v>
      </c>
      <c r="J423" s="15">
        <f t="shared" si="63"/>
        <v>-1.4175839122961409</v>
      </c>
      <c r="K423" s="15">
        <f t="shared" si="64"/>
        <v>1.0355296983566635</v>
      </c>
      <c r="L423" s="15">
        <f t="shared" si="65"/>
        <v>0.28931087835685371</v>
      </c>
      <c r="M423" s="18">
        <f t="shared" si="66"/>
        <v>3.7826694269150293E-2</v>
      </c>
      <c r="N423" s="18">
        <f t="shared" si="67"/>
        <v>8.4416091665240733E-3</v>
      </c>
      <c r="O423" s="18">
        <f t="shared" si="68"/>
        <v>-1.701100694755369E-2</v>
      </c>
      <c r="P423" s="18">
        <f t="shared" si="69"/>
        <v>6.2131781901399816E-3</v>
      </c>
      <c r="Q423" s="18">
        <f t="shared" si="70"/>
        <v>1.1572435134274148E-3</v>
      </c>
      <c r="R423" s="28">
        <f>((Scenario_DT!I$11*(IF(Scenario_DT!I$18=1,1,1+$M423/Scenario_DT!$C$19)*(1+$N423)^MAX(0,Scenario_DT!I$18-3))*(Scenario_DT!I$12+$O423)-Scenario_DT!I$13)*(1-Scenario_DT!I$14)+Scenario_DT!I$13-Scenario_DT!I$15)*Scenario_DT!I$16</f>
        <v>887.00084840232478</v>
      </c>
      <c r="S423" s="28">
        <f>((Scenario_DT!J$11*(IF(Scenario_DT!J$18=1,1,1+$M423/Scenario_DT!$C$19)*(1+$N423)^MAX(0,Scenario_DT!J$18-3))*(Scenario_DT!J$12+$O423)-Scenario_DT!J$13)*(1-Scenario_DT!J$14)+Scenario_DT!J$13-Scenario_DT!J$15)*Scenario_DT!J$16</f>
        <v>1867.5600717783104</v>
      </c>
      <c r="T423" s="28">
        <f>((Scenario_DT!K$11*(IF(Scenario_DT!K$18=1,1,1+$M423/Scenario_DT!$C$19)*(1+$N423)^MAX(0,Scenario_DT!K$18-3))*(Scenario_DT!K$12+$O423)-Scenario_DT!K$13)*(1-Scenario_DT!K$14)+Scenario_DT!K$13-Scenario_DT!K$15)*Scenario_DT!K$16</f>
        <v>2134.7260619072567</v>
      </c>
      <c r="U423" s="28">
        <f>((Scenario_DT!L$11*(IF(Scenario_DT!L$18=1,1,1+$M423/Scenario_DT!$C$19)*(1+$N423)^MAX(0,Scenario_DT!L$18-3))*(Scenario_DT!L$12+$O423)-Scenario_DT!L$13)*(1-Scenario_DT!L$14)+Scenario_DT!L$13-Scenario_DT!L$15)*Scenario_DT!L$16</f>
        <v>2559.6853964863044</v>
      </c>
      <c r="V423" s="28">
        <f>((Scenario_DT!M$11*(IF(Scenario_DT!M$18=1,1,1+$M423/Scenario_DT!$C$19)*(1+$N423)^MAX(0,Scenario_DT!M$18-3))*(Scenario_DT!M$12+$O423)-Scenario_DT!M$13)*(1-Scenario_DT!M$14)+Scenario_DT!M$13-Scenario_DT!M$15)*Scenario_DT!M$16</f>
        <v>2709.7860671059443</v>
      </c>
      <c r="W423" s="28">
        <f>((Scenario_DT!N$11*(IF(Scenario_DT!N$18=1,1,1+$M423/Scenario_DT!$C$19)*(1+$N423)^MAX(0,Scenario_DT!N$18-3))*(Scenario_DT!N$12+$O423)-Scenario_DT!N$13)*(1-Scenario_DT!N$14)+Scenario_DT!N$13-Scenario_DT!N$15)*Scenario_DT!N$16</f>
        <v>2868.693034149816</v>
      </c>
      <c r="X423" s="28">
        <f>((Scenario_DT!O$11*(IF(Scenario_DT!O$18=1,1,1+$M423/Scenario_DT!$C$19)*(1+$N423)^MAX(0,Scenario_DT!O$18-3))*(Scenario_DT!O$12+$O423)-Scenario_DT!O$13)*(1-Scenario_DT!O$14)+Scenario_DT!O$13-Scenario_DT!O$15)*Scenario_DT!O$16</f>
        <v>3036.9259505729283</v>
      </c>
      <c r="Y423" s="28">
        <f>((Scenario_DT!P$11*(IF(Scenario_DT!P$18=1,1,1+$M423/Scenario_DT!$C$19)*(1+$N423)^MAX(0,Scenario_DT!P$18-3))*(Scenario_DT!P$12+$O423)-Scenario_DT!P$13)*(1-Scenario_DT!P$14)+Scenario_DT!P$13-Scenario_DT!P$15)*Scenario_DT!P$16</f>
        <v>3215.0351406904742</v>
      </c>
      <c r="Z423" s="28">
        <f>((Scenario_DT!Q$11*(IF(Scenario_DT!Q$18=1,1,1+$M423/Scenario_DT!$C$19)*(1+$N423)^MAX(0,Scenario_DT!Q$18-3))*(Scenario_DT!Q$12+$O423)-Scenario_DT!Q$13)*(1-Scenario_DT!Q$14)+Scenario_DT!Q$13-Scenario_DT!Q$15)*Scenario_DT!Q$16</f>
        <v>3403.6034095290584</v>
      </c>
      <c r="AA423" s="28">
        <f>((Scenario_DT!R$11*(IF(Scenario_DT!R$18=1,1,1+$M423/Scenario_DT!$C$19)*(1+$N423)^MAX(0,Scenario_DT!R$18-3))*(Scenario_DT!R$12+$O423)-Scenario_DT!R$13)*(1-Scenario_DT!R$14)+Scenario_DT!R$13-Scenario_DT!R$15)*Scenario_DT!R$16</f>
        <v>3603.2479588590786</v>
      </c>
      <c r="AB423" s="17">
        <f>(Scenario_DT!$R$11*(1+$M423/Scenario_DT!$C$19)*(1+$N423)^7*(Scenario_DT!$R$12+$O423)*(1+MIN(DCF_FCFF!$C$26+$Q423,(DCF_FCFF!$C$25+$P423)-0.02))*(1-DCF_FCFF!$C$27)*(1-DCF_FCFF!$C$28)/((DCF_FCFF!$C$25+$P423)-MIN(DCF_FCFF!$C$26+$Q423,(DCF_FCFF!$C$25+$P423)-0.02)))*(1+(DCF_FCFF!$C$25+$P423))^(-(Inputs!$C$9+9))</f>
        <v>26188.469157116022</v>
      </c>
      <c r="AC423" s="17">
        <f>SUMPRODUCT(R423:AA423*(1+(DCF_FCFF!$C$25+$P423))^(-Scenario_DT!$I$17:$R$17))+AB423</f>
        <v>42830.950035266789</v>
      </c>
      <c r="AD423" s="68">
        <f>((AC423-DCF_FCFF!$C$48)*(1-DCF_FCFF!$C$50)+DCF_FCFF!$C$57+DCF_FCFF!$C$58)/DCF_FCFF!$C$60</f>
        <v>314.67994505635966</v>
      </c>
      <c r="AE423" s="6"/>
      <c r="AF423" s="6"/>
      <c r="AG423" s="6"/>
    </row>
    <row r="424" spans="1:33" x14ac:dyDescent="0.3">
      <c r="A424" s="6"/>
      <c r="B424" s="72">
        <v>393</v>
      </c>
      <c r="C424" s="73">
        <v>0.61473674418828905</v>
      </c>
      <c r="D424" s="73">
        <v>0.41725360985868598</v>
      </c>
      <c r="E424" s="73">
        <v>0.57184197652110902</v>
      </c>
      <c r="F424" s="73">
        <v>0.153579779086115</v>
      </c>
      <c r="G424" s="73">
        <v>0.73977002656614999</v>
      </c>
      <c r="H424" s="15">
        <f t="shared" si="61"/>
        <v>0.29168626513034124</v>
      </c>
      <c r="I424" s="15">
        <f t="shared" si="62"/>
        <v>-0.20892444649932732</v>
      </c>
      <c r="J424" s="15">
        <f t="shared" si="63"/>
        <v>0.18106564908385644</v>
      </c>
      <c r="K424" s="15">
        <f t="shared" si="64"/>
        <v>-1.0212002832740563</v>
      </c>
      <c r="L424" s="15">
        <f t="shared" si="65"/>
        <v>0.64263657161843346</v>
      </c>
      <c r="M424" s="18">
        <f t="shared" si="66"/>
        <v>5.8337253026068247E-3</v>
      </c>
      <c r="N424" s="18">
        <f t="shared" si="67"/>
        <v>-2.8072596459879717E-4</v>
      </c>
      <c r="O424" s="18">
        <f t="shared" si="68"/>
        <v>2.1727877890062772E-3</v>
      </c>
      <c r="P424" s="18">
        <f t="shared" si="69"/>
        <v>-6.1272016996443378E-3</v>
      </c>
      <c r="Q424" s="18">
        <f t="shared" si="70"/>
        <v>2.570546286473734E-3</v>
      </c>
      <c r="R424" s="28">
        <f>((Scenario_DT!I$11*(IF(Scenario_DT!I$18=1,1,1+$M424/Scenario_DT!$C$19)*(1+$N424)^MAX(0,Scenario_DT!I$18-3))*(Scenario_DT!I$12+$O424)-Scenario_DT!I$13)*(1-Scenario_DT!I$14)+Scenario_DT!I$13-Scenario_DT!I$15)*Scenario_DT!I$16</f>
        <v>914.04793448911096</v>
      </c>
      <c r="S424" s="28">
        <f>((Scenario_DT!J$11*(IF(Scenario_DT!J$18=1,1,1+$M424/Scenario_DT!$C$19)*(1+$N424)^MAX(0,Scenario_DT!J$18-3))*(Scenario_DT!J$12+$O424)-Scenario_DT!J$13)*(1-Scenario_DT!J$14)+Scenario_DT!J$13-Scenario_DT!J$15)*Scenario_DT!J$16</f>
        <v>1852.6821902349029</v>
      </c>
      <c r="T424" s="28">
        <f>((Scenario_DT!K$11*(IF(Scenario_DT!K$18=1,1,1+$M424/Scenario_DT!$C$19)*(1+$N424)^MAX(0,Scenario_DT!K$18-3))*(Scenario_DT!K$12+$O424)-Scenario_DT!K$13)*(1-Scenario_DT!K$14)+Scenario_DT!K$13-Scenario_DT!K$15)*Scenario_DT!K$16</f>
        <v>2118.2198803524393</v>
      </c>
      <c r="U424" s="28">
        <f>((Scenario_DT!L$11*(IF(Scenario_DT!L$18=1,1,1+$M424/Scenario_DT!$C$19)*(1+$N424)^MAX(0,Scenario_DT!L$18-3))*(Scenario_DT!L$12+$O424)-Scenario_DT!L$13)*(1-Scenario_DT!L$14)+Scenario_DT!L$13-Scenario_DT!L$15)*Scenario_DT!L$16</f>
        <v>2519.8789353201887</v>
      </c>
      <c r="V424" s="28">
        <f>((Scenario_DT!M$11*(IF(Scenario_DT!M$18=1,1,1+$M424/Scenario_DT!$C$19)*(1+$N424)^MAX(0,Scenario_DT!M$18-3))*(Scenario_DT!M$12+$O424)-Scenario_DT!M$13)*(1-Scenario_DT!M$14)+Scenario_DT!M$13-Scenario_DT!M$15)*Scenario_DT!M$16</f>
        <v>2644.4037130017173</v>
      </c>
      <c r="W424" s="28">
        <f>((Scenario_DT!N$11*(IF(Scenario_DT!N$18=1,1,1+$M424/Scenario_DT!$C$19)*(1+$N424)^MAX(0,Scenario_DT!N$18-3))*(Scenario_DT!N$12+$O424)-Scenario_DT!N$13)*(1-Scenario_DT!N$14)+Scenario_DT!N$13-Scenario_DT!N$15)*Scenario_DT!N$16</f>
        <v>2775.074506929896</v>
      </c>
      <c r="X424" s="28">
        <f>((Scenario_DT!O$11*(IF(Scenario_DT!O$18=1,1,1+$M424/Scenario_DT!$C$19)*(1+$N424)^MAX(0,Scenario_DT!O$18-3))*(Scenario_DT!O$12+$O424)-Scenario_DT!O$13)*(1-Scenario_DT!O$14)+Scenario_DT!O$13-Scenario_DT!O$15)*Scenario_DT!O$16</f>
        <v>2912.1969771035037</v>
      </c>
      <c r="Y424" s="28">
        <f>((Scenario_DT!P$11*(IF(Scenario_DT!P$18=1,1,1+$M424/Scenario_DT!$C$19)*(1+$N424)^MAX(0,Scenario_DT!P$18-3))*(Scenario_DT!P$12+$O424)-Scenario_DT!P$13)*(1-Scenario_DT!P$14)+Scenario_DT!P$13-Scenario_DT!P$15)*Scenario_DT!P$16</f>
        <v>3056.0920054331386</v>
      </c>
      <c r="Z424" s="28">
        <f>((Scenario_DT!Q$11*(IF(Scenario_DT!Q$18=1,1,1+$M424/Scenario_DT!$C$19)*(1+$N424)^MAX(0,Scenario_DT!Q$18-3))*(Scenario_DT!Q$12+$O424)-Scenario_DT!Q$13)*(1-Scenario_DT!Q$14)+Scenario_DT!Q$13-Scenario_DT!Q$15)*Scenario_DT!Q$16</f>
        <v>3207.096453870216</v>
      </c>
      <c r="AA424" s="28">
        <f>((Scenario_DT!R$11*(IF(Scenario_DT!R$18=1,1,1+$M424/Scenario_DT!$C$19)*(1+$N424)^MAX(0,Scenario_DT!R$18-3))*(Scenario_DT!R$12+$O424)-Scenario_DT!R$13)*(1-Scenario_DT!R$14)+Scenario_DT!R$13-Scenario_DT!R$15)*Scenario_DT!R$16</f>
        <v>3365.563960289554</v>
      </c>
      <c r="AB424" s="17">
        <f>(Scenario_DT!$R$11*(1+$M424/Scenario_DT!$C$19)*(1+$N424)^7*(Scenario_DT!$R$12+$O424)*(1+MIN(DCF_FCFF!$C$26+$Q424,(DCF_FCFF!$C$25+$P424)-0.02))*(1-DCF_FCFF!$C$27)*(1-DCF_FCFF!$C$28)/((DCF_FCFF!$C$25+$P424)-MIN(DCF_FCFF!$C$26+$Q424,(DCF_FCFF!$C$25+$P424)-0.02)))*(1+(DCF_FCFF!$C$25+$P424))^(-(Inputs!$C$9+9))</f>
        <v>36278.251224253334</v>
      </c>
      <c r="AC424" s="17">
        <f>SUMPRODUCT(R424:AA424*(1+(DCF_FCFF!$C$25+$P424))^(-Scenario_DT!$I$17:$R$17))+AB424</f>
        <v>53295.40240204602</v>
      </c>
      <c r="AD424" s="68">
        <f>((AC424-DCF_FCFF!$C$48)*(1-DCF_FCFF!$C$50)+DCF_FCFF!$C$57+DCF_FCFF!$C$58)/DCF_FCFF!$C$60</f>
        <v>415.12580052092693</v>
      </c>
      <c r="AE424" s="6"/>
      <c r="AF424" s="6"/>
      <c r="AG424" s="6"/>
    </row>
    <row r="425" spans="1:33" x14ac:dyDescent="0.3">
      <c r="A425" s="6"/>
      <c r="B425" s="72">
        <v>394</v>
      </c>
      <c r="C425" s="73">
        <v>7.5017307351542301E-2</v>
      </c>
      <c r="D425" s="73">
        <v>0.72978076704379202</v>
      </c>
      <c r="E425" s="73">
        <v>0.84897842262485401</v>
      </c>
      <c r="F425" s="73">
        <v>0.47246867756448802</v>
      </c>
      <c r="G425" s="73">
        <v>0.50983036605704901</v>
      </c>
      <c r="H425" s="15">
        <f t="shared" si="61"/>
        <v>-1.4394092161467693</v>
      </c>
      <c r="I425" s="15">
        <f t="shared" si="62"/>
        <v>0.61215008034212104</v>
      </c>
      <c r="J425" s="15">
        <f t="shared" si="63"/>
        <v>1.0320618273531004</v>
      </c>
      <c r="K425" s="15">
        <f t="shared" si="64"/>
        <v>-6.9065659942235305E-2</v>
      </c>
      <c r="L425" s="15">
        <f t="shared" si="65"/>
        <v>2.4643567643420846E-2</v>
      </c>
      <c r="M425" s="18">
        <f t="shared" si="66"/>
        <v>-2.8788184322935388E-2</v>
      </c>
      <c r="N425" s="18">
        <f t="shared" si="67"/>
        <v>-1.5165367005473822E-3</v>
      </c>
      <c r="O425" s="18">
        <f t="shared" si="68"/>
        <v>1.2384741928237205E-2</v>
      </c>
      <c r="P425" s="18">
        <f t="shared" si="69"/>
        <v>-4.1439395965341185E-4</v>
      </c>
      <c r="Q425" s="18">
        <f t="shared" si="70"/>
        <v>9.8574270573683381E-5</v>
      </c>
      <c r="R425" s="28">
        <f>((Scenario_DT!I$11*(IF(Scenario_DT!I$18=1,1,1+$M425/Scenario_DT!$C$19)*(1+$N425)^MAX(0,Scenario_DT!I$18-3))*(Scenario_DT!I$12+$O425)-Scenario_DT!I$13)*(1-Scenario_DT!I$14)+Scenario_DT!I$13-Scenario_DT!I$15)*Scenario_DT!I$16</f>
        <v>928.44569085124067</v>
      </c>
      <c r="S425" s="28">
        <f>((Scenario_DT!J$11*(IF(Scenario_DT!J$18=1,1,1+$M425/Scenario_DT!$C$19)*(1+$N425)^MAX(0,Scenario_DT!J$18-3))*(Scenario_DT!J$12+$O425)-Scenario_DT!J$13)*(1-Scenario_DT!J$14)+Scenario_DT!J$13-Scenario_DT!J$15)*Scenario_DT!J$16</f>
        <v>1800.2353824960205</v>
      </c>
      <c r="T425" s="28">
        <f>((Scenario_DT!K$11*(IF(Scenario_DT!K$18=1,1,1+$M425/Scenario_DT!$C$19)*(1+$N425)^MAX(0,Scenario_DT!K$18-3))*(Scenario_DT!K$12+$O425)-Scenario_DT!K$13)*(1-Scenario_DT!K$14)+Scenario_DT!K$13-Scenario_DT!K$15)*Scenario_DT!K$16</f>
        <v>2062.6905942333728</v>
      </c>
      <c r="U425" s="28">
        <f>((Scenario_DT!L$11*(IF(Scenario_DT!L$18=1,1,1+$M425/Scenario_DT!$C$19)*(1+$N425)^MAX(0,Scenario_DT!L$18-3))*(Scenario_DT!L$12+$O425)-Scenario_DT!L$13)*(1-Scenario_DT!L$14)+Scenario_DT!L$13-Scenario_DT!L$15)*Scenario_DT!L$16</f>
        <v>2457.8728016644859</v>
      </c>
      <c r="V425" s="28">
        <f>((Scenario_DT!M$11*(IF(Scenario_DT!M$18=1,1,1+$M425/Scenario_DT!$C$19)*(1+$N425)^MAX(0,Scenario_DT!M$18-3))*(Scenario_DT!M$12+$O425)-Scenario_DT!M$13)*(1-Scenario_DT!M$14)+Scenario_DT!M$13-Scenario_DT!M$15)*Scenario_DT!M$16</f>
        <v>2576.1043139908256</v>
      </c>
      <c r="W425" s="28">
        <f>((Scenario_DT!N$11*(IF(Scenario_DT!N$18=1,1,1+$M425/Scenario_DT!$C$19)*(1+$N425)^MAX(0,Scenario_DT!N$18-3))*(Scenario_DT!N$12+$O425)-Scenario_DT!N$13)*(1-Scenario_DT!N$14)+Scenario_DT!N$13-Scenario_DT!N$15)*Scenario_DT!N$16</f>
        <v>2700.013585980857</v>
      </c>
      <c r="X425" s="28">
        <f>((Scenario_DT!O$11*(IF(Scenario_DT!O$18=1,1,1+$M425/Scenario_DT!$C$19)*(1+$N425)^MAX(0,Scenario_DT!O$18-3))*(Scenario_DT!O$12+$O425)-Scenario_DT!O$13)*(1-Scenario_DT!O$14)+Scenario_DT!O$13-Scenario_DT!O$15)*Scenario_DT!O$16</f>
        <v>2829.8754779422188</v>
      </c>
      <c r="Y425" s="28">
        <f>((Scenario_DT!P$11*(IF(Scenario_DT!P$18=1,1,1+$M425/Scenario_DT!$C$19)*(1+$N425)^MAX(0,Scenario_DT!P$18-3))*(Scenario_DT!P$12+$O425)-Scenario_DT!P$13)*(1-Scenario_DT!P$14)+Scenario_DT!P$13-Scenario_DT!P$15)*Scenario_DT!P$16</f>
        <v>2965.9781769264396</v>
      </c>
      <c r="Z425" s="28">
        <f>((Scenario_DT!Q$11*(IF(Scenario_DT!Q$18=1,1,1+$M425/Scenario_DT!$C$19)*(1+$N425)^MAX(0,Scenario_DT!Q$18-3))*(Scenario_DT!Q$12+$O425)-Scenario_DT!Q$13)*(1-Scenario_DT!Q$14)+Scenario_DT!Q$13-Scenario_DT!Q$15)*Scenario_DT!Q$16</f>
        <v>3108.6238430250933</v>
      </c>
      <c r="AA425" s="28">
        <f>((Scenario_DT!R$11*(IF(Scenario_DT!R$18=1,1,1+$M425/Scenario_DT!$C$19)*(1+$N425)^MAX(0,Scenario_DT!R$18-3))*(Scenario_DT!R$12+$O425)-Scenario_DT!R$13)*(1-Scenario_DT!R$14)+Scenario_DT!R$13-Scenario_DT!R$15)*Scenario_DT!R$16</f>
        <v>3258.1292870073066</v>
      </c>
      <c r="AB425" s="17">
        <f>(Scenario_DT!$R$11*(1+$M425/Scenario_DT!$C$19)*(1+$N425)^7*(Scenario_DT!$R$12+$O425)*(1+MIN(DCF_FCFF!$C$26+$Q425,(DCF_FCFF!$C$25+$P425)-0.02))*(1-DCF_FCFF!$C$27)*(1-DCF_FCFF!$C$28)/((DCF_FCFF!$C$25+$P425)-MIN(DCF_FCFF!$C$26+$Q425,(DCF_FCFF!$C$25+$P425)-0.02)))*(1+(DCF_FCFF!$C$25+$P425))^(-(Inputs!$C$9+9))</f>
        <v>27873.861070155053</v>
      </c>
      <c r="AC425" s="17">
        <f>SUMPRODUCT(R425:AA425*(1+(DCF_FCFF!$C$25+$P425))^(-Scenario_DT!$I$17:$R$17))+AB425</f>
        <v>44058.161811195256</v>
      </c>
      <c r="AD425" s="68">
        <f>((AC425-DCF_FCFF!$C$48)*(1-DCF_FCFF!$C$50)+DCF_FCFF!$C$57+DCF_FCFF!$C$58)/DCF_FCFF!$C$60</f>
        <v>326.4596667607326</v>
      </c>
      <c r="AE425" s="6"/>
      <c r="AF425" s="6"/>
      <c r="AG425" s="6"/>
    </row>
    <row r="426" spans="1:33" x14ac:dyDescent="0.3">
      <c r="A426" s="6"/>
      <c r="B426" s="72">
        <v>395</v>
      </c>
      <c r="C426" s="73">
        <v>0.31221427292207798</v>
      </c>
      <c r="D426" s="73">
        <v>0.96945858372558802</v>
      </c>
      <c r="E426" s="73">
        <v>0.73312447455954499</v>
      </c>
      <c r="F426" s="73">
        <v>0.36898855330034502</v>
      </c>
      <c r="G426" s="73">
        <v>0.17480738623300501</v>
      </c>
      <c r="H426" s="15">
        <f t="shared" si="61"/>
        <v>-0.48958365367063034</v>
      </c>
      <c r="I426" s="15">
        <f t="shared" si="62"/>
        <v>1.8728953853944796</v>
      </c>
      <c r="J426" s="15">
        <f t="shared" si="63"/>
        <v>0.62229021997151823</v>
      </c>
      <c r="K426" s="15">
        <f t="shared" si="64"/>
        <v>-0.33453338019239875</v>
      </c>
      <c r="L426" s="15">
        <f t="shared" si="65"/>
        <v>-0.93533676800651511</v>
      </c>
      <c r="M426" s="18">
        <f t="shared" si="66"/>
        <v>-9.7916730734126066E-3</v>
      </c>
      <c r="N426" s="18">
        <f t="shared" si="67"/>
        <v>1.1017465244375607E-2</v>
      </c>
      <c r="O426" s="18">
        <f t="shared" si="68"/>
        <v>7.4674826396582189E-3</v>
      </c>
      <c r="P426" s="18">
        <f t="shared" si="69"/>
        <v>-2.0072002811543925E-3</v>
      </c>
      <c r="Q426" s="18">
        <f t="shared" si="70"/>
        <v>-3.7413470720260604E-3</v>
      </c>
      <c r="R426" s="28">
        <f>((Scenario_DT!I$11*(IF(Scenario_DT!I$18=1,1,1+$M426/Scenario_DT!$C$19)*(1+$N426)^MAX(0,Scenario_DT!I$18-3))*(Scenario_DT!I$12+$O426)-Scenario_DT!I$13)*(1-Scenario_DT!I$14)+Scenario_DT!I$13-Scenario_DT!I$15)*Scenario_DT!I$16</f>
        <v>921.51288443230078</v>
      </c>
      <c r="S426" s="28">
        <f>((Scenario_DT!J$11*(IF(Scenario_DT!J$18=1,1,1+$M426/Scenario_DT!$C$19)*(1+$N426)^MAX(0,Scenario_DT!J$18-3))*(Scenario_DT!J$12+$O426)-Scenario_DT!J$13)*(1-Scenario_DT!J$14)+Scenario_DT!J$13-Scenario_DT!J$15)*Scenario_DT!J$16</f>
        <v>1831.4107214229239</v>
      </c>
      <c r="T426" s="28">
        <f>((Scenario_DT!K$11*(IF(Scenario_DT!K$18=1,1,1+$M426/Scenario_DT!$C$19)*(1+$N426)^MAX(0,Scenario_DT!K$18-3))*(Scenario_DT!K$12+$O426)-Scenario_DT!K$13)*(1-Scenario_DT!K$14)+Scenario_DT!K$13-Scenario_DT!K$15)*Scenario_DT!K$16</f>
        <v>2095.6443764652604</v>
      </c>
      <c r="U426" s="28">
        <f>((Scenario_DT!L$11*(IF(Scenario_DT!L$18=1,1,1+$M426/Scenario_DT!$C$19)*(1+$N426)^MAX(0,Scenario_DT!L$18-3))*(Scenario_DT!L$12+$O426)-Scenario_DT!L$13)*(1-Scenario_DT!L$14)+Scenario_DT!L$13-Scenario_DT!L$15)*Scenario_DT!L$16</f>
        <v>2524.3134713282993</v>
      </c>
      <c r="V426" s="28">
        <f>((Scenario_DT!M$11*(IF(Scenario_DT!M$18=1,1,1+$M426/Scenario_DT!$C$19)*(1+$N426)^MAX(0,Scenario_DT!M$18-3))*(Scenario_DT!M$12+$O426)-Scenario_DT!M$13)*(1-Scenario_DT!M$14)+Scenario_DT!M$13-Scenario_DT!M$15)*Scenario_DT!M$16</f>
        <v>2679.2050421550935</v>
      </c>
      <c r="W426" s="28">
        <f>((Scenario_DT!N$11*(IF(Scenario_DT!N$18=1,1,1+$M426/Scenario_DT!$C$19)*(1+$N426)^MAX(0,Scenario_DT!N$18-3))*(Scenario_DT!N$12+$O426)-Scenario_DT!N$13)*(1-Scenario_DT!N$14)+Scenario_DT!N$13-Scenario_DT!N$15)*Scenario_DT!N$16</f>
        <v>2843.608080028223</v>
      </c>
      <c r="X426" s="28">
        <f>((Scenario_DT!O$11*(IF(Scenario_DT!O$18=1,1,1+$M426/Scenario_DT!$C$19)*(1+$N426)^MAX(0,Scenario_DT!O$18-3))*(Scenario_DT!O$12+$O426)-Scenario_DT!O$13)*(1-Scenario_DT!O$14)+Scenario_DT!O$13-Scenario_DT!O$15)*Scenario_DT!O$16</f>
        <v>3018.1098001398864</v>
      </c>
      <c r="Y426" s="28">
        <f>((Scenario_DT!P$11*(IF(Scenario_DT!P$18=1,1,1+$M426/Scenario_DT!$C$19)*(1+$N426)^MAX(0,Scenario_DT!P$18-3))*(Scenario_DT!P$12+$O426)-Scenario_DT!P$13)*(1-Scenario_DT!P$14)+Scenario_DT!P$13-Scenario_DT!P$15)*Scenario_DT!P$16</f>
        <v>3203.333670062962</v>
      </c>
      <c r="Z426" s="28">
        <f>((Scenario_DT!Q$11*(IF(Scenario_DT!Q$18=1,1,1+$M426/Scenario_DT!$C$19)*(1+$N426)^MAX(0,Scenario_DT!Q$18-3))*(Scenario_DT!Q$12+$O426)-Scenario_DT!Q$13)*(1-Scenario_DT!Q$14)+Scenario_DT!Q$13-Scenario_DT!Q$15)*Scenario_DT!Q$16</f>
        <v>3399.9416463808748</v>
      </c>
      <c r="AA426" s="28">
        <f>((Scenario_DT!R$11*(IF(Scenario_DT!R$18=1,1,1+$M426/Scenario_DT!$C$19)*(1+$N426)^MAX(0,Scenario_DT!R$18-3))*(Scenario_DT!R$12+$O426)-Scenario_DT!R$13)*(1-Scenario_DT!R$14)+Scenario_DT!R$13-Scenario_DT!R$15)*Scenario_DT!R$16</f>
        <v>3608.6365492302521</v>
      </c>
      <c r="AB426" s="17">
        <f>(Scenario_DT!$R$11*(1+$M426/Scenario_DT!$C$19)*(1+$N426)^7*(Scenario_DT!$R$12+$O426)*(1+MIN(DCF_FCFF!$C$26+$Q426,(DCF_FCFF!$C$25+$P426)-0.02))*(1-DCF_FCFF!$C$27)*(1-DCF_FCFF!$C$28)/((DCF_FCFF!$C$25+$P426)-MIN(DCF_FCFF!$C$26+$Q426,(DCF_FCFF!$C$25+$P426)-0.02)))*(1+(DCF_FCFF!$C$25+$P426))^(-(Inputs!$C$9+9))</f>
        <v>29818.314692952168</v>
      </c>
      <c r="AC426" s="17">
        <f>SUMPRODUCT(R426:AA426*(1+(DCF_FCFF!$C$25+$P426))^(-Scenario_DT!$I$17:$R$17))+AB426</f>
        <v>46938.426176714973</v>
      </c>
      <c r="AD426" s="68">
        <f>((AC426-DCF_FCFF!$C$48)*(1-DCF_FCFF!$C$50)+DCF_FCFF!$C$57+DCF_FCFF!$C$58)/DCF_FCFF!$C$60</f>
        <v>354.10665754614547</v>
      </c>
      <c r="AE426" s="6"/>
      <c r="AF426" s="6"/>
      <c r="AG426" s="6"/>
    </row>
    <row r="427" spans="1:33" x14ac:dyDescent="0.3">
      <c r="A427" s="6"/>
      <c r="B427" s="72">
        <v>396</v>
      </c>
      <c r="C427" s="73">
        <v>0.219579592202091</v>
      </c>
      <c r="D427" s="73">
        <v>0.46392228611004999</v>
      </c>
      <c r="E427" s="73">
        <v>0.94256840031433797</v>
      </c>
      <c r="F427" s="73">
        <v>0.73414634576091797</v>
      </c>
      <c r="G427" s="73">
        <v>0.21524374817915001</v>
      </c>
      <c r="H427" s="15">
        <f t="shared" si="61"/>
        <v>-0.77361384130779387</v>
      </c>
      <c r="I427" s="15">
        <f t="shared" si="62"/>
        <v>-9.055703560732839E-2</v>
      </c>
      <c r="J427" s="15">
        <f t="shared" si="63"/>
        <v>1.5767059557062553</v>
      </c>
      <c r="K427" s="15">
        <f t="shared" si="64"/>
        <v>0.62540191061580075</v>
      </c>
      <c r="L427" s="15">
        <f t="shared" si="65"/>
        <v>-0.78835771642927899</v>
      </c>
      <c r="M427" s="18">
        <f t="shared" si="66"/>
        <v>-1.5472276826155878E-2</v>
      </c>
      <c r="N427" s="18">
        <f t="shared" si="67"/>
        <v>-3.7218529118500424E-3</v>
      </c>
      <c r="O427" s="18">
        <f t="shared" si="68"/>
        <v>1.8920471468475062E-2</v>
      </c>
      <c r="P427" s="18">
        <f t="shared" si="69"/>
        <v>3.7524114636948045E-3</v>
      </c>
      <c r="Q427" s="18">
        <f t="shared" si="70"/>
        <v>-3.1534308657171161E-3</v>
      </c>
      <c r="R427" s="28">
        <f>((Scenario_DT!I$11*(IF(Scenario_DT!I$18=1,1,1+$M427/Scenario_DT!$C$19)*(1+$N427)^MAX(0,Scenario_DT!I$18-3))*(Scenario_DT!I$12+$O427)-Scenario_DT!I$13)*(1-Scenario_DT!I$14)+Scenario_DT!I$13-Scenario_DT!I$15)*Scenario_DT!I$16</f>
        <v>937.66036615100688</v>
      </c>
      <c r="S427" s="28">
        <f>((Scenario_DT!J$11*(IF(Scenario_DT!J$18=1,1,1+$M427/Scenario_DT!$C$19)*(1+$N427)^MAX(0,Scenario_DT!J$18-3))*(Scenario_DT!J$12+$O427)-Scenario_DT!J$13)*(1-Scenario_DT!J$14)+Scenario_DT!J$13-Scenario_DT!J$15)*Scenario_DT!J$16</f>
        <v>1852.6657250367548</v>
      </c>
      <c r="T427" s="28">
        <f>((Scenario_DT!K$11*(IF(Scenario_DT!K$18=1,1,1+$M427/Scenario_DT!$C$19)*(1+$N427)^MAX(0,Scenario_DT!K$18-3))*(Scenario_DT!K$12+$O427)-Scenario_DT!K$13)*(1-Scenario_DT!K$14)+Scenario_DT!K$13-Scenario_DT!K$15)*Scenario_DT!K$16</f>
        <v>2117.4783722079578</v>
      </c>
      <c r="U427" s="28">
        <f>((Scenario_DT!L$11*(IF(Scenario_DT!L$18=1,1,1+$M427/Scenario_DT!$C$19)*(1+$N427)^MAX(0,Scenario_DT!L$18-3))*(Scenario_DT!L$12+$O427)-Scenario_DT!L$13)*(1-Scenario_DT!L$14)+Scenario_DT!L$13-Scenario_DT!L$15)*Scenario_DT!L$16</f>
        <v>2510.36280614516</v>
      </c>
      <c r="V427" s="28">
        <f>((Scenario_DT!M$11*(IF(Scenario_DT!M$18=1,1,1+$M427/Scenario_DT!$C$19)*(1+$N427)^MAX(0,Scenario_DT!M$18-3))*(Scenario_DT!M$12+$O427)-Scenario_DT!M$13)*(1-Scenario_DT!M$14)+Scenario_DT!M$13-Scenario_DT!M$15)*Scenario_DT!M$16</f>
        <v>2625.2832093767902</v>
      </c>
      <c r="W427" s="28">
        <f>((Scenario_DT!N$11*(IF(Scenario_DT!N$18=1,1,1+$M427/Scenario_DT!$C$19)*(1+$N427)^MAX(0,Scenario_DT!N$18-3))*(Scenario_DT!N$12+$O427)-Scenario_DT!N$13)*(1-Scenario_DT!N$14)+Scenario_DT!N$13-Scenario_DT!N$15)*Scenario_DT!N$16</f>
        <v>2745.4513573988729</v>
      </c>
      <c r="X427" s="28">
        <f>((Scenario_DT!O$11*(IF(Scenario_DT!O$18=1,1,1+$M427/Scenario_DT!$C$19)*(1+$N427)^MAX(0,Scenario_DT!O$18-3))*(Scenario_DT!O$12+$O427)-Scenario_DT!O$13)*(1-Scenario_DT!O$14)+Scenario_DT!O$13-Scenario_DT!O$15)*Scenario_DT!O$16</f>
        <v>2871.108862017607</v>
      </c>
      <c r="Y427" s="28">
        <f>((Scenario_DT!P$11*(IF(Scenario_DT!P$18=1,1,1+$M427/Scenario_DT!$C$19)*(1+$N427)^MAX(0,Scenario_DT!P$18-3))*(Scenario_DT!P$12+$O427)-Scenario_DT!P$13)*(1-Scenario_DT!P$14)+Scenario_DT!P$13-Scenario_DT!P$15)*Scenario_DT!P$16</f>
        <v>3002.5084792623434</v>
      </c>
      <c r="Z427" s="28">
        <f>((Scenario_DT!Q$11*(IF(Scenario_DT!Q$18=1,1,1+$M427/Scenario_DT!$C$19)*(1+$N427)^MAX(0,Scenario_DT!Q$18-3))*(Scenario_DT!Q$12+$O427)-Scenario_DT!Q$13)*(1-Scenario_DT!Q$14)+Scenario_DT!Q$13-Scenario_DT!Q$15)*Scenario_DT!Q$16</f>
        <v>3139.9146236185115</v>
      </c>
      <c r="AA427" s="28">
        <f>((Scenario_DT!R$11*(IF(Scenario_DT!R$18=1,1,1+$M427/Scenario_DT!$C$19)*(1+$N427)^MAX(0,Scenario_DT!R$18-3))*(Scenario_DT!R$12+$O427)-Scenario_DT!R$13)*(1-Scenario_DT!R$14)+Scenario_DT!R$13-Scenario_DT!R$15)*Scenario_DT!R$16</f>
        <v>3283.603905991617</v>
      </c>
      <c r="AB427" s="17">
        <f>(Scenario_DT!$R$11*(1+$M427/Scenario_DT!$C$19)*(1+$N427)^7*(Scenario_DT!$R$12+$O427)*(1+MIN(DCF_FCFF!$C$26+$Q427,(DCF_FCFF!$C$25+$P427)-0.02))*(1-DCF_FCFF!$C$27)*(1-DCF_FCFF!$C$28)/((DCF_FCFF!$C$25+$P427)-MIN(DCF_FCFF!$C$26+$Q427,(DCF_FCFF!$C$25+$P427)-0.02)))*(1+(DCF_FCFF!$C$25+$P427))^(-(Inputs!$C$9+9))</f>
        <v>23511.59916547377</v>
      </c>
      <c r="AC427" s="17">
        <f>SUMPRODUCT(R427:AA427*(1+(DCF_FCFF!$C$25+$P427))^(-Scenario_DT!$I$17:$R$17))+AB427</f>
        <v>39692.440052887192</v>
      </c>
      <c r="AD427" s="68">
        <f>((AC427-DCF_FCFF!$C$48)*(1-DCF_FCFF!$C$50)+DCF_FCFF!$C$57+DCF_FCFF!$C$58)/DCF_FCFF!$C$60</f>
        <v>284.55411438556359</v>
      </c>
      <c r="AE427" s="6"/>
      <c r="AF427" s="6"/>
      <c r="AG427" s="6"/>
    </row>
    <row r="428" spans="1:33" x14ac:dyDescent="0.3">
      <c r="A428" s="6"/>
      <c r="B428" s="72">
        <v>397</v>
      </c>
      <c r="C428" s="73">
        <v>0.85956113341889795</v>
      </c>
      <c r="D428" s="73">
        <v>0.37820052300968099</v>
      </c>
      <c r="E428" s="73">
        <v>0.85172218275251899</v>
      </c>
      <c r="F428" s="73">
        <v>0.241699597981131</v>
      </c>
      <c r="G428" s="73">
        <v>0.61866061193631805</v>
      </c>
      <c r="H428" s="15">
        <f t="shared" si="61"/>
        <v>1.0783496823239809</v>
      </c>
      <c r="I428" s="15">
        <f t="shared" si="62"/>
        <v>-0.31021028993401462</v>
      </c>
      <c r="J428" s="15">
        <f t="shared" si="63"/>
        <v>1.0438481842993717</v>
      </c>
      <c r="K428" s="15">
        <f t="shared" si="64"/>
        <v>-0.70084588992872521</v>
      </c>
      <c r="L428" s="15">
        <f t="shared" si="65"/>
        <v>0.30196495808159218</v>
      </c>
      <c r="M428" s="18">
        <f t="shared" si="66"/>
        <v>2.1566993646479619E-2</v>
      </c>
      <c r="N428" s="18">
        <f t="shared" si="67"/>
        <v>2.1641987965103815E-3</v>
      </c>
      <c r="O428" s="18">
        <f t="shared" si="68"/>
        <v>1.2526178211592459E-2</v>
      </c>
      <c r="P428" s="18">
        <f t="shared" si="69"/>
        <v>-4.2050753395723511E-3</v>
      </c>
      <c r="Q428" s="18">
        <f t="shared" si="70"/>
        <v>1.2078598323263688E-3</v>
      </c>
      <c r="R428" s="28">
        <f>((Scenario_DT!I$11*(IF(Scenario_DT!I$18=1,1,1+$M428/Scenario_DT!$C$19)*(1+$N428)^MAX(0,Scenario_DT!I$18-3))*(Scenario_DT!I$12+$O428)-Scenario_DT!I$13)*(1-Scenario_DT!I$14)+Scenario_DT!I$13-Scenario_DT!I$15)*Scenario_DT!I$16</f>
        <v>928.64510078990156</v>
      </c>
      <c r="S428" s="28">
        <f>((Scenario_DT!J$11*(IF(Scenario_DT!J$18=1,1,1+$M428/Scenario_DT!$C$19)*(1+$N428)^MAX(0,Scenario_DT!J$18-3))*(Scenario_DT!J$12+$O428)-Scenario_DT!J$13)*(1-Scenario_DT!J$14)+Scenario_DT!J$13-Scenario_DT!J$15)*Scenario_DT!J$16</f>
        <v>1923.4092380423676</v>
      </c>
      <c r="T428" s="28">
        <f>((Scenario_DT!K$11*(IF(Scenario_DT!K$18=1,1,1+$M428/Scenario_DT!$C$19)*(1+$N428)^MAX(0,Scenario_DT!K$18-3))*(Scenario_DT!K$12+$O428)-Scenario_DT!K$13)*(1-Scenario_DT!K$14)+Scenario_DT!K$13-Scenario_DT!K$15)*Scenario_DT!K$16</f>
        <v>2192.0512340871796</v>
      </c>
      <c r="U428" s="28">
        <f>((Scenario_DT!L$11*(IF(Scenario_DT!L$18=1,1,1+$M428/Scenario_DT!$C$19)*(1+$N428)^MAX(0,Scenario_DT!L$18-3))*(Scenario_DT!L$12+$O428)-Scenario_DT!L$13)*(1-Scenario_DT!L$14)+Scenario_DT!L$13-Scenario_DT!L$15)*Scenario_DT!L$16</f>
        <v>2604.644941218236</v>
      </c>
      <c r="V428" s="28">
        <f>((Scenario_DT!M$11*(IF(Scenario_DT!M$18=1,1,1+$M428/Scenario_DT!$C$19)*(1+$N428)^MAX(0,Scenario_DT!M$18-3))*(Scenario_DT!M$12+$O428)-Scenario_DT!M$13)*(1-Scenario_DT!M$14)+Scenario_DT!M$13-Scenario_DT!M$15)*Scenario_DT!M$16</f>
        <v>2740.1129230321749</v>
      </c>
      <c r="W428" s="28">
        <f>((Scenario_DT!N$11*(IF(Scenario_DT!N$18=1,1,1+$M428/Scenario_DT!$C$19)*(1+$N428)^MAX(0,Scenario_DT!N$18-3))*(Scenario_DT!N$12+$O428)-Scenario_DT!N$13)*(1-Scenario_DT!N$14)+Scenario_DT!N$13-Scenario_DT!N$15)*Scenario_DT!N$16</f>
        <v>2882.6226431986838</v>
      </c>
      <c r="X428" s="28">
        <f>((Scenario_DT!O$11*(IF(Scenario_DT!O$18=1,1,1+$M428/Scenario_DT!$C$19)*(1+$N428)^MAX(0,Scenario_DT!O$18-3))*(Scenario_DT!O$12+$O428)-Scenario_DT!O$13)*(1-Scenario_DT!O$14)+Scenario_DT!O$13-Scenario_DT!O$15)*Scenario_DT!O$16</f>
        <v>3032.5426725789939</v>
      </c>
      <c r="Y428" s="28">
        <f>((Scenario_DT!P$11*(IF(Scenario_DT!P$18=1,1,1+$M428/Scenario_DT!$C$19)*(1+$N428)^MAX(0,Scenario_DT!P$18-3))*(Scenario_DT!P$12+$O428)-Scenario_DT!P$13)*(1-Scenario_DT!P$14)+Scenario_DT!P$13-Scenario_DT!P$15)*Scenario_DT!P$16</f>
        <v>3190.2608921714732</v>
      </c>
      <c r="Z428" s="28">
        <f>((Scenario_DT!Q$11*(IF(Scenario_DT!Q$18=1,1,1+$M428/Scenario_DT!$C$19)*(1+$N428)^MAX(0,Scenario_DT!Q$18-3))*(Scenario_DT!Q$12+$O428)-Scenario_DT!Q$13)*(1-Scenario_DT!Q$14)+Scenario_DT!Q$13-Scenario_DT!Q$15)*Scenario_DT!Q$16</f>
        <v>3356.1855046924265</v>
      </c>
      <c r="AA428" s="28">
        <f>((Scenario_DT!R$11*(IF(Scenario_DT!R$18=1,1,1+$M428/Scenario_DT!$C$19)*(1+$N428)^MAX(0,Scenario_DT!R$18-3))*(Scenario_DT!R$12+$O428)-Scenario_DT!R$13)*(1-Scenario_DT!R$14)+Scenario_DT!R$13-Scenario_DT!R$15)*Scenario_DT!R$16</f>
        <v>3530.7460991348289</v>
      </c>
      <c r="AB428" s="17">
        <f>(Scenario_DT!$R$11*(1+$M428/Scenario_DT!$C$19)*(1+$N428)^7*(Scenario_DT!$R$12+$O428)*(1+MIN(DCF_FCFF!$C$26+$Q428,(DCF_FCFF!$C$25+$P428)-0.02))*(1-DCF_FCFF!$C$27)*(1-DCF_FCFF!$C$28)/((DCF_FCFF!$C$25+$P428)-MIN(DCF_FCFF!$C$26+$Q428,(DCF_FCFF!$C$25+$P428)-0.02)))*(1+(DCF_FCFF!$C$25+$P428))^(-(Inputs!$C$9+9))</f>
        <v>34634.000641513245</v>
      </c>
      <c r="AC428" s="17">
        <f>SUMPRODUCT(R428:AA428*(1+(DCF_FCFF!$C$25+$P428))^(-Scenario_DT!$I$17:$R$17))+AB428</f>
        <v>52165.422685642596</v>
      </c>
      <c r="AD428" s="68">
        <f>((AC428-DCF_FCFF!$C$48)*(1-DCF_FCFF!$C$50)+DCF_FCFF!$C$57+DCF_FCFF!$C$58)/DCF_FCFF!$C$60</f>
        <v>404.27938684407974</v>
      </c>
      <c r="AE428" s="6"/>
      <c r="AF428" s="6"/>
      <c r="AG428" s="6"/>
    </row>
    <row r="429" spans="1:33" x14ac:dyDescent="0.3">
      <c r="A429" s="6"/>
      <c r="B429" s="72">
        <v>398</v>
      </c>
      <c r="C429" s="73">
        <v>0.92667048808128205</v>
      </c>
      <c r="D429" s="73">
        <v>0.25789400914779398</v>
      </c>
      <c r="E429" s="73">
        <v>0.69292659058585504</v>
      </c>
      <c r="F429" s="73">
        <v>0.98731261995714403</v>
      </c>
      <c r="G429" s="73">
        <v>0.150598287243004</v>
      </c>
      <c r="H429" s="15">
        <f t="shared" si="61"/>
        <v>1.4514340866335089</v>
      </c>
      <c r="I429" s="15">
        <f t="shared" si="62"/>
        <v>-0.64985170237586976</v>
      </c>
      <c r="J429" s="15">
        <f t="shared" si="63"/>
        <v>0.50416302817472414</v>
      </c>
      <c r="K429" s="15">
        <f t="shared" si="64"/>
        <v>2.2356491847180977</v>
      </c>
      <c r="L429" s="15">
        <f t="shared" si="65"/>
        <v>-1.0338707849669537</v>
      </c>
      <c r="M429" s="18">
        <f t="shared" si="66"/>
        <v>2.9028681732670179E-2</v>
      </c>
      <c r="N429" s="18">
        <f t="shared" si="67"/>
        <v>1.3034316829334963E-3</v>
      </c>
      <c r="O429" s="18">
        <f t="shared" si="68"/>
        <v>6.04995633809669E-3</v>
      </c>
      <c r="P429" s="18">
        <f t="shared" si="69"/>
        <v>1.3413895108308586E-2</v>
      </c>
      <c r="Q429" s="18">
        <f t="shared" si="70"/>
        <v>-4.1354831398678149E-3</v>
      </c>
      <c r="R429" s="28">
        <f>((Scenario_DT!I$11*(IF(Scenario_DT!I$18=1,1,1+$M429/Scenario_DT!$C$19)*(1+$N429)^MAX(0,Scenario_DT!I$18-3))*(Scenario_DT!I$12+$O429)-Scenario_DT!I$13)*(1-Scenario_DT!I$14)+Scenario_DT!I$13-Scenario_DT!I$15)*Scenario_DT!I$16</f>
        <v>919.51432489623801</v>
      </c>
      <c r="S429" s="28">
        <f>((Scenario_DT!J$11*(IF(Scenario_DT!J$18=1,1,1+$M429/Scenario_DT!$C$19)*(1+$N429)^MAX(0,Scenario_DT!J$18-3))*(Scenario_DT!J$12+$O429)-Scenario_DT!J$13)*(1-Scenario_DT!J$14)+Scenario_DT!J$13-Scenario_DT!J$15)*Scenario_DT!J$16</f>
        <v>1920.850777355789</v>
      </c>
      <c r="T429" s="28">
        <f>((Scenario_DT!K$11*(IF(Scenario_DT!K$18=1,1,1+$M429/Scenario_DT!$C$19)*(1+$N429)^MAX(0,Scenario_DT!K$18-3))*(Scenario_DT!K$12+$O429)-Scenario_DT!K$13)*(1-Scenario_DT!K$14)+Scenario_DT!K$13-Scenario_DT!K$15)*Scenario_DT!K$16</f>
        <v>2189.6535422945171</v>
      </c>
      <c r="U429" s="28">
        <f>((Scenario_DT!L$11*(IF(Scenario_DT!L$18=1,1,1+$M429/Scenario_DT!$C$19)*(1+$N429)^MAX(0,Scenario_DT!L$18-3))*(Scenario_DT!L$12+$O429)-Scenario_DT!L$13)*(1-Scenario_DT!L$14)+Scenario_DT!L$13-Scenario_DT!L$15)*Scenario_DT!L$16</f>
        <v>2599.8441638185009</v>
      </c>
      <c r="V429" s="28">
        <f>((Scenario_DT!M$11*(IF(Scenario_DT!M$18=1,1,1+$M429/Scenario_DT!$C$19)*(1+$N429)^MAX(0,Scenario_DT!M$18-3))*(Scenario_DT!M$12+$O429)-Scenario_DT!M$13)*(1-Scenario_DT!M$14)+Scenario_DT!M$13-Scenario_DT!M$15)*Scenario_DT!M$16</f>
        <v>2732.6961924511852</v>
      </c>
      <c r="W429" s="28">
        <f>((Scenario_DT!N$11*(IF(Scenario_DT!N$18=1,1,1+$M429/Scenario_DT!$C$19)*(1+$N429)^MAX(0,Scenario_DT!N$18-3))*(Scenario_DT!N$12+$O429)-Scenario_DT!N$13)*(1-Scenario_DT!N$14)+Scenario_DT!N$13-Scenario_DT!N$15)*Scenario_DT!N$16</f>
        <v>2872.3317302598293</v>
      </c>
      <c r="X429" s="28">
        <f>((Scenario_DT!O$11*(IF(Scenario_DT!O$18=1,1,1+$M429/Scenario_DT!$C$19)*(1+$N429)^MAX(0,Scenario_DT!O$18-3))*(Scenario_DT!O$12+$O429)-Scenario_DT!O$13)*(1-Scenario_DT!O$14)+Scenario_DT!O$13-Scenario_DT!O$15)*Scenario_DT!O$16</f>
        <v>3019.0996092269543</v>
      </c>
      <c r="Y429" s="28">
        <f>((Scenario_DT!P$11*(IF(Scenario_DT!P$18=1,1,1+$M429/Scenario_DT!$C$19)*(1+$N429)^MAX(0,Scenario_DT!P$18-3))*(Scenario_DT!P$12+$O429)-Scenario_DT!P$13)*(1-Scenario_DT!P$14)+Scenario_DT!P$13-Scenario_DT!P$15)*Scenario_DT!P$16</f>
        <v>3173.3666191016705</v>
      </c>
      <c r="Z429" s="28">
        <f>((Scenario_DT!Q$11*(IF(Scenario_DT!Q$18=1,1,1+$M429/Scenario_DT!$C$19)*(1+$N429)^MAX(0,Scenario_DT!Q$18-3))*(Scenario_DT!Q$12+$O429)-Scenario_DT!Q$13)*(1-Scenario_DT!Q$14)+Scenario_DT!Q$13-Scenario_DT!Q$15)*Scenario_DT!Q$16</f>
        <v>3335.5184318214838</v>
      </c>
      <c r="AA429" s="28">
        <f>((Scenario_DT!R$11*(IF(Scenario_DT!R$18=1,1,1+$M429/Scenario_DT!$C$19)*(1+$N429)^MAX(0,Scenario_DT!R$18-3))*(Scenario_DT!R$12+$O429)-Scenario_DT!R$13)*(1-Scenario_DT!R$14)+Scenario_DT!R$13-Scenario_DT!R$15)*Scenario_DT!R$16</f>
        <v>3505.9605735101254</v>
      </c>
      <c r="AB429" s="17">
        <f>(Scenario_DT!$R$11*(1+$M429/Scenario_DT!$C$19)*(1+$N429)^7*(Scenario_DT!$R$12+$O429)*(1+MIN(DCF_FCFF!$C$26+$Q429,(DCF_FCFF!$C$25+$P429)-0.02))*(1-DCF_FCFF!$C$27)*(1-DCF_FCFF!$C$28)/((DCF_FCFF!$C$25+$P429)-MIN(DCF_FCFF!$C$26+$Q429,(DCF_FCFF!$C$25+$P429)-0.02)))*(1+(DCF_FCFF!$C$25+$P429))^(-(Inputs!$C$9+9))</f>
        <v>19450.962600754621</v>
      </c>
      <c r="AC429" s="17">
        <f>SUMPRODUCT(R429:AA429*(1+(DCF_FCFF!$C$25+$P429))^(-Scenario_DT!$I$17:$R$17))+AB429</f>
        <v>35670.577727284952</v>
      </c>
      <c r="AD429" s="68">
        <f>((AC429-DCF_FCFF!$C$48)*(1-DCF_FCFF!$C$50)+DCF_FCFF!$C$57+DCF_FCFF!$C$58)/DCF_FCFF!$C$60</f>
        <v>245.94918909216588</v>
      </c>
      <c r="AE429" s="6"/>
      <c r="AF429" s="6"/>
      <c r="AG429" s="6"/>
    </row>
    <row r="430" spans="1:33" x14ac:dyDescent="0.3">
      <c r="A430" s="6"/>
      <c r="B430" s="72">
        <v>399</v>
      </c>
      <c r="C430" s="73">
        <v>8.8402290700674402E-2</v>
      </c>
      <c r="D430" s="73">
        <v>0.67419519244481596</v>
      </c>
      <c r="E430" s="73">
        <v>0.33973594774902999</v>
      </c>
      <c r="F430" s="73">
        <v>7.1244477366591105E-2</v>
      </c>
      <c r="G430" s="73">
        <v>0.47530561788360398</v>
      </c>
      <c r="H430" s="15">
        <f t="shared" si="61"/>
        <v>-1.3506593440602448</v>
      </c>
      <c r="I430" s="15">
        <f t="shared" si="62"/>
        <v>0.45152721477276525</v>
      </c>
      <c r="J430" s="15">
        <f t="shared" si="63"/>
        <v>-0.41318388293141184</v>
      </c>
      <c r="K430" s="15">
        <f t="shared" si="64"/>
        <v>-1.4665851037166509</v>
      </c>
      <c r="L430" s="15">
        <f t="shared" si="65"/>
        <v>-6.1939218281992309E-2</v>
      </c>
      <c r="M430" s="18">
        <f t="shared" si="66"/>
        <v>-2.7013186881204895E-2</v>
      </c>
      <c r="N430" s="18">
        <f t="shared" si="67"/>
        <v>-2.2743650682950033E-3</v>
      </c>
      <c r="O430" s="18">
        <f t="shared" si="68"/>
        <v>-4.9582065951769422E-3</v>
      </c>
      <c r="P430" s="18">
        <f t="shared" si="69"/>
        <v>-8.799510622299906E-3</v>
      </c>
      <c r="Q430" s="18">
        <f t="shared" si="70"/>
        <v>-2.4775687312796925E-4</v>
      </c>
      <c r="R430" s="28">
        <f>((Scenario_DT!I$11*(IF(Scenario_DT!I$18=1,1,1+$M430/Scenario_DT!$C$19)*(1+$N430)^MAX(0,Scenario_DT!I$18-3))*(Scenario_DT!I$12+$O430)-Scenario_DT!I$13)*(1-Scenario_DT!I$14)+Scenario_DT!I$13-Scenario_DT!I$15)*Scenario_DT!I$16</f>
        <v>903.99399981966701</v>
      </c>
      <c r="S430" s="28">
        <f>((Scenario_DT!J$11*(IF(Scenario_DT!J$18=1,1,1+$M430/Scenario_DT!$C$19)*(1+$N430)^MAX(0,Scenario_DT!J$18-3))*(Scenario_DT!J$12+$O430)-Scenario_DT!J$13)*(1-Scenario_DT!J$14)+Scenario_DT!J$13-Scenario_DT!J$15)*Scenario_DT!J$16</f>
        <v>1752.2119181662938</v>
      </c>
      <c r="T430" s="28">
        <f>((Scenario_DT!K$11*(IF(Scenario_DT!K$18=1,1,1+$M430/Scenario_DT!$C$19)*(1+$N430)^MAX(0,Scenario_DT!K$18-3))*(Scenario_DT!K$12+$O430)-Scenario_DT!K$13)*(1-Scenario_DT!K$14)+Scenario_DT!K$13-Scenario_DT!K$15)*Scenario_DT!K$16</f>
        <v>2012.9829054485408</v>
      </c>
      <c r="U430" s="28">
        <f>((Scenario_DT!L$11*(IF(Scenario_DT!L$18=1,1,1+$M430/Scenario_DT!$C$19)*(1+$N430)^MAX(0,Scenario_DT!L$18-3))*(Scenario_DT!L$12+$O430)-Scenario_DT!L$13)*(1-Scenario_DT!L$14)+Scenario_DT!L$13-Scenario_DT!L$15)*Scenario_DT!L$16</f>
        <v>2403.3360747019619</v>
      </c>
      <c r="V430" s="28">
        <f>((Scenario_DT!M$11*(IF(Scenario_DT!M$18=1,1,1+$M430/Scenario_DT!$C$19)*(1+$N430)^MAX(0,Scenario_DT!M$18-3))*(Scenario_DT!M$12+$O430)-Scenario_DT!M$13)*(1-Scenario_DT!M$14)+Scenario_DT!M$13-Scenario_DT!M$15)*Scenario_DT!M$16</f>
        <v>2517.0017832327435</v>
      </c>
      <c r="W430" s="28">
        <f>((Scenario_DT!N$11*(IF(Scenario_DT!N$18=1,1,1+$M430/Scenario_DT!$C$19)*(1+$N430)^MAX(0,Scenario_DT!N$18-3))*(Scenario_DT!N$12+$O430)-Scenario_DT!N$13)*(1-Scenario_DT!N$14)+Scenario_DT!N$13-Scenario_DT!N$15)*Scenario_DT!N$16</f>
        <v>2636.0325401639011</v>
      </c>
      <c r="X430" s="28">
        <f>((Scenario_DT!O$11*(IF(Scenario_DT!O$18=1,1,1+$M430/Scenario_DT!$C$19)*(1+$N430)^MAX(0,Scenario_DT!O$18-3))*(Scenario_DT!O$12+$O430)-Scenario_DT!O$13)*(1-Scenario_DT!O$14)+Scenario_DT!O$13-Scenario_DT!O$15)*Scenario_DT!O$16</f>
        <v>2760.6837025821956</v>
      </c>
      <c r="Y430" s="28">
        <f>((Scenario_DT!P$11*(IF(Scenario_DT!P$18=1,1,1+$M430/Scenario_DT!$C$19)*(1+$N430)^MAX(0,Scenario_DT!P$18-3))*(Scenario_DT!P$12+$O430)-Scenario_DT!P$13)*(1-Scenario_DT!P$14)+Scenario_DT!P$13-Scenario_DT!P$15)*Scenario_DT!P$16</f>
        <v>2891.2228023584989</v>
      </c>
      <c r="Z430" s="28">
        <f>((Scenario_DT!Q$11*(IF(Scenario_DT!Q$18=1,1,1+$M430/Scenario_DT!$C$19)*(1+$N430)^MAX(0,Scenario_DT!Q$18-3))*(Scenario_DT!Q$12+$O430)-Scenario_DT!Q$13)*(1-Scenario_DT!Q$14)+Scenario_DT!Q$13-Scenario_DT!Q$15)*Scenario_DT!Q$16</f>
        <v>3027.9301267839305</v>
      </c>
      <c r="AA430" s="28">
        <f>((Scenario_DT!R$11*(IF(Scenario_DT!R$18=1,1,1+$M430/Scenario_DT!$C$19)*(1+$N430)^MAX(0,Scenario_DT!R$18-3))*(Scenario_DT!R$12+$O430)-Scenario_DT!R$13)*(1-Scenario_DT!R$14)+Scenario_DT!R$13-Scenario_DT!R$15)*Scenario_DT!R$16</f>
        <v>3171.0993268977045</v>
      </c>
      <c r="AB430" s="17">
        <f>(Scenario_DT!$R$11*(1+$M430/Scenario_DT!$C$19)*(1+$N430)^7*(Scenario_DT!$R$12+$O430)*(1+MIN(DCF_FCFF!$C$26+$Q430,(DCF_FCFF!$C$25+$P430)-0.02))*(1-DCF_FCFF!$C$27)*(1-DCF_FCFF!$C$28)/((DCF_FCFF!$C$25+$P430)-MIN(DCF_FCFF!$C$26+$Q430,(DCF_FCFF!$C$25+$P430)-0.02)))*(1+(DCF_FCFF!$C$25+$P430))^(-(Inputs!$C$9+9))</f>
        <v>34791.762701238491</v>
      </c>
      <c r="AC430" s="17">
        <f>SUMPRODUCT(R430:AA430*(1+(DCF_FCFF!$C$25+$P430))^(-Scenario_DT!$I$17:$R$17))+AB430</f>
        <v>51150.193370064379</v>
      </c>
      <c r="AD430" s="68">
        <f>((AC430-DCF_FCFF!$C$48)*(1-DCF_FCFF!$C$50)+DCF_FCFF!$C$57+DCF_FCFF!$C$58)/DCF_FCFF!$C$60</f>
        <v>394.5344356969278</v>
      </c>
      <c r="AE430" s="6"/>
      <c r="AF430" s="6"/>
      <c r="AG430" s="6"/>
    </row>
    <row r="431" spans="1:33" x14ac:dyDescent="0.3">
      <c r="A431" s="6"/>
      <c r="B431" s="72">
        <v>400</v>
      </c>
      <c r="C431" s="73">
        <v>0.75377067964395605</v>
      </c>
      <c r="D431" s="73">
        <v>0.28512240041518899</v>
      </c>
      <c r="E431" s="73">
        <v>0.33504687750513501</v>
      </c>
      <c r="F431" s="73">
        <v>0.84569940064697202</v>
      </c>
      <c r="G431" s="73">
        <v>0.52007191226148797</v>
      </c>
      <c r="H431" s="15">
        <f t="shared" si="61"/>
        <v>0.68640359087954383</v>
      </c>
      <c r="I431" s="15">
        <f t="shared" si="62"/>
        <v>-0.56769100438763542</v>
      </c>
      <c r="J431" s="15">
        <f t="shared" si="63"/>
        <v>-0.42601933795444724</v>
      </c>
      <c r="K431" s="15">
        <f t="shared" si="64"/>
        <v>1.0181615290482962</v>
      </c>
      <c r="L431" s="15">
        <f t="shared" si="65"/>
        <v>5.0334068441133605E-2</v>
      </c>
      <c r="M431" s="18">
        <f t="shared" si="66"/>
        <v>1.3728071817590877E-2</v>
      </c>
      <c r="N431" s="18">
        <f t="shared" si="67"/>
        <v>-1.1874642868785882E-3</v>
      </c>
      <c r="O431" s="18">
        <f t="shared" si="68"/>
        <v>-5.1122320554533671E-3</v>
      </c>
      <c r="P431" s="18">
        <f t="shared" si="69"/>
        <v>6.1089691742897767E-3</v>
      </c>
      <c r="Q431" s="18">
        <f t="shared" si="70"/>
        <v>2.0133627376453441E-4</v>
      </c>
      <c r="R431" s="28">
        <f>((Scenario_DT!I$11*(IF(Scenario_DT!I$18=1,1,1+$M431/Scenario_DT!$C$19)*(1+$N431)^MAX(0,Scenario_DT!I$18-3))*(Scenario_DT!I$12+$O431)-Scenario_DT!I$13)*(1-Scenario_DT!I$14)+Scenario_DT!I$13-Scenario_DT!I$15)*Scenario_DT!I$16</f>
        <v>903.77684049634968</v>
      </c>
      <c r="S431" s="28">
        <f>((Scenario_DT!J$11*(IF(Scenario_DT!J$18=1,1,1+$M431/Scenario_DT!$C$19)*(1+$N431)^MAX(0,Scenario_DT!J$18-3))*(Scenario_DT!J$12+$O431)-Scenario_DT!J$13)*(1-Scenario_DT!J$14)+Scenario_DT!J$13-Scenario_DT!J$15)*Scenario_DT!J$16</f>
        <v>1848.6855326649252</v>
      </c>
      <c r="T431" s="28">
        <f>((Scenario_DT!K$11*(IF(Scenario_DT!K$18=1,1,1+$M431/Scenario_DT!$C$19)*(1+$N431)^MAX(0,Scenario_DT!K$18-3))*(Scenario_DT!K$12+$O431)-Scenario_DT!K$13)*(1-Scenario_DT!K$14)+Scenario_DT!K$13-Scenario_DT!K$15)*Scenario_DT!K$16</f>
        <v>2114.3464566322741</v>
      </c>
      <c r="U431" s="28">
        <f>((Scenario_DT!L$11*(IF(Scenario_DT!L$18=1,1,1+$M431/Scenario_DT!$C$19)*(1+$N431)^MAX(0,Scenario_DT!L$18-3))*(Scenario_DT!L$12+$O431)-Scenario_DT!L$13)*(1-Scenario_DT!L$14)+Scenario_DT!L$13-Scenario_DT!L$15)*Scenario_DT!L$16</f>
        <v>2513.4702888998918</v>
      </c>
      <c r="V431" s="28">
        <f>((Scenario_DT!M$11*(IF(Scenario_DT!M$18=1,1,1+$M431/Scenario_DT!$C$19)*(1+$N431)^MAX(0,Scenario_DT!M$18-3))*(Scenario_DT!M$12+$O431)-Scenario_DT!M$13)*(1-Scenario_DT!M$14)+Scenario_DT!M$13-Scenario_DT!M$15)*Scenario_DT!M$16</f>
        <v>2635.2674443082024</v>
      </c>
      <c r="W431" s="28">
        <f>((Scenario_DT!N$11*(IF(Scenario_DT!N$18=1,1,1+$M431/Scenario_DT!$C$19)*(1+$N431)^MAX(0,Scenario_DT!N$18-3))*(Scenario_DT!N$12+$O431)-Scenario_DT!N$13)*(1-Scenario_DT!N$14)+Scenario_DT!N$13-Scenario_DT!N$15)*Scenario_DT!N$16</f>
        <v>2762.9575886306643</v>
      </c>
      <c r="X431" s="28">
        <f>((Scenario_DT!O$11*(IF(Scenario_DT!O$18=1,1,1+$M431/Scenario_DT!$C$19)*(1+$N431)^MAX(0,Scenario_DT!O$18-3))*(Scenario_DT!O$12+$O431)-Scenario_DT!O$13)*(1-Scenario_DT!O$14)+Scenario_DT!O$13-Scenario_DT!O$15)*Scenario_DT!O$16</f>
        <v>2896.8280790127292</v>
      </c>
      <c r="Y431" s="28">
        <f>((Scenario_DT!P$11*(IF(Scenario_DT!P$18=1,1,1+$M431/Scenario_DT!$C$19)*(1+$N431)^MAX(0,Scenario_DT!P$18-3))*(Scenario_DT!P$12+$O431)-Scenario_DT!P$13)*(1-Scenario_DT!P$14)+Scenario_DT!P$13-Scenario_DT!P$15)*Scenario_DT!P$16</f>
        <v>3037.1803055999949</v>
      </c>
      <c r="Z431" s="28">
        <f>((Scenario_DT!Q$11*(IF(Scenario_DT!Q$18=1,1,1+$M431/Scenario_DT!$C$19)*(1+$N431)^MAX(0,Scenario_DT!Q$18-3))*(Scenario_DT!Q$12+$O431)-Scenario_DT!Q$13)*(1-Scenario_DT!Q$14)+Scenario_DT!Q$13-Scenario_DT!Q$15)*Scenario_DT!Q$16</f>
        <v>3184.3303769619251</v>
      </c>
      <c r="AA431" s="28">
        <f>((Scenario_DT!R$11*(IF(Scenario_DT!R$18=1,1,1+$M431/Scenario_DT!$C$19)*(1+$N431)^MAX(0,Scenario_DT!R$18-3))*(Scenario_DT!R$12+$O431)-Scenario_DT!R$13)*(1-Scenario_DT!R$14)+Scenario_DT!R$13-Scenario_DT!R$15)*Scenario_DT!R$16</f>
        <v>3338.6098389918147</v>
      </c>
      <c r="AB431" s="17">
        <f>(Scenario_DT!$R$11*(1+$M431/Scenario_DT!$C$19)*(1+$N431)^7*(Scenario_DT!$R$12+$O431)*(1+MIN(DCF_FCFF!$C$26+$Q431,(DCF_FCFF!$C$25+$P431)-0.02))*(1-DCF_FCFF!$C$27)*(1-DCF_FCFF!$C$28)/((DCF_FCFF!$C$25+$P431)-MIN(DCF_FCFF!$C$26+$Q431,(DCF_FCFF!$C$25+$P431)-0.02)))*(1+(DCF_FCFF!$C$25+$P431))^(-(Inputs!$C$9+9))</f>
        <v>23912.301785933661</v>
      </c>
      <c r="AC431" s="17">
        <f>SUMPRODUCT(R431:AA431*(1+(DCF_FCFF!$C$25+$P431))^(-Scenario_DT!$I$17:$R$17))+AB431</f>
        <v>39995.152535909401</v>
      </c>
      <c r="AD431" s="68">
        <f>((AC431-DCF_FCFF!$C$48)*(1-DCF_FCFF!$C$50)+DCF_FCFF!$C$57+DCF_FCFF!$C$58)/DCF_FCFF!$C$60</f>
        <v>287.45978142395518</v>
      </c>
      <c r="AE431" s="6"/>
      <c r="AF431" s="6"/>
      <c r="AG431" s="6"/>
    </row>
    <row r="432" spans="1:33" x14ac:dyDescent="0.3">
      <c r="A432" s="6"/>
      <c r="B432" s="72">
        <v>401</v>
      </c>
      <c r="C432" s="73">
        <v>0.84273196880647205</v>
      </c>
      <c r="D432" s="73">
        <v>0.44638949214370999</v>
      </c>
      <c r="E432" s="73">
        <v>0.95297516156010298</v>
      </c>
      <c r="F432" s="73">
        <v>0.65079458971773696</v>
      </c>
      <c r="G432" s="73">
        <v>0.11589886531924901</v>
      </c>
      <c r="H432" s="15">
        <f t="shared" si="61"/>
        <v>1.0057495474612341</v>
      </c>
      <c r="I432" s="15">
        <f t="shared" si="62"/>
        <v>-0.13478864448737929</v>
      </c>
      <c r="J432" s="15">
        <f t="shared" si="63"/>
        <v>1.674411893856355</v>
      </c>
      <c r="K432" s="15">
        <f t="shared" si="64"/>
        <v>0.38746658155231101</v>
      </c>
      <c r="L432" s="15">
        <f t="shared" si="65"/>
        <v>-1.1957407838895544</v>
      </c>
      <c r="M432" s="18">
        <f t="shared" si="66"/>
        <v>2.0114990949224684E-2</v>
      </c>
      <c r="N432" s="18">
        <f t="shared" si="67"/>
        <v>3.0891550677030182E-3</v>
      </c>
      <c r="O432" s="18">
        <f t="shared" si="68"/>
        <v>2.009294272627626E-2</v>
      </c>
      <c r="P432" s="18">
        <f t="shared" si="69"/>
        <v>2.3247994893138661E-3</v>
      </c>
      <c r="Q432" s="18">
        <f t="shared" si="70"/>
        <v>-4.7829631355582177E-3</v>
      </c>
      <c r="R432" s="28">
        <f>((Scenario_DT!I$11*(IF(Scenario_DT!I$18=1,1,1+$M432/Scenario_DT!$C$19)*(1+$N432)^MAX(0,Scenario_DT!I$18-3))*(Scenario_DT!I$12+$O432)-Scenario_DT!I$13)*(1-Scenario_DT!I$14)+Scenario_DT!I$13-Scenario_DT!I$15)*Scenario_DT!I$16</f>
        <v>939.31342444731968</v>
      </c>
      <c r="S432" s="28">
        <f>((Scenario_DT!J$11*(IF(Scenario_DT!J$18=1,1,1+$M432/Scenario_DT!$C$19)*(1+$N432)^MAX(0,Scenario_DT!J$18-3))*(Scenario_DT!J$12+$O432)-Scenario_DT!J$13)*(1-Scenario_DT!J$14)+Scenario_DT!J$13-Scenario_DT!J$15)*Scenario_DT!J$16</f>
        <v>1943.8880140896927</v>
      </c>
      <c r="T432" s="28">
        <f>((Scenario_DT!K$11*(IF(Scenario_DT!K$18=1,1,1+$M432/Scenario_DT!$C$19)*(1+$N432)^MAX(0,Scenario_DT!K$18-3))*(Scenario_DT!K$12+$O432)-Scenario_DT!K$13)*(1-Scenario_DT!K$14)+Scenario_DT!K$13-Scenario_DT!K$15)*Scenario_DT!K$16</f>
        <v>2213.2245842898847</v>
      </c>
      <c r="U432" s="28">
        <f>((Scenario_DT!L$11*(IF(Scenario_DT!L$18=1,1,1+$M432/Scenario_DT!$C$19)*(1+$N432)^MAX(0,Scenario_DT!L$18-3))*(Scenario_DT!L$12+$O432)-Scenario_DT!L$13)*(1-Scenario_DT!L$14)+Scenario_DT!L$13-Scenario_DT!L$15)*Scenario_DT!L$16</f>
        <v>2629.6153213083767</v>
      </c>
      <c r="V432" s="28">
        <f>((Scenario_DT!M$11*(IF(Scenario_DT!M$18=1,1,1+$M432/Scenario_DT!$C$19)*(1+$N432)^MAX(0,Scenario_DT!M$18-3))*(Scenario_DT!M$12+$O432)-Scenario_DT!M$13)*(1-Scenario_DT!M$14)+Scenario_DT!M$13-Scenario_DT!M$15)*Scenario_DT!M$16</f>
        <v>2768.9588471298694</v>
      </c>
      <c r="W432" s="28">
        <f>((Scenario_DT!N$11*(IF(Scenario_DT!N$18=1,1,1+$M432/Scenario_DT!$C$19)*(1+$N432)^MAX(0,Scenario_DT!N$18-3))*(Scenario_DT!N$12+$O432)-Scenario_DT!N$13)*(1-Scenario_DT!N$14)+Scenario_DT!N$13-Scenario_DT!N$15)*Scenario_DT!N$16</f>
        <v>2915.6835464289811</v>
      </c>
      <c r="X432" s="28">
        <f>((Scenario_DT!O$11*(IF(Scenario_DT!O$18=1,1,1+$M432/Scenario_DT!$C$19)*(1+$N432)^MAX(0,Scenario_DT!O$18-3))*(Scenario_DT!O$12+$O432)-Scenario_DT!O$13)*(1-Scenario_DT!O$14)+Scenario_DT!O$13-Scenario_DT!O$15)*Scenario_DT!O$16</f>
        <v>3070.1830196057676</v>
      </c>
      <c r="Y432" s="28">
        <f>((Scenario_DT!P$11*(IF(Scenario_DT!P$18=1,1,1+$M432/Scenario_DT!$C$19)*(1+$N432)^MAX(0,Scenario_DT!P$18-3))*(Scenario_DT!P$12+$O432)-Scenario_DT!P$13)*(1-Scenario_DT!P$14)+Scenario_DT!P$13-Scenario_DT!P$15)*Scenario_DT!P$16</f>
        <v>3232.871873508479</v>
      </c>
      <c r="Z432" s="28">
        <f>((Scenario_DT!Q$11*(IF(Scenario_DT!Q$18=1,1,1+$M432/Scenario_DT!$C$19)*(1+$N432)^MAX(0,Scenario_DT!Q$18-3))*(Scenario_DT!Q$12+$O432)-Scenario_DT!Q$13)*(1-Scenario_DT!Q$14)+Scenario_DT!Q$13-Scenario_DT!Q$15)*Scenario_DT!Q$16</f>
        <v>3404.1868423408469</v>
      </c>
      <c r="AA432" s="28">
        <f>((Scenario_DT!R$11*(IF(Scenario_DT!R$18=1,1,1+$M432/Scenario_DT!$C$19)*(1+$N432)^MAX(0,Scenario_DT!R$18-3))*(Scenario_DT!R$12+$O432)-Scenario_DT!R$13)*(1-Scenario_DT!R$14)+Scenario_DT!R$13-Scenario_DT!R$15)*Scenario_DT!R$16</f>
        <v>3584.5879683618755</v>
      </c>
      <c r="AB432" s="17">
        <f>(Scenario_DT!$R$11*(1+$M432/Scenario_DT!$C$19)*(1+$N432)^7*(Scenario_DT!$R$12+$O432)*(1+MIN(DCF_FCFF!$C$26+$Q432,(DCF_FCFF!$C$25+$P432)-0.02))*(1-DCF_FCFF!$C$27)*(1-DCF_FCFF!$C$28)/((DCF_FCFF!$C$25+$P432)-MIN(DCF_FCFF!$C$26+$Q432,(DCF_FCFF!$C$25+$P432)-0.02)))*(1+(DCF_FCFF!$C$25+$P432))^(-(Inputs!$C$9+9))</f>
        <v>25835.665042520657</v>
      </c>
      <c r="AC432" s="17">
        <f>SUMPRODUCT(R432:AA432*(1+(DCF_FCFF!$C$25+$P432))^(-Scenario_DT!$I$17:$R$17))+AB432</f>
        <v>43088.536317138045</v>
      </c>
      <c r="AD432" s="68">
        <f>((AC432-DCF_FCFF!$C$48)*(1-DCF_FCFF!$C$50)+DCF_FCFF!$C$57+DCF_FCFF!$C$58)/DCF_FCFF!$C$60</f>
        <v>317.15245613784106</v>
      </c>
      <c r="AE432" s="6"/>
      <c r="AF432" s="6"/>
      <c r="AG432" s="6"/>
    </row>
    <row r="433" spans="1:33" x14ac:dyDescent="0.3">
      <c r="A433" s="6"/>
      <c r="B433" s="72">
        <v>402</v>
      </c>
      <c r="C433" s="73">
        <v>0.88509298822680105</v>
      </c>
      <c r="D433" s="73">
        <v>0.489265190830798</v>
      </c>
      <c r="E433" s="73">
        <v>0.14163896797290501</v>
      </c>
      <c r="F433" s="73">
        <v>0.15269013384142099</v>
      </c>
      <c r="G433" s="73">
        <v>0.68753393510987204</v>
      </c>
      <c r="H433" s="15">
        <f t="shared" si="61"/>
        <v>1.2008380636403411</v>
      </c>
      <c r="I433" s="15">
        <f t="shared" si="62"/>
        <v>-2.6911424153347983E-2</v>
      </c>
      <c r="J433" s="15">
        <f t="shared" si="63"/>
        <v>-1.0729848002338866</v>
      </c>
      <c r="K433" s="15">
        <f t="shared" si="64"/>
        <v>-1.024963802340461</v>
      </c>
      <c r="L433" s="15">
        <f t="shared" si="65"/>
        <v>0.48887226867269323</v>
      </c>
      <c r="M433" s="18">
        <f t="shared" si="66"/>
        <v>2.4016761272806823E-2</v>
      </c>
      <c r="N433" s="18">
        <f t="shared" si="67"/>
        <v>4.6169044388108243E-3</v>
      </c>
      <c r="O433" s="18">
        <f t="shared" si="68"/>
        <v>-1.2875817602806641E-2</v>
      </c>
      <c r="P433" s="18">
        <f t="shared" si="69"/>
        <v>-6.1497828140427667E-3</v>
      </c>
      <c r="Q433" s="18">
        <f t="shared" si="70"/>
        <v>1.955489074690773E-3</v>
      </c>
      <c r="R433" s="28">
        <f>((Scenario_DT!I$11*(IF(Scenario_DT!I$18=1,1,1+$M433/Scenario_DT!$C$19)*(1+$N433)^MAX(0,Scenario_DT!I$18-3))*(Scenario_DT!I$12+$O433)-Scenario_DT!I$13)*(1-Scenario_DT!I$14)+Scenario_DT!I$13-Scenario_DT!I$15)*Scenario_DT!I$16</f>
        <v>892.83102036404716</v>
      </c>
      <c r="S433" s="28">
        <f>((Scenario_DT!J$11*(IF(Scenario_DT!J$18=1,1,1+$M433/Scenario_DT!$C$19)*(1+$N433)^MAX(0,Scenario_DT!J$18-3))*(Scenario_DT!J$12+$O433)-Scenario_DT!J$13)*(1-Scenario_DT!J$14)+Scenario_DT!J$13-Scenario_DT!J$15)*Scenario_DT!J$16</f>
        <v>1848.423085011033</v>
      </c>
      <c r="T433" s="28">
        <f>((Scenario_DT!K$11*(IF(Scenario_DT!K$18=1,1,1+$M433/Scenario_DT!$C$19)*(1+$N433)^MAX(0,Scenario_DT!K$18-3))*(Scenario_DT!K$12+$O433)-Scenario_DT!K$13)*(1-Scenario_DT!K$14)+Scenario_DT!K$13-Scenario_DT!K$15)*Scenario_DT!K$16</f>
        <v>2114.4243099932419</v>
      </c>
      <c r="U433" s="28">
        <f>((Scenario_DT!L$11*(IF(Scenario_DT!L$18=1,1,1+$M433/Scenario_DT!$C$19)*(1+$N433)^MAX(0,Scenario_DT!L$18-3))*(Scenario_DT!L$12+$O433)-Scenario_DT!L$13)*(1-Scenario_DT!L$14)+Scenario_DT!L$13-Scenario_DT!L$15)*Scenario_DT!L$16</f>
        <v>2528.2578509061855</v>
      </c>
      <c r="V433" s="28">
        <f>((Scenario_DT!M$11*(IF(Scenario_DT!M$18=1,1,1+$M433/Scenario_DT!$C$19)*(1+$N433)^MAX(0,Scenario_DT!M$18-3))*(Scenario_DT!M$12+$O433)-Scenario_DT!M$13)*(1-Scenario_DT!M$14)+Scenario_DT!M$13-Scenario_DT!M$15)*Scenario_DT!M$16</f>
        <v>2666.2874799915694</v>
      </c>
      <c r="W433" s="28">
        <f>((Scenario_DT!N$11*(IF(Scenario_DT!N$18=1,1,1+$M433/Scenario_DT!$C$19)*(1+$N433)^MAX(0,Scenario_DT!N$18-3))*(Scenario_DT!N$12+$O433)-Scenario_DT!N$13)*(1-Scenario_DT!N$14)+Scenario_DT!N$13-Scenario_DT!N$15)*Scenario_DT!N$16</f>
        <v>2811.8522551113379</v>
      </c>
      <c r="X433" s="28">
        <f>((Scenario_DT!O$11*(IF(Scenario_DT!O$18=1,1,1+$M433/Scenario_DT!$C$19)*(1+$N433)^MAX(0,Scenario_DT!O$18-3))*(Scenario_DT!O$12+$O433)-Scenario_DT!O$13)*(1-Scenario_DT!O$14)+Scenario_DT!O$13-Scenario_DT!O$15)*Scenario_DT!O$16</f>
        <v>2965.3662567315741</v>
      </c>
      <c r="Y433" s="28">
        <f>((Scenario_DT!P$11*(IF(Scenario_DT!P$18=1,1,1+$M433/Scenario_DT!$C$19)*(1+$N433)^MAX(0,Scenario_DT!P$18-3))*(Scenario_DT!P$12+$O433)-Scenario_DT!P$13)*(1-Scenario_DT!P$14)+Scenario_DT!P$13-Scenario_DT!P$15)*Scenario_DT!P$16</f>
        <v>3127.26633583992</v>
      </c>
      <c r="Z433" s="28">
        <f>((Scenario_DT!Q$11*(IF(Scenario_DT!Q$18=1,1,1+$M433/Scenario_DT!$C$19)*(1+$N433)^MAX(0,Scenario_DT!Q$18-3))*(Scenario_DT!Q$12+$O433)-Scenario_DT!Q$13)*(1-Scenario_DT!Q$14)+Scenario_DT!Q$13-Scenario_DT!Q$15)*Scenario_DT!Q$16</f>
        <v>3298.0133657261708</v>
      </c>
      <c r="AA433" s="28">
        <f>((Scenario_DT!R$11*(IF(Scenario_DT!R$18=1,1,1+$M433/Scenario_DT!$C$19)*(1+$N433)^MAX(0,Scenario_DT!R$18-3))*(Scenario_DT!R$12+$O433)-Scenario_DT!R$13)*(1-Scenario_DT!R$14)+Scenario_DT!R$13-Scenario_DT!R$15)*Scenario_DT!R$16</f>
        <v>3478.0935625500506</v>
      </c>
      <c r="AB433" s="17">
        <f>(Scenario_DT!$R$11*(1+$M433/Scenario_DT!$C$19)*(1+$N433)^7*(Scenario_DT!$R$12+$O433)*(1+MIN(DCF_FCFF!$C$26+$Q433,(DCF_FCFF!$C$25+$P433)-0.02))*(1-DCF_FCFF!$C$27)*(1-DCF_FCFF!$C$28)/((DCF_FCFF!$C$25+$P433)-MIN(DCF_FCFF!$C$26+$Q433,(DCF_FCFF!$C$25+$P433)-0.02)))*(1+(DCF_FCFF!$C$25+$P433))^(-(Inputs!$C$9+9))</f>
        <v>36941.56098868978</v>
      </c>
      <c r="AC433" s="17">
        <f>SUMPRODUCT(R433:AA433*(1+(DCF_FCFF!$C$25+$P433))^(-Scenario_DT!$I$17:$R$17))+AB433</f>
        <v>54154.907296716483</v>
      </c>
      <c r="AD433" s="68">
        <f>((AC433-DCF_FCFF!$C$48)*(1-DCF_FCFF!$C$50)+DCF_FCFF!$C$57+DCF_FCFF!$C$58)/DCF_FCFF!$C$60</f>
        <v>423.37598900620634</v>
      </c>
      <c r="AE433" s="6"/>
      <c r="AF433" s="6"/>
      <c r="AG433" s="6"/>
    </row>
    <row r="434" spans="1:33" x14ac:dyDescent="0.3">
      <c r="A434" s="6"/>
      <c r="B434" s="72">
        <v>403</v>
      </c>
      <c r="C434" s="73">
        <v>4.7372506729489797E-2</v>
      </c>
      <c r="D434" s="73">
        <v>0.286593764913813</v>
      </c>
      <c r="E434" s="73">
        <v>0.13978759046986799</v>
      </c>
      <c r="F434" s="73">
        <v>0.44107742961728402</v>
      </c>
      <c r="G434" s="73">
        <v>0.41435377199436102</v>
      </c>
      <c r="H434" s="15">
        <f t="shared" si="61"/>
        <v>-1.6708818688670248</v>
      </c>
      <c r="I434" s="15">
        <f t="shared" si="62"/>
        <v>-0.56336328916094514</v>
      </c>
      <c r="J434" s="15">
        <f t="shared" si="63"/>
        <v>-1.0812741537945976</v>
      </c>
      <c r="K434" s="15">
        <f t="shared" si="64"/>
        <v>-0.14823810668411647</v>
      </c>
      <c r="L434" s="15">
        <f t="shared" si="65"/>
        <v>-0.21635948577053832</v>
      </c>
      <c r="M434" s="18">
        <f t="shared" si="66"/>
        <v>-3.3417637377340499E-2</v>
      </c>
      <c r="N434" s="18">
        <f t="shared" si="67"/>
        <v>-1.0586622835251594E-2</v>
      </c>
      <c r="O434" s="18">
        <f t="shared" si="68"/>
        <v>-1.2975289845535171E-2</v>
      </c>
      <c r="P434" s="18">
        <f t="shared" si="69"/>
        <v>-8.8942864010469879E-4</v>
      </c>
      <c r="Q434" s="18">
        <f t="shared" si="70"/>
        <v>-8.6543794308215332E-4</v>
      </c>
      <c r="R434" s="28">
        <f>((Scenario_DT!I$11*(IF(Scenario_DT!I$18=1,1,1+$M434/Scenario_DT!$C$19)*(1+$N434)^MAX(0,Scenario_DT!I$18-3))*(Scenario_DT!I$12+$O434)-Scenario_DT!I$13)*(1-Scenario_DT!I$14)+Scenario_DT!I$13-Scenario_DT!I$15)*Scenario_DT!I$16</f>
        <v>892.69077520664894</v>
      </c>
      <c r="S434" s="28">
        <f>((Scenario_DT!J$11*(IF(Scenario_DT!J$18=1,1,1+$M434/Scenario_DT!$C$19)*(1+$N434)^MAX(0,Scenario_DT!J$18-3))*(Scenario_DT!J$12+$O434)-Scenario_DT!J$13)*(1-Scenario_DT!J$14)+Scenario_DT!J$13-Scenario_DT!J$15)*Scenario_DT!J$16</f>
        <v>1712.9402710392437</v>
      </c>
      <c r="T434" s="28">
        <f>((Scenario_DT!K$11*(IF(Scenario_DT!K$18=1,1,1+$M434/Scenario_DT!$C$19)*(1+$N434)^MAX(0,Scenario_DT!K$18-3))*(Scenario_DT!K$12+$O434)-Scenario_DT!K$13)*(1-Scenario_DT!K$14)+Scenario_DT!K$13-Scenario_DT!K$15)*Scenario_DT!K$16</f>
        <v>1972.0668496155408</v>
      </c>
      <c r="U434" s="28">
        <f>((Scenario_DT!L$11*(IF(Scenario_DT!L$18=1,1,1+$M434/Scenario_DT!$C$19)*(1+$N434)^MAX(0,Scenario_DT!L$18-3))*(Scenario_DT!L$12+$O434)-Scenario_DT!L$13)*(1-Scenario_DT!L$14)+Scenario_DT!L$13-Scenario_DT!L$15)*Scenario_DT!L$16</f>
        <v>2340.1889929947306</v>
      </c>
      <c r="V434" s="28">
        <f>((Scenario_DT!M$11*(IF(Scenario_DT!M$18=1,1,1+$M434/Scenario_DT!$C$19)*(1+$N434)^MAX(0,Scenario_DT!M$18-3))*(Scenario_DT!M$12+$O434)-Scenario_DT!M$13)*(1-Scenario_DT!M$14)+Scenario_DT!M$13-Scenario_DT!M$15)*Scenario_DT!M$16</f>
        <v>2430.2759993282721</v>
      </c>
      <c r="W434" s="28">
        <f>((Scenario_DT!N$11*(IF(Scenario_DT!N$18=1,1,1+$M434/Scenario_DT!$C$19)*(1+$N434)^MAX(0,Scenario_DT!N$18-3))*(Scenario_DT!N$12+$O434)-Scenario_DT!N$13)*(1-Scenario_DT!N$14)+Scenario_DT!N$13-Scenario_DT!N$15)*Scenario_DT!N$16</f>
        <v>2523.8054984846622</v>
      </c>
      <c r="X434" s="28">
        <f>((Scenario_DT!O$11*(IF(Scenario_DT!O$18=1,1,1+$M434/Scenario_DT!$C$19)*(1+$N434)^MAX(0,Scenario_DT!O$18-3))*(Scenario_DT!O$12+$O434)-Scenario_DT!O$13)*(1-Scenario_DT!O$14)+Scenario_DT!O$13-Scenario_DT!O$15)*Scenario_DT!O$16</f>
        <v>2620.9102065430202</v>
      </c>
      <c r="Y434" s="28">
        <f>((Scenario_DT!P$11*(IF(Scenario_DT!P$18=1,1,1+$M434/Scenario_DT!$C$19)*(1+$N434)^MAX(0,Scenario_DT!P$18-3))*(Scenario_DT!P$12+$O434)-Scenario_DT!P$13)*(1-Scenario_DT!P$14)+Scenario_DT!P$13-Scenario_DT!P$15)*Scenario_DT!P$16</f>
        <v>2721.7279657262075</v>
      </c>
      <c r="Z434" s="28">
        <f>((Scenario_DT!Q$11*(IF(Scenario_DT!Q$18=1,1,1+$M434/Scenario_DT!$C$19)*(1+$N434)^MAX(0,Scenario_DT!Q$18-3))*(Scenario_DT!Q$12+$O434)-Scenario_DT!Q$13)*(1-Scenario_DT!Q$14)+Scenario_DT!Q$13-Scenario_DT!Q$15)*Scenario_DT!Q$16</f>
        <v>2826.4019424087201</v>
      </c>
      <c r="AA434" s="28">
        <f>((Scenario_DT!R$11*(IF(Scenario_DT!R$18=1,1,1+$M434/Scenario_DT!$C$19)*(1+$N434)^MAX(0,Scenario_DT!R$18-3))*(Scenario_DT!R$12+$O434)-Scenario_DT!R$13)*(1-Scenario_DT!R$14)+Scenario_DT!R$13-Scenario_DT!R$15)*Scenario_DT!R$16</f>
        <v>2935.0808327699474</v>
      </c>
      <c r="AB434" s="17">
        <f>(Scenario_DT!$R$11*(1+$M434/Scenario_DT!$C$19)*(1+$N434)^7*(Scenario_DT!$R$12+$O434)*(1+MIN(DCF_FCFF!$C$26+$Q434,(DCF_FCFF!$C$25+$P434)-0.02))*(1-DCF_FCFF!$C$27)*(1-DCF_FCFF!$C$28)/((DCF_FCFF!$C$25+$P434)-MIN(DCF_FCFF!$C$26+$Q434,(DCF_FCFF!$C$25+$P434)-0.02)))*(1+(DCF_FCFF!$C$25+$P434))^(-(Inputs!$C$9+9))</f>
        <v>24969.680761802651</v>
      </c>
      <c r="AC434" s="17">
        <f>SUMPRODUCT(R434:AA434*(1+(DCF_FCFF!$C$25+$P434))^(-Scenario_DT!$I$17:$R$17))+AB434</f>
        <v>40132.662278392003</v>
      </c>
      <c r="AD434" s="68">
        <f>((AC434-DCF_FCFF!$C$48)*(1-DCF_FCFF!$C$50)+DCF_FCFF!$C$57+DCF_FCFF!$C$58)/DCF_FCFF!$C$60</f>
        <v>288.77970560481589</v>
      </c>
      <c r="AE434" s="6"/>
      <c r="AF434" s="6"/>
      <c r="AG434" s="6"/>
    </row>
    <row r="435" spans="1:33" x14ac:dyDescent="0.3">
      <c r="A435" s="6"/>
      <c r="B435" s="72">
        <v>404</v>
      </c>
      <c r="C435" s="73">
        <v>0.52187643468885603</v>
      </c>
      <c r="D435" s="73">
        <v>0.27963632910253</v>
      </c>
      <c r="E435" s="73">
        <v>3.2043589378177202E-2</v>
      </c>
      <c r="F435" s="73">
        <v>0.61438610653518599</v>
      </c>
      <c r="G435" s="73">
        <v>0.37371800288235102</v>
      </c>
      <c r="H435" s="15">
        <f t="shared" si="61"/>
        <v>5.4863600690712347E-2</v>
      </c>
      <c r="I435" s="15">
        <f t="shared" si="62"/>
        <v>-0.58392219736193374</v>
      </c>
      <c r="J435" s="15">
        <f t="shared" si="63"/>
        <v>-1.8515728913883347</v>
      </c>
      <c r="K435" s="15">
        <f t="shared" si="64"/>
        <v>0.29076927314243012</v>
      </c>
      <c r="L435" s="15">
        <f t="shared" si="65"/>
        <v>-0.32202202926359985</v>
      </c>
      <c r="M435" s="18">
        <f t="shared" si="66"/>
        <v>1.0972720138142469E-3</v>
      </c>
      <c r="N435" s="18">
        <f t="shared" si="67"/>
        <v>-3.8260772512296731E-3</v>
      </c>
      <c r="O435" s="18">
        <f t="shared" si="68"/>
        <v>-2.2218874696660017E-2</v>
      </c>
      <c r="P435" s="18">
        <f t="shared" si="69"/>
        <v>1.7446156388545807E-3</v>
      </c>
      <c r="Q435" s="18">
        <f t="shared" si="70"/>
        <v>-1.2880881170543993E-3</v>
      </c>
      <c r="R435" s="28">
        <f>((Scenario_DT!I$11*(IF(Scenario_DT!I$18=1,1,1+$M435/Scenario_DT!$C$19)*(1+$N435)^MAX(0,Scenario_DT!I$18-3))*(Scenario_DT!I$12+$O435)-Scenario_DT!I$13)*(1-Scenario_DT!I$14)+Scenario_DT!I$13-Scenario_DT!I$15)*Scenario_DT!I$16</f>
        <v>879.65831532829009</v>
      </c>
      <c r="S435" s="28">
        <f>((Scenario_DT!J$11*(IF(Scenario_DT!J$18=1,1,1+$M435/Scenario_DT!$C$19)*(1+$N435)^MAX(0,Scenario_DT!J$18-3))*(Scenario_DT!J$12+$O435)-Scenario_DT!J$13)*(1-Scenario_DT!J$14)+Scenario_DT!J$13-Scenario_DT!J$15)*Scenario_DT!J$16</f>
        <v>1765.4074422670647</v>
      </c>
      <c r="T435" s="28">
        <f>((Scenario_DT!K$11*(IF(Scenario_DT!K$18=1,1,1+$M435/Scenario_DT!$C$19)*(1+$N435)^MAX(0,Scenario_DT!K$18-3))*(Scenario_DT!K$12+$O435)-Scenario_DT!K$13)*(1-Scenario_DT!K$14)+Scenario_DT!K$13-Scenario_DT!K$15)*Scenario_DT!K$16</f>
        <v>2027.613600767932</v>
      </c>
      <c r="U435" s="28">
        <f>((Scenario_DT!L$11*(IF(Scenario_DT!L$18=1,1,1+$M435/Scenario_DT!$C$19)*(1+$N435)^MAX(0,Scenario_DT!L$18-3))*(Scenario_DT!L$12+$O435)-Scenario_DT!L$13)*(1-Scenario_DT!L$14)+Scenario_DT!L$13-Scenario_DT!L$15)*Scenario_DT!L$16</f>
        <v>2415.0471429412955</v>
      </c>
      <c r="V435" s="28">
        <f>((Scenario_DT!M$11*(IF(Scenario_DT!M$18=1,1,1+$M435/Scenario_DT!$C$19)*(1+$N435)^MAX(0,Scenario_DT!M$18-3))*(Scenario_DT!M$12+$O435)-Scenario_DT!M$13)*(1-Scenario_DT!M$14)+Scenario_DT!M$13-Scenario_DT!M$15)*Scenario_DT!M$16</f>
        <v>2525.3081126957936</v>
      </c>
      <c r="W435" s="28">
        <f>((Scenario_DT!N$11*(IF(Scenario_DT!N$18=1,1,1+$M435/Scenario_DT!$C$19)*(1+$N435)^MAX(0,Scenario_DT!N$18-3))*(Scenario_DT!N$12+$O435)-Scenario_DT!N$13)*(1-Scenario_DT!N$14)+Scenario_DT!N$13-Scenario_DT!N$15)*Scenario_DT!N$16</f>
        <v>2640.5898266230151</v>
      </c>
      <c r="X435" s="28">
        <f>((Scenario_DT!O$11*(IF(Scenario_DT!O$18=1,1,1+$M435/Scenario_DT!$C$19)*(1+$N435)^MAX(0,Scenario_DT!O$18-3))*(Scenario_DT!O$12+$O435)-Scenario_DT!O$13)*(1-Scenario_DT!O$14)+Scenario_DT!O$13-Scenario_DT!O$15)*Scenario_DT!O$16</f>
        <v>2761.1228708802473</v>
      </c>
      <c r="Y435" s="28">
        <f>((Scenario_DT!P$11*(IF(Scenario_DT!P$18=1,1,1+$M435/Scenario_DT!$C$19)*(1+$N435)^MAX(0,Scenario_DT!P$18-3))*(Scenario_DT!P$12+$O435)-Scenario_DT!P$13)*(1-Scenario_DT!P$14)+Scenario_DT!P$13-Scenario_DT!P$15)*Scenario_DT!P$16</f>
        <v>2887.1484417775923</v>
      </c>
      <c r="Z435" s="28">
        <f>((Scenario_DT!Q$11*(IF(Scenario_DT!Q$18=1,1,1+$M435/Scenario_DT!$C$19)*(1+$N435)^MAX(0,Scenario_DT!Q$18-3))*(Scenario_DT!Q$12+$O435)-Scenario_DT!Q$13)*(1-Scenario_DT!Q$14)+Scenario_DT!Q$13-Scenario_DT!Q$15)*Scenario_DT!Q$16</f>
        <v>3018.9188342046714</v>
      </c>
      <c r="AA435" s="28">
        <f>((Scenario_DT!R$11*(IF(Scenario_DT!R$18=1,1,1+$M435/Scenario_DT!$C$19)*(1+$N435)^MAX(0,Scenario_DT!R$18-3))*(Scenario_DT!R$12+$O435)-Scenario_DT!R$13)*(1-Scenario_DT!R$14)+Scenario_DT!R$13-Scenario_DT!R$15)*Scenario_DT!R$16</f>
        <v>3156.697952544223</v>
      </c>
      <c r="AB435" s="17">
        <f>(Scenario_DT!$R$11*(1+$M435/Scenario_DT!$C$19)*(1+$N435)^7*(Scenario_DT!$R$12+$O435)*(1+MIN(DCF_FCFF!$C$26+$Q435,(DCF_FCFF!$C$25+$P435)-0.02))*(1-DCF_FCFF!$C$27)*(1-DCF_FCFF!$C$28)/((DCF_FCFF!$C$25+$P435)-MIN(DCF_FCFF!$C$26+$Q435,(DCF_FCFF!$C$25+$P435)-0.02)))*(1+(DCF_FCFF!$C$25+$P435))^(-(Inputs!$C$9+9))</f>
        <v>24719.621561882846</v>
      </c>
      <c r="AC435" s="17">
        <f>SUMPRODUCT(R435:AA435*(1+(DCF_FCFF!$C$25+$P435))^(-Scenario_DT!$I$17:$R$17))+AB435</f>
        <v>40367.721346376195</v>
      </c>
      <c r="AD435" s="68">
        <f>((AC435-DCF_FCFF!$C$48)*(1-DCF_FCFF!$C$50)+DCF_FCFF!$C$57+DCF_FCFF!$C$58)/DCF_FCFF!$C$60</f>
        <v>291.03598317585545</v>
      </c>
      <c r="AE435" s="6"/>
      <c r="AF435" s="6"/>
      <c r="AG435" s="6"/>
    </row>
    <row r="436" spans="1:33" x14ac:dyDescent="0.3">
      <c r="A436" s="6"/>
      <c r="B436" s="72">
        <v>405</v>
      </c>
      <c r="C436" s="73">
        <v>0.65133499874004597</v>
      </c>
      <c r="D436" s="73">
        <v>0.108666970804269</v>
      </c>
      <c r="E436" s="73">
        <v>1.37773552940503E-2</v>
      </c>
      <c r="F436" s="73">
        <v>0.248294247885293</v>
      </c>
      <c r="G436" s="73">
        <v>0.45654732299405199</v>
      </c>
      <c r="H436" s="15">
        <f t="shared" si="61"/>
        <v>0.38892719722980407</v>
      </c>
      <c r="I436" s="15">
        <f t="shared" si="62"/>
        <v>-1.2336484208174385</v>
      </c>
      <c r="J436" s="15">
        <f t="shared" si="63"/>
        <v>-2.2035684152898063</v>
      </c>
      <c r="K436" s="15">
        <f t="shared" si="64"/>
        <v>-0.67986728844852951</v>
      </c>
      <c r="L436" s="15">
        <f t="shared" si="65"/>
        <v>-0.10913596917814747</v>
      </c>
      <c r="M436" s="18">
        <f t="shared" si="66"/>
        <v>7.7785439445960817E-3</v>
      </c>
      <c r="N436" s="18">
        <f t="shared" si="67"/>
        <v>-6.9912581852124419E-3</v>
      </c>
      <c r="O436" s="18">
        <f t="shared" si="68"/>
        <v>-2.6442820983477677E-2</v>
      </c>
      <c r="P436" s="18">
        <f t="shared" si="69"/>
        <v>-4.0792037306911768E-3</v>
      </c>
      <c r="Q436" s="18">
        <f t="shared" si="70"/>
        <v>-4.3654387671258991E-4</v>
      </c>
      <c r="R436" s="28">
        <f>((Scenario_DT!I$11*(IF(Scenario_DT!I$18=1,1,1+$M436/Scenario_DT!$C$19)*(1+$N436)^MAX(0,Scenario_DT!I$18-3))*(Scenario_DT!I$12+$O436)-Scenario_DT!I$13)*(1-Scenario_DT!I$14)+Scenario_DT!I$13-Scenario_DT!I$15)*Scenario_DT!I$16</f>
        <v>873.70300562995442</v>
      </c>
      <c r="S436" s="28">
        <f>((Scenario_DT!J$11*(IF(Scenario_DT!J$18=1,1,1+$M436/Scenario_DT!$C$19)*(1+$N436)^MAX(0,Scenario_DT!J$18-3))*(Scenario_DT!J$12+$O436)-Scenario_DT!J$13)*(1-Scenario_DT!J$14)+Scenario_DT!J$13-Scenario_DT!J$15)*Scenario_DT!J$16</f>
        <v>1767.6916846447452</v>
      </c>
      <c r="T436" s="28">
        <f>((Scenario_DT!K$11*(IF(Scenario_DT!K$18=1,1,1+$M436/Scenario_DT!$C$19)*(1+$N436)^MAX(0,Scenario_DT!K$18-3))*(Scenario_DT!K$12+$O436)-Scenario_DT!K$13)*(1-Scenario_DT!K$14)+Scenario_DT!K$13-Scenario_DT!K$15)*Scenario_DT!K$16</f>
        <v>2030.2080002344346</v>
      </c>
      <c r="U436" s="28">
        <f>((Scenario_DT!L$11*(IF(Scenario_DT!L$18=1,1,1+$M436/Scenario_DT!$C$19)*(1+$N436)^MAX(0,Scenario_DT!L$18-3))*(Scenario_DT!L$12+$O436)-Scenario_DT!L$13)*(1-Scenario_DT!L$14)+Scenario_DT!L$13-Scenario_DT!L$15)*Scenario_DT!L$16</f>
        <v>2410.0555205980577</v>
      </c>
      <c r="V436" s="28">
        <f>((Scenario_DT!M$11*(IF(Scenario_DT!M$18=1,1,1+$M436/Scenario_DT!$C$19)*(1+$N436)^MAX(0,Scenario_DT!M$18-3))*(Scenario_DT!M$12+$O436)-Scenario_DT!M$13)*(1-Scenario_DT!M$14)+Scenario_DT!M$13-Scenario_DT!M$15)*Scenario_DT!M$16</f>
        <v>2512.02120496305</v>
      </c>
      <c r="W436" s="28">
        <f>((Scenario_DT!N$11*(IF(Scenario_DT!N$18=1,1,1+$M436/Scenario_DT!$C$19)*(1+$N436)^MAX(0,Scenario_DT!N$18-3))*(Scenario_DT!N$12+$O436)-Scenario_DT!N$13)*(1-Scenario_DT!N$14)+Scenario_DT!N$13-Scenario_DT!N$15)*Scenario_DT!N$16</f>
        <v>2618.2821159610221</v>
      </c>
      <c r="X436" s="28">
        <f>((Scenario_DT!O$11*(IF(Scenario_DT!O$18=1,1,1+$M436/Scenario_DT!$C$19)*(1+$N436)^MAX(0,Scenario_DT!O$18-3))*(Scenario_DT!O$12+$O436)-Scenario_DT!O$13)*(1-Scenario_DT!O$14)+Scenario_DT!O$13-Scenario_DT!O$15)*Scenario_DT!O$16</f>
        <v>2729.020800442474</v>
      </c>
      <c r="Y436" s="28">
        <f>((Scenario_DT!P$11*(IF(Scenario_DT!P$18=1,1,1+$M436/Scenario_DT!$C$19)*(1+$N436)^MAX(0,Scenario_DT!P$18-3))*(Scenario_DT!P$12+$O436)-Scenario_DT!P$13)*(1-Scenario_DT!P$14)+Scenario_DT!P$13-Scenario_DT!P$15)*Scenario_DT!P$16</f>
        <v>2844.4275802814532</v>
      </c>
      <c r="Z436" s="28">
        <f>((Scenario_DT!Q$11*(IF(Scenario_DT!Q$18=1,1,1+$M436/Scenario_DT!$C$19)*(1+$N436)^MAX(0,Scenario_DT!Q$18-3))*(Scenario_DT!Q$12+$O436)-Scenario_DT!Q$13)*(1-Scenario_DT!Q$14)+Scenario_DT!Q$13-Scenario_DT!Q$15)*Scenario_DT!Q$16</f>
        <v>2964.7008837242861</v>
      </c>
      <c r="AA436" s="28">
        <f>((Scenario_DT!R$11*(IF(Scenario_DT!R$18=1,1,1+$M436/Scenario_DT!$C$19)*(1+$N436)^MAX(0,Scenario_DT!R$18-3))*(Scenario_DT!R$12+$O436)-Scenario_DT!R$13)*(1-Scenario_DT!R$14)+Scenario_DT!R$13-Scenario_DT!R$15)*Scenario_DT!R$16</f>
        <v>3090.0475908628573</v>
      </c>
      <c r="AB436" s="17">
        <f>(Scenario_DT!$R$11*(1+$M436/Scenario_DT!$C$19)*(1+$N436)^7*(Scenario_DT!$R$12+$O436)*(1+MIN(DCF_FCFF!$C$26+$Q436,(DCF_FCFF!$C$25+$P436)-0.02))*(1-DCF_FCFF!$C$27)*(1-DCF_FCFF!$C$28)/((DCF_FCFF!$C$25+$P436)-MIN(DCF_FCFF!$C$26+$Q436,(DCF_FCFF!$C$25+$P436)-0.02)))*(1+(DCF_FCFF!$C$25+$P436))^(-(Inputs!$C$9+9))</f>
        <v>29118.288164288075</v>
      </c>
      <c r="AC436" s="17">
        <f>SUMPRODUCT(R436:AA436*(1+(DCF_FCFF!$C$25+$P436))^(-Scenario_DT!$I$17:$R$17))+AB436</f>
        <v>45022.412247404041</v>
      </c>
      <c r="AD436" s="68">
        <f>((AC436-DCF_FCFF!$C$48)*(1-DCF_FCFF!$C$50)+DCF_FCFF!$C$57+DCF_FCFF!$C$58)/DCF_FCFF!$C$60</f>
        <v>335.71528344780859</v>
      </c>
      <c r="AE436" s="6"/>
      <c r="AF436" s="6"/>
      <c r="AG436" s="6"/>
    </row>
    <row r="437" spans="1:33" x14ac:dyDescent="0.3">
      <c r="A437" s="6"/>
      <c r="B437" s="72">
        <v>406</v>
      </c>
      <c r="C437" s="73">
        <v>0.39407197416846701</v>
      </c>
      <c r="D437" s="73">
        <v>0.81030255527346595</v>
      </c>
      <c r="E437" s="73">
        <v>0.37783764419282401</v>
      </c>
      <c r="F437" s="73">
        <v>0.53044117960307902</v>
      </c>
      <c r="G437" s="73">
        <v>0.59351559244219199</v>
      </c>
      <c r="H437" s="15">
        <f t="shared" si="61"/>
        <v>-0.26872157433475624</v>
      </c>
      <c r="I437" s="15">
        <f t="shared" si="62"/>
        <v>0.87901177861062285</v>
      </c>
      <c r="J437" s="15">
        <f t="shared" si="63"/>
        <v>-0.31116486940048804</v>
      </c>
      <c r="K437" s="15">
        <f t="shared" si="64"/>
        <v>7.6378919017019237E-2</v>
      </c>
      <c r="L437" s="15">
        <f t="shared" si="65"/>
        <v>0.23659781544386227</v>
      </c>
      <c r="M437" s="18">
        <f t="shared" si="66"/>
        <v>-5.374431486695125E-3</v>
      </c>
      <c r="N437" s="18">
        <f t="shared" si="67"/>
        <v>5.0150859466813131E-3</v>
      </c>
      <c r="O437" s="18">
        <f t="shared" si="68"/>
        <v>-3.7339784328058565E-3</v>
      </c>
      <c r="P437" s="18">
        <f t="shared" si="69"/>
        <v>4.5827351410211541E-4</v>
      </c>
      <c r="Q437" s="18">
        <f t="shared" si="70"/>
        <v>9.4639126177544907E-4</v>
      </c>
      <c r="R437" s="28">
        <f>((Scenario_DT!I$11*(IF(Scenario_DT!I$18=1,1,1+$M437/Scenario_DT!$C$19)*(1+$N437)^MAX(0,Scenario_DT!I$18-3))*(Scenario_DT!I$12+$O437)-Scenario_DT!I$13)*(1-Scenario_DT!I$14)+Scenario_DT!I$13-Scenario_DT!I$15)*Scenario_DT!I$16</f>
        <v>905.72002978152955</v>
      </c>
      <c r="S437" s="28">
        <f>((Scenario_DT!J$11*(IF(Scenario_DT!J$18=1,1,1+$M437/Scenario_DT!$C$19)*(1+$N437)^MAX(0,Scenario_DT!J$18-3))*(Scenario_DT!J$12+$O437)-Scenario_DT!J$13)*(1-Scenario_DT!J$14)+Scenario_DT!J$13-Scenario_DT!J$15)*Scenario_DT!J$16</f>
        <v>1807.4923671107108</v>
      </c>
      <c r="T437" s="28">
        <f>((Scenario_DT!K$11*(IF(Scenario_DT!K$18=1,1,1+$M437/Scenario_DT!$C$19)*(1+$N437)^MAX(0,Scenario_DT!K$18-3))*(Scenario_DT!K$12+$O437)-Scenario_DT!K$13)*(1-Scenario_DT!K$14)+Scenario_DT!K$13-Scenario_DT!K$15)*Scenario_DT!K$16</f>
        <v>2071.0073201254322</v>
      </c>
      <c r="U437" s="28">
        <f>((Scenario_DT!L$11*(IF(Scenario_DT!L$18=1,1,1+$M437/Scenario_DT!$C$19)*(1+$N437)^MAX(0,Scenario_DT!L$18-3))*(Scenario_DT!L$12+$O437)-Scenario_DT!L$13)*(1-Scenario_DT!L$14)+Scenario_DT!L$13-Scenario_DT!L$15)*Scenario_DT!L$16</f>
        <v>2482.9362646258214</v>
      </c>
      <c r="V437" s="28">
        <f>((Scenario_DT!M$11*(IF(Scenario_DT!M$18=1,1,1+$M437/Scenario_DT!$C$19)*(1+$N437)^MAX(0,Scenario_DT!M$18-3))*(Scenario_DT!M$12+$O437)-Scenario_DT!M$13)*(1-Scenario_DT!M$14)+Scenario_DT!M$13-Scenario_DT!M$15)*Scenario_DT!M$16</f>
        <v>2619.5252541919258</v>
      </c>
      <c r="W437" s="28">
        <f>((Scenario_DT!N$11*(IF(Scenario_DT!N$18=1,1,1+$M437/Scenario_DT!$C$19)*(1+$N437)^MAX(0,Scenario_DT!N$18-3))*(Scenario_DT!N$12+$O437)-Scenario_DT!N$13)*(1-Scenario_DT!N$14)+Scenario_DT!N$13-Scenario_DT!N$15)*Scenario_DT!N$16</f>
        <v>2763.6281349114347</v>
      </c>
      <c r="X437" s="28">
        <f>((Scenario_DT!O$11*(IF(Scenario_DT!O$18=1,1,1+$M437/Scenario_DT!$C$19)*(1+$N437)^MAX(0,Scenario_DT!O$18-3))*(Scenario_DT!O$12+$O437)-Scenario_DT!O$13)*(1-Scenario_DT!O$14)+Scenario_DT!O$13-Scenario_DT!O$15)*Scenario_DT!O$16</f>
        <v>2915.6610136757376</v>
      </c>
      <c r="Y437" s="28">
        <f>((Scenario_DT!P$11*(IF(Scenario_DT!P$18=1,1,1+$M437/Scenario_DT!$C$19)*(1+$N437)^MAX(0,Scenario_DT!P$18-3))*(Scenario_DT!P$12+$O437)-Scenario_DT!P$13)*(1-Scenario_DT!P$14)+Scenario_DT!P$13-Scenario_DT!P$15)*Scenario_DT!P$16</f>
        <v>3076.0630554626882</v>
      </c>
      <c r="Z437" s="28">
        <f>((Scenario_DT!Q$11*(IF(Scenario_DT!Q$18=1,1,1+$M437/Scenario_DT!$C$19)*(1+$N437)^MAX(0,Scenario_DT!Q$18-3))*(Scenario_DT!Q$12+$O437)-Scenario_DT!Q$13)*(1-Scenario_DT!Q$14)+Scenario_DT!Q$13-Scenario_DT!Q$15)*Scenario_DT!Q$16</f>
        <v>3245.2977606394961</v>
      </c>
      <c r="AA437" s="28">
        <f>((Scenario_DT!R$11*(IF(Scenario_DT!R$18=1,1,1+$M437/Scenario_DT!$C$19)*(1+$N437)^MAX(0,Scenario_DT!R$18-3))*(Scenario_DT!R$12+$O437)-Scenario_DT!R$13)*(1-Scenario_DT!R$14)+Scenario_DT!R$13-Scenario_DT!R$15)*Scenario_DT!R$16</f>
        <v>3423.8543129914651</v>
      </c>
      <c r="AB437" s="17">
        <f>(Scenario_DT!$R$11*(1+$M437/Scenario_DT!$C$19)*(1+$N437)^7*(Scenario_DT!$R$12+$O437)*(1+MIN(DCF_FCFF!$C$26+$Q437,(DCF_FCFF!$C$25+$P437)-0.02))*(1-DCF_FCFF!$C$27)*(1-DCF_FCFF!$C$28)/((DCF_FCFF!$C$25+$P437)-MIN(DCF_FCFF!$C$26+$Q437,(DCF_FCFF!$C$25+$P437)-0.02)))*(1+(DCF_FCFF!$C$25+$P437))^(-(Inputs!$C$9+9))</f>
        <v>29067.608592049794</v>
      </c>
      <c r="AC437" s="17">
        <f>SUMPRODUCT(R437:AA437*(1+(DCF_FCFF!$C$25+$P437))^(-Scenario_DT!$I$17:$R$17))+AB437</f>
        <v>45530.739170227753</v>
      </c>
      <c r="AD437" s="68">
        <f>((AC437-DCF_FCFF!$C$48)*(1-DCF_FCFF!$C$50)+DCF_FCFF!$C$57+DCF_FCFF!$C$58)/DCF_FCFF!$C$60</f>
        <v>340.59459588854298</v>
      </c>
      <c r="AE437" s="6"/>
      <c r="AF437" s="6"/>
      <c r="AG437" s="6"/>
    </row>
    <row r="438" spans="1:33" x14ac:dyDescent="0.3">
      <c r="A438" s="6"/>
      <c r="B438" s="72">
        <v>407</v>
      </c>
      <c r="C438" s="73">
        <v>2.1831391645811601E-2</v>
      </c>
      <c r="D438" s="73">
        <v>0.51513337684618898</v>
      </c>
      <c r="E438" s="73">
        <v>0.34483125939883802</v>
      </c>
      <c r="F438" s="73">
        <v>0.42128012768325501</v>
      </c>
      <c r="G438" s="73">
        <v>0.10028739849524999</v>
      </c>
      <c r="H438" s="15">
        <f t="shared" si="61"/>
        <v>-2.0173137338514762</v>
      </c>
      <c r="I438" s="15">
        <f t="shared" si="62"/>
        <v>3.7942852462442542E-2</v>
      </c>
      <c r="J438" s="15">
        <f t="shared" si="63"/>
        <v>-0.39931309588946484</v>
      </c>
      <c r="K438" s="15">
        <f t="shared" si="64"/>
        <v>-0.19861968324458967</v>
      </c>
      <c r="L438" s="15">
        <f t="shared" si="65"/>
        <v>-1.2799156670054026</v>
      </c>
      <c r="M438" s="18">
        <f t="shared" si="66"/>
        <v>-4.0346274677029524E-2</v>
      </c>
      <c r="N438" s="18">
        <f t="shared" si="67"/>
        <v>-7.8063791424097433E-3</v>
      </c>
      <c r="O438" s="18">
        <f t="shared" si="68"/>
        <v>-4.7917571506735784E-3</v>
      </c>
      <c r="P438" s="18">
        <f t="shared" si="69"/>
        <v>-1.191718099467538E-3</v>
      </c>
      <c r="Q438" s="18">
        <f t="shared" si="70"/>
        <v>-5.1196626680216108E-3</v>
      </c>
      <c r="R438" s="28">
        <f>((Scenario_DT!I$11*(IF(Scenario_DT!I$18=1,1,1+$M438/Scenario_DT!$C$19)*(1+$N438)^MAX(0,Scenario_DT!I$18-3))*(Scenario_DT!I$12+$O438)-Scenario_DT!I$13)*(1-Scenario_DT!I$14)+Scenario_DT!I$13-Scenario_DT!I$15)*Scenario_DT!I$16</f>
        <v>904.2286756237196</v>
      </c>
      <c r="S438" s="28">
        <f>((Scenario_DT!J$11*(IF(Scenario_DT!J$18=1,1,1+$M438/Scenario_DT!$C$19)*(1+$N438)^MAX(0,Scenario_DT!J$18-3))*(Scenario_DT!J$12+$O438)-Scenario_DT!J$13)*(1-Scenario_DT!J$14)+Scenario_DT!J$13-Scenario_DT!J$15)*Scenario_DT!J$16</f>
        <v>1720.9758754772706</v>
      </c>
      <c r="T438" s="28">
        <f>((Scenario_DT!K$11*(IF(Scenario_DT!K$18=1,1,1+$M438/Scenario_DT!$C$19)*(1+$N438)^MAX(0,Scenario_DT!K$18-3))*(Scenario_DT!K$12+$O438)-Scenario_DT!K$13)*(1-Scenario_DT!K$14)+Scenario_DT!K$13-Scenario_DT!K$15)*Scenario_DT!K$16</f>
        <v>1980.1587814565482</v>
      </c>
      <c r="U438" s="28">
        <f>((Scenario_DT!L$11*(IF(Scenario_DT!L$18=1,1,1+$M438/Scenario_DT!$C$19)*(1+$N438)^MAX(0,Scenario_DT!L$18-3))*(Scenario_DT!L$12+$O438)-Scenario_DT!L$13)*(1-Scenario_DT!L$14)+Scenario_DT!L$13-Scenario_DT!L$15)*Scenario_DT!L$16</f>
        <v>2355.3370799346335</v>
      </c>
      <c r="V438" s="28">
        <f>((Scenario_DT!M$11*(IF(Scenario_DT!M$18=1,1,1+$M438/Scenario_DT!$C$19)*(1+$N438)^MAX(0,Scenario_DT!M$18-3))*(Scenario_DT!M$12+$O438)-Scenario_DT!M$13)*(1-Scenario_DT!M$14)+Scenario_DT!M$13-Scenario_DT!M$15)*Scenario_DT!M$16</f>
        <v>2452.9381988828204</v>
      </c>
      <c r="W438" s="28">
        <f>((Scenario_DT!N$11*(IF(Scenario_DT!N$18=1,1,1+$M438/Scenario_DT!$C$19)*(1+$N438)^MAX(0,Scenario_DT!N$18-3))*(Scenario_DT!N$12+$O438)-Scenario_DT!N$13)*(1-Scenario_DT!N$14)+Scenario_DT!N$13-Scenario_DT!N$15)*Scenario_DT!N$16</f>
        <v>2554.5634815374215</v>
      </c>
      <c r="X438" s="28">
        <f>((Scenario_DT!O$11*(IF(Scenario_DT!O$18=1,1,1+$M438/Scenario_DT!$C$19)*(1+$N438)^MAX(0,Scenario_DT!O$18-3))*(Scenario_DT!O$12+$O438)-Scenario_DT!O$13)*(1-Scenario_DT!O$14)+Scenario_DT!O$13-Scenario_DT!O$15)*Scenario_DT!O$16</f>
        <v>2660.3803634073574</v>
      </c>
      <c r="Y438" s="28">
        <f>((Scenario_DT!P$11*(IF(Scenario_DT!P$18=1,1,1+$M438/Scenario_DT!$C$19)*(1+$N438)^MAX(0,Scenario_DT!P$18-3))*(Scenario_DT!P$12+$O438)-Scenario_DT!P$13)*(1-Scenario_DT!P$14)+Scenario_DT!P$13-Scenario_DT!P$15)*Scenario_DT!P$16</f>
        <v>2770.5632620687361</v>
      </c>
      <c r="Z438" s="28">
        <f>((Scenario_DT!Q$11*(IF(Scenario_DT!Q$18=1,1,1+$M438/Scenario_DT!$C$19)*(1+$N438)^MAX(0,Scenario_DT!Q$18-3))*(Scenario_DT!Q$12+$O438)-Scenario_DT!Q$13)*(1-Scenario_DT!Q$14)+Scenario_DT!Q$13-Scenario_DT!Q$15)*Scenario_DT!Q$16</f>
        <v>2885.2938684864912</v>
      </c>
      <c r="AA438" s="28">
        <f>((Scenario_DT!R$11*(IF(Scenario_DT!R$18=1,1,1+$M438/Scenario_DT!$C$19)*(1+$N438)^MAX(0,Scenario_DT!R$18-3))*(Scenario_DT!R$12+$O438)-Scenario_DT!R$13)*(1-Scenario_DT!R$14)+Scenario_DT!R$13-Scenario_DT!R$15)*Scenario_DT!R$16</f>
        <v>3004.7614504938606</v>
      </c>
      <c r="AB438" s="17">
        <f>(Scenario_DT!$R$11*(1+$M438/Scenario_DT!$C$19)*(1+$N438)^7*(Scenario_DT!$R$12+$O438)*(1+MIN(DCF_FCFF!$C$26+$Q438,(DCF_FCFF!$C$25+$P438)-0.02))*(1-DCF_FCFF!$C$27)*(1-DCF_FCFF!$C$28)/((DCF_FCFF!$C$25+$P438)-MIN(DCF_FCFF!$C$26+$Q438,(DCF_FCFF!$C$25+$P438)-0.02)))*(1+(DCF_FCFF!$C$25+$P438))^(-(Inputs!$C$9+9))</f>
        <v>23662.777603868002</v>
      </c>
      <c r="AC438" s="17">
        <f>SUMPRODUCT(R438:AA438*(1+(DCF_FCFF!$C$25+$P438))^(-Scenario_DT!$I$17:$R$17))+AB438</f>
        <v>39031.220606287505</v>
      </c>
      <c r="AD438" s="68">
        <f>((AC438-DCF_FCFF!$C$48)*(1-DCF_FCFF!$C$50)+DCF_FCFF!$C$57+DCF_FCFF!$C$58)/DCF_FCFF!$C$60</f>
        <v>278.20722200786383</v>
      </c>
      <c r="AE438" s="6"/>
      <c r="AF438" s="6"/>
      <c r="AG438" s="6"/>
    </row>
    <row r="439" spans="1:33" x14ac:dyDescent="0.3">
      <c r="A439" s="6"/>
      <c r="B439" s="72">
        <v>408</v>
      </c>
      <c r="C439" s="73">
        <v>0.78282056564864499</v>
      </c>
      <c r="D439" s="73">
        <v>0.94240425080852297</v>
      </c>
      <c r="E439" s="73">
        <v>2.2268820629599999E-2</v>
      </c>
      <c r="F439" s="73">
        <v>0.60137276281134799</v>
      </c>
      <c r="G439" s="73">
        <v>0.76384406728835796</v>
      </c>
      <c r="H439" s="15">
        <f t="shared" si="61"/>
        <v>0.7817544948411439</v>
      </c>
      <c r="I439" s="15">
        <f t="shared" si="62"/>
        <v>1.575281430140167</v>
      </c>
      <c r="J439" s="15">
        <f t="shared" si="63"/>
        <v>-2.0089952143827734</v>
      </c>
      <c r="K439" s="15">
        <f t="shared" si="64"/>
        <v>0.25690193812533096</v>
      </c>
      <c r="L439" s="15">
        <f t="shared" si="65"/>
        <v>0.7187225839593202</v>
      </c>
      <c r="M439" s="18">
        <f t="shared" si="66"/>
        <v>1.5635089896822878E-2</v>
      </c>
      <c r="N439" s="18">
        <f t="shared" si="67"/>
        <v>1.4040887872254704E-2</v>
      </c>
      <c r="O439" s="18">
        <f t="shared" si="68"/>
        <v>-2.4107942572593282E-2</v>
      </c>
      <c r="P439" s="18">
        <f t="shared" si="69"/>
        <v>1.5414116287519857E-3</v>
      </c>
      <c r="Q439" s="18">
        <f t="shared" si="70"/>
        <v>2.8748903358372809E-3</v>
      </c>
      <c r="R439" s="28">
        <f>((Scenario_DT!I$11*(IF(Scenario_DT!I$18=1,1,1+$M439/Scenario_DT!$C$19)*(1+$N439)^MAX(0,Scenario_DT!I$18-3))*(Scenario_DT!I$12+$O439)-Scenario_DT!I$13)*(1-Scenario_DT!I$14)+Scenario_DT!I$13-Scenario_DT!I$15)*Scenario_DT!I$16</f>
        <v>876.99493291799058</v>
      </c>
      <c r="S439" s="28">
        <f>((Scenario_DT!J$11*(IF(Scenario_DT!J$18=1,1,1+$M439/Scenario_DT!$C$19)*(1+$N439)^MAX(0,Scenario_DT!J$18-3))*(Scenario_DT!J$12+$O439)-Scenario_DT!J$13)*(1-Scenario_DT!J$14)+Scenario_DT!J$13-Scenario_DT!J$15)*Scenario_DT!J$16</f>
        <v>1793.2084519966916</v>
      </c>
      <c r="T439" s="28">
        <f>((Scenario_DT!K$11*(IF(Scenario_DT!K$18=1,1,1+$M439/Scenario_DT!$C$19)*(1+$N439)^MAX(0,Scenario_DT!K$18-3))*(Scenario_DT!K$12+$O439)-Scenario_DT!K$13)*(1-Scenario_DT!K$14)+Scenario_DT!K$13-Scenario_DT!K$15)*Scenario_DT!K$16</f>
        <v>2056.9188683833818</v>
      </c>
      <c r="U439" s="28">
        <f>((Scenario_DT!L$11*(IF(Scenario_DT!L$18=1,1,1+$M439/Scenario_DT!$C$19)*(1+$N439)^MAX(0,Scenario_DT!L$18-3))*(Scenario_DT!L$12+$O439)-Scenario_DT!L$13)*(1-Scenario_DT!L$14)+Scenario_DT!L$13-Scenario_DT!L$15)*Scenario_DT!L$16</f>
        <v>2490.2176459668672</v>
      </c>
      <c r="V439" s="28">
        <f>((Scenario_DT!M$11*(IF(Scenario_DT!M$18=1,1,1+$M439/Scenario_DT!$C$19)*(1+$N439)^MAX(0,Scenario_DT!M$18-3))*(Scenario_DT!M$12+$O439)-Scenario_DT!M$13)*(1-Scenario_DT!M$14)+Scenario_DT!M$13-Scenario_DT!M$15)*Scenario_DT!M$16</f>
        <v>2650.9689937610847</v>
      </c>
      <c r="W439" s="28">
        <f>((Scenario_DT!N$11*(IF(Scenario_DT!N$18=1,1,1+$M439/Scenario_DT!$C$19)*(1+$N439)^MAX(0,Scenario_DT!N$18-3))*(Scenario_DT!N$12+$O439)-Scenario_DT!N$13)*(1-Scenario_DT!N$14)+Scenario_DT!N$13-Scenario_DT!N$15)*Scenario_DT!N$16</f>
        <v>2822.1078743498915</v>
      </c>
      <c r="X439" s="28">
        <f>((Scenario_DT!O$11*(IF(Scenario_DT!O$18=1,1,1+$M439/Scenario_DT!$C$19)*(1+$N439)^MAX(0,Scenario_DT!O$18-3))*(Scenario_DT!O$12+$O439)-Scenario_DT!O$13)*(1-Scenario_DT!O$14)+Scenario_DT!O$13-Scenario_DT!O$15)*Scenario_DT!O$16</f>
        <v>3004.3088021599151</v>
      </c>
      <c r="Y439" s="28">
        <f>((Scenario_DT!P$11*(IF(Scenario_DT!P$18=1,1,1+$M439/Scenario_DT!$C$19)*(1+$N439)^MAX(0,Scenario_DT!P$18-3))*(Scenario_DT!P$12+$O439)-Scenario_DT!P$13)*(1-Scenario_DT!P$14)+Scenario_DT!P$13-Scenario_DT!P$15)*Scenario_DT!P$16</f>
        <v>3198.2900787770755</v>
      </c>
      <c r="Z439" s="28">
        <f>((Scenario_DT!Q$11*(IF(Scenario_DT!Q$18=1,1,1+$M439/Scenario_DT!$C$19)*(1+$N439)^MAX(0,Scenario_DT!Q$18-3))*(Scenario_DT!Q$12+$O439)-Scenario_DT!Q$13)*(1-Scenario_DT!Q$14)+Scenario_DT!Q$13-Scenario_DT!Q$15)*Scenario_DT!Q$16</f>
        <v>3404.8166333191584</v>
      </c>
      <c r="AA439" s="28">
        <f>((Scenario_DT!R$11*(IF(Scenario_DT!R$18=1,1,1+$M439/Scenario_DT!$C$19)*(1+$N439)^MAX(0,Scenario_DT!R$18-3))*(Scenario_DT!R$12+$O439)-Scenario_DT!R$13)*(1-Scenario_DT!R$14)+Scenario_DT!R$13-Scenario_DT!R$15)*Scenario_DT!R$16</f>
        <v>3624.7030469461743</v>
      </c>
      <c r="AB439" s="17">
        <f>(Scenario_DT!$R$11*(1+$M439/Scenario_DT!$C$19)*(1+$N439)^7*(Scenario_DT!$R$12+$O439)*(1+MIN(DCF_FCFF!$C$26+$Q439,(DCF_FCFF!$C$25+$P439)-0.02))*(1-DCF_FCFF!$C$27)*(1-DCF_FCFF!$C$28)/((DCF_FCFF!$C$25+$P439)-MIN(DCF_FCFF!$C$26+$Q439,(DCF_FCFF!$C$25+$P439)-0.02)))*(1+(DCF_FCFF!$C$25+$P439))^(-(Inputs!$C$9+9))</f>
        <v>31053.496490331396</v>
      </c>
      <c r="AC439" s="17">
        <f>SUMPRODUCT(R439:AA439*(1+(DCF_FCFF!$C$25+$P439))^(-Scenario_DT!$I$17:$R$17))+AB439</f>
        <v>47742.580403326574</v>
      </c>
      <c r="AD439" s="68">
        <f>((AC439-DCF_FCFF!$C$48)*(1-DCF_FCFF!$C$50)+DCF_FCFF!$C$57+DCF_FCFF!$C$58)/DCF_FCFF!$C$60</f>
        <v>361.82554778390664</v>
      </c>
      <c r="AE439" s="6"/>
      <c r="AF439" s="6"/>
      <c r="AG439" s="6"/>
    </row>
    <row r="440" spans="1:33" x14ac:dyDescent="0.3">
      <c r="A440" s="6"/>
      <c r="B440" s="72">
        <v>409</v>
      </c>
      <c r="C440" s="73">
        <v>0.28480758864988898</v>
      </c>
      <c r="D440" s="73">
        <v>0.78755558486321697</v>
      </c>
      <c r="E440" s="73">
        <v>0.63235505076630105</v>
      </c>
      <c r="F440" s="73">
        <v>0.92916263227106999</v>
      </c>
      <c r="G440" s="73">
        <v>0.98100481135377304</v>
      </c>
      <c r="H440" s="15">
        <f t="shared" si="61"/>
        <v>-0.5686183379329276</v>
      </c>
      <c r="I440" s="15">
        <f t="shared" si="62"/>
        <v>0.7979683963057449</v>
      </c>
      <c r="J440" s="15">
        <f t="shared" si="63"/>
        <v>0.33809725579294747</v>
      </c>
      <c r="K440" s="15">
        <f t="shared" si="64"/>
        <v>1.4695829697707181</v>
      </c>
      <c r="L440" s="15">
        <f t="shared" si="65"/>
        <v>2.0749585416422751</v>
      </c>
      <c r="M440" s="18">
        <f t="shared" si="66"/>
        <v>-1.1372366758658553E-2</v>
      </c>
      <c r="N440" s="18">
        <f t="shared" si="67"/>
        <v>3.2540138692115188E-3</v>
      </c>
      <c r="O440" s="18">
        <f t="shared" si="68"/>
        <v>4.0571670695153696E-3</v>
      </c>
      <c r="P440" s="18">
        <f t="shared" si="69"/>
        <v>8.8174978186243095E-3</v>
      </c>
      <c r="Q440" s="18">
        <f t="shared" si="70"/>
        <v>8.2998341665691013E-3</v>
      </c>
      <c r="R440" s="28">
        <f>((Scenario_DT!I$11*(IF(Scenario_DT!I$18=1,1,1+$M440/Scenario_DT!$C$19)*(1+$N440)^MAX(0,Scenario_DT!I$18-3))*(Scenario_DT!I$12+$O440)-Scenario_DT!I$13)*(1-Scenario_DT!I$14)+Scenario_DT!I$13-Scenario_DT!I$15)*Scenario_DT!I$16</f>
        <v>916.70470648443234</v>
      </c>
      <c r="S440" s="28">
        <f>((Scenario_DT!J$11*(IF(Scenario_DT!J$18=1,1,1+$M440/Scenario_DT!$C$19)*(1+$N440)^MAX(0,Scenario_DT!J$18-3))*(Scenario_DT!J$12+$O440)-Scenario_DT!J$13)*(1-Scenario_DT!J$14)+Scenario_DT!J$13-Scenario_DT!J$15)*Scenario_DT!J$16</f>
        <v>1817.1137772220563</v>
      </c>
      <c r="T440" s="28">
        <f>((Scenario_DT!K$11*(IF(Scenario_DT!K$18=1,1,1+$M440/Scenario_DT!$C$19)*(1+$N440)^MAX(0,Scenario_DT!K$18-3))*(Scenario_DT!K$12+$O440)-Scenario_DT!K$13)*(1-Scenario_DT!K$14)+Scenario_DT!K$13-Scenario_DT!K$15)*Scenario_DT!K$16</f>
        <v>2080.774311820639</v>
      </c>
      <c r="U440" s="28">
        <f>((Scenario_DT!L$11*(IF(Scenario_DT!L$18=1,1,1+$M440/Scenario_DT!$C$19)*(1+$N440)^MAX(0,Scenario_DT!L$18-3))*(Scenario_DT!L$12+$O440)-Scenario_DT!L$13)*(1-Scenario_DT!L$14)+Scenario_DT!L$13-Scenario_DT!L$15)*Scenario_DT!L$16</f>
        <v>2488.9599977259304</v>
      </c>
      <c r="V440" s="28">
        <f>((Scenario_DT!M$11*(IF(Scenario_DT!M$18=1,1,1+$M440/Scenario_DT!$C$19)*(1+$N440)^MAX(0,Scenario_DT!M$18-3))*(Scenario_DT!M$12+$O440)-Scenario_DT!M$13)*(1-Scenario_DT!M$14)+Scenario_DT!M$13-Scenario_DT!M$15)*Scenario_DT!M$16</f>
        <v>2621.2482903387258</v>
      </c>
      <c r="W440" s="28">
        <f>((Scenario_DT!N$11*(IF(Scenario_DT!N$18=1,1,1+$M440/Scenario_DT!$C$19)*(1+$N440)^MAX(0,Scenario_DT!N$18-3))*(Scenario_DT!N$12+$O440)-Scenario_DT!N$13)*(1-Scenario_DT!N$14)+Scenario_DT!N$13-Scenario_DT!N$15)*Scenario_DT!N$16</f>
        <v>2760.5652805919603</v>
      </c>
      <c r="X440" s="28">
        <f>((Scenario_DT!O$11*(IF(Scenario_DT!O$18=1,1,1+$M440/Scenario_DT!$C$19)*(1+$N440)^MAX(0,Scenario_DT!O$18-3))*(Scenario_DT!O$12+$O440)-Scenario_DT!O$13)*(1-Scenario_DT!O$14)+Scenario_DT!O$13-Scenario_DT!O$15)*Scenario_DT!O$16</f>
        <v>2907.2870394782854</v>
      </c>
      <c r="Y440" s="28">
        <f>((Scenario_DT!P$11*(IF(Scenario_DT!P$18=1,1,1+$M440/Scenario_DT!$C$19)*(1+$N440)^MAX(0,Scenario_DT!P$18-3))*(Scenario_DT!P$12+$O440)-Scenario_DT!P$13)*(1-Scenario_DT!P$14)+Scenario_DT!P$13-Scenario_DT!P$15)*Scenario_DT!P$16</f>
        <v>3061.809777222345</v>
      </c>
      <c r="Z440" s="28">
        <f>((Scenario_DT!Q$11*(IF(Scenario_DT!Q$18=1,1,1+$M440/Scenario_DT!$C$19)*(1+$N440)^MAX(0,Scenario_DT!Q$18-3))*(Scenario_DT!Q$12+$O440)-Scenario_DT!Q$13)*(1-Scenario_DT!Q$14)+Scenario_DT!Q$13-Scenario_DT!Q$15)*Scenario_DT!Q$16</f>
        <v>3224.5509215458642</v>
      </c>
      <c r="AA440" s="28">
        <f>((Scenario_DT!R$11*(IF(Scenario_DT!R$18=1,1,1+$M440/Scenario_DT!$C$19)*(1+$N440)^MAX(0,Scenario_DT!R$18-3))*(Scenario_DT!R$12+$O440)-Scenario_DT!R$13)*(1-Scenario_DT!R$14)+Scenario_DT!R$13-Scenario_DT!R$15)*Scenario_DT!R$16</f>
        <v>3395.9502536434647</v>
      </c>
      <c r="AB440" s="17">
        <f>(Scenario_DT!$R$11*(1+$M440/Scenario_DT!$C$19)*(1+$N440)^7*(Scenario_DT!$R$12+$O440)*(1+MIN(DCF_FCFF!$C$26+$Q440,(DCF_FCFF!$C$25+$P440)-0.02))*(1-DCF_FCFF!$C$27)*(1-DCF_FCFF!$C$28)/((DCF_FCFF!$C$25+$P440)-MIN(DCF_FCFF!$C$26+$Q440,(DCF_FCFF!$C$25+$P440)-0.02)))*(1+(DCF_FCFF!$C$25+$P440))^(-(Inputs!$C$9+9))</f>
        <v>26477.47864431806</v>
      </c>
      <c r="AC440" s="17">
        <f>SUMPRODUCT(R440:AA440*(1+(DCF_FCFF!$C$25+$P440))^(-Scenario_DT!$I$17:$R$17))+AB440</f>
        <v>42369.213471344432</v>
      </c>
      <c r="AD440" s="68">
        <f>((AC440-DCF_FCFF!$C$48)*(1-DCF_FCFF!$C$50)+DCF_FCFF!$C$57+DCF_FCFF!$C$58)/DCF_FCFF!$C$60</f>
        <v>310.24784268378943</v>
      </c>
      <c r="AE440" s="6"/>
      <c r="AF440" s="6"/>
      <c r="AG440" s="6"/>
    </row>
    <row r="441" spans="1:33" x14ac:dyDescent="0.3">
      <c r="A441" s="6"/>
      <c r="B441" s="72">
        <v>410</v>
      </c>
      <c r="C441" s="73">
        <v>4.2346113998704797E-2</v>
      </c>
      <c r="D441" s="73">
        <v>0.444937761027006</v>
      </c>
      <c r="E441" s="73">
        <v>0.54698778757821798</v>
      </c>
      <c r="F441" s="73">
        <v>0.14674323320765301</v>
      </c>
      <c r="G441" s="73">
        <v>0.33628583042736199</v>
      </c>
      <c r="H441" s="15">
        <f t="shared" si="61"/>
        <v>-1.7240865045061777</v>
      </c>
      <c r="I441" s="15">
        <f t="shared" si="62"/>
        <v>-0.13846171888869746</v>
      </c>
      <c r="J441" s="15">
        <f t="shared" si="63"/>
        <v>0.11805456330484486</v>
      </c>
      <c r="K441" s="15">
        <f t="shared" si="64"/>
        <v>-1.0505039705151564</v>
      </c>
      <c r="L441" s="15">
        <f t="shared" si="65"/>
        <v>-0.42262119403294685</v>
      </c>
      <c r="M441" s="18">
        <f t="shared" si="66"/>
        <v>-3.4481730090123557E-2</v>
      </c>
      <c r="N441" s="18">
        <f t="shared" si="67"/>
        <v>-7.8556369460988842E-3</v>
      </c>
      <c r="O441" s="18">
        <f t="shared" si="68"/>
        <v>1.4166547596581383E-3</v>
      </c>
      <c r="P441" s="18">
        <f t="shared" si="69"/>
        <v>-6.3030238230909388E-3</v>
      </c>
      <c r="Q441" s="18">
        <f t="shared" si="70"/>
        <v>-1.6904847761317874E-3</v>
      </c>
      <c r="R441" s="28">
        <f>((Scenario_DT!I$11*(IF(Scenario_DT!I$18=1,1,1+$M441/Scenario_DT!$C$19)*(1+$N441)^MAX(0,Scenario_DT!I$18-3))*(Scenario_DT!I$12+$O441)-Scenario_DT!I$13)*(1-Scenario_DT!I$14)+Scenario_DT!I$13-Scenario_DT!I$15)*Scenario_DT!I$16</f>
        <v>912.9818682900775</v>
      </c>
      <c r="S441" s="28">
        <f>((Scenario_DT!J$11*(IF(Scenario_DT!J$18=1,1,1+$M441/Scenario_DT!$C$19)*(1+$N441)^MAX(0,Scenario_DT!J$18-3))*(Scenario_DT!J$12+$O441)-Scenario_DT!J$13)*(1-Scenario_DT!J$14)+Scenario_DT!J$13-Scenario_DT!J$15)*Scenario_DT!J$16</f>
        <v>1753.5228307951515</v>
      </c>
      <c r="T441" s="28">
        <f>((Scenario_DT!K$11*(IF(Scenario_DT!K$18=1,1,1+$M441/Scenario_DT!$C$19)*(1+$N441)^MAX(0,Scenario_DT!K$18-3))*(Scenario_DT!K$12+$O441)-Scenario_DT!K$13)*(1-Scenario_DT!K$14)+Scenario_DT!K$13-Scenario_DT!K$15)*Scenario_DT!K$16</f>
        <v>2014.0874956548673</v>
      </c>
      <c r="U441" s="28">
        <f>((Scenario_DT!L$11*(IF(Scenario_DT!L$18=1,1,1+$M441/Scenario_DT!$C$19)*(1+$N441)^MAX(0,Scenario_DT!L$18-3))*(Scenario_DT!L$12+$O441)-Scenario_DT!L$13)*(1-Scenario_DT!L$14)+Scenario_DT!L$13-Scenario_DT!L$15)*Scenario_DT!L$16</f>
        <v>2390.9610427297416</v>
      </c>
      <c r="V441" s="28">
        <f>((Scenario_DT!M$11*(IF(Scenario_DT!M$18=1,1,1+$M441/Scenario_DT!$C$19)*(1+$N441)^MAX(0,Scenario_DT!M$18-3))*(Scenario_DT!M$12+$O441)-Scenario_DT!M$13)*(1-Scenario_DT!M$14)+Scenario_DT!M$13-Scenario_DT!M$15)*Scenario_DT!M$16</f>
        <v>2489.9268260049175</v>
      </c>
      <c r="W441" s="28">
        <f>((Scenario_DT!N$11*(IF(Scenario_DT!N$18=1,1,1+$M441/Scenario_DT!$C$19)*(1+$N441)^MAX(0,Scenario_DT!N$18-3))*(Scenario_DT!N$12+$O441)-Scenario_DT!N$13)*(1-Scenario_DT!N$14)+Scenario_DT!N$13-Scenario_DT!N$15)*Scenario_DT!N$16</f>
        <v>2592.9686209305078</v>
      </c>
      <c r="X441" s="28">
        <f>((Scenario_DT!O$11*(IF(Scenario_DT!O$18=1,1,1+$M441/Scenario_DT!$C$19)*(1+$N441)^MAX(0,Scenario_DT!O$18-3))*(Scenario_DT!O$12+$O441)-Scenario_DT!O$13)*(1-Scenario_DT!O$14)+Scenario_DT!O$13-Scenario_DT!O$15)*Scenario_DT!O$16</f>
        <v>2700.2558133420544</v>
      </c>
      <c r="Y441" s="28">
        <f>((Scenario_DT!P$11*(IF(Scenario_DT!P$18=1,1,1+$M441/Scenario_DT!$C$19)*(1+$N441)^MAX(0,Scenario_DT!P$18-3))*(Scenario_DT!P$12+$O441)-Scenario_DT!P$13)*(1-Scenario_DT!P$14)+Scenario_DT!P$13-Scenario_DT!P$15)*Scenario_DT!P$16</f>
        <v>2811.9648436085859</v>
      </c>
      <c r="Z441" s="28">
        <f>((Scenario_DT!Q$11*(IF(Scenario_DT!Q$18=1,1,1+$M441/Scenario_DT!$C$19)*(1+$N441)^MAX(0,Scenario_DT!Q$18-3))*(Scenario_DT!Q$12+$O441)-Scenario_DT!Q$13)*(1-Scenario_DT!Q$14)+Scenario_DT!Q$13-Scenario_DT!Q$15)*Scenario_DT!Q$16</f>
        <v>2928.279500605156</v>
      </c>
      <c r="AA441" s="28">
        <f>((Scenario_DT!R$11*(IF(Scenario_DT!R$18=1,1,1+$M441/Scenario_DT!$C$19)*(1+$N441)^MAX(0,Scenario_DT!R$18-3))*(Scenario_DT!R$12+$O441)-Scenario_DT!R$13)*(1-Scenario_DT!R$14)+Scenario_DT!R$13-Scenario_DT!R$15)*Scenario_DT!R$16</f>
        <v>3049.3912279382484</v>
      </c>
      <c r="AB441" s="17">
        <f>(Scenario_DT!$R$11*(1+$M441/Scenario_DT!$C$19)*(1+$N441)^7*(Scenario_DT!$R$12+$O441)*(1+MIN(DCF_FCFF!$C$26+$Q441,(DCF_FCFF!$C$25+$P441)-0.02))*(1-DCF_FCFF!$C$27)*(1-DCF_FCFF!$C$28)/((DCF_FCFF!$C$25+$P441)-MIN(DCF_FCFF!$C$26+$Q441,(DCF_FCFF!$C$25+$P441)-0.02)))*(1+(DCF_FCFF!$C$25+$P441))^(-(Inputs!$C$9+9))</f>
        <v>29886.481860448188</v>
      </c>
      <c r="AC441" s="17">
        <f>SUMPRODUCT(R441:AA441*(1+(DCF_FCFF!$C$25+$P441))^(-Scenario_DT!$I$17:$R$17))+AB441</f>
        <v>45829.885869636208</v>
      </c>
      <c r="AD441" s="68">
        <f>((AC441-DCF_FCFF!$C$48)*(1-DCF_FCFF!$C$50)+DCF_FCFF!$C$57+DCF_FCFF!$C$58)/DCF_FCFF!$C$60</f>
        <v>343.46603579560161</v>
      </c>
      <c r="AE441" s="6"/>
      <c r="AF441" s="6"/>
      <c r="AG441" s="6"/>
    </row>
    <row r="442" spans="1:33" x14ac:dyDescent="0.3">
      <c r="A442" s="6"/>
      <c r="B442" s="72">
        <v>411</v>
      </c>
      <c r="C442" s="73">
        <v>0.98764744775646196</v>
      </c>
      <c r="D442" s="73">
        <v>1.6230456342471399E-2</v>
      </c>
      <c r="E442" s="73">
        <v>0.45250793152438401</v>
      </c>
      <c r="F442" s="73">
        <v>0.84265462171819605</v>
      </c>
      <c r="G442" s="73">
        <v>0.32390126271928799</v>
      </c>
      <c r="H442" s="15">
        <f t="shared" si="61"/>
        <v>2.2459828803450517</v>
      </c>
      <c r="I442" s="15">
        <f t="shared" si="62"/>
        <v>-2.138688400262295</v>
      </c>
      <c r="J442" s="15">
        <f t="shared" si="63"/>
        <v>-0.11932754323387118</v>
      </c>
      <c r="K442" s="15">
        <f t="shared" si="64"/>
        <v>1.0054280962092852</v>
      </c>
      <c r="L442" s="15">
        <f t="shared" si="65"/>
        <v>-0.45681708376424141</v>
      </c>
      <c r="M442" s="18">
        <f t="shared" si="66"/>
        <v>4.4919657606901031E-2</v>
      </c>
      <c r="N442" s="18">
        <f t="shared" si="67"/>
        <v>-5.8333363618697865E-3</v>
      </c>
      <c r="O442" s="18">
        <f t="shared" si="68"/>
        <v>-1.4319305188064543E-3</v>
      </c>
      <c r="P442" s="18">
        <f t="shared" si="69"/>
        <v>6.0325685772557114E-3</v>
      </c>
      <c r="Q442" s="18">
        <f t="shared" si="70"/>
        <v>-1.8272683350569656E-3</v>
      </c>
      <c r="R442" s="28">
        <f>((Scenario_DT!I$11*(IF(Scenario_DT!I$18=1,1,1+$M442/Scenario_DT!$C$19)*(1+$N442)^MAX(0,Scenario_DT!I$18-3))*(Scenario_DT!I$12+$O442)-Scenario_DT!I$13)*(1-Scenario_DT!I$14)+Scenario_DT!I$13-Scenario_DT!I$15)*Scenario_DT!I$16</f>
        <v>908.96566960205917</v>
      </c>
      <c r="S442" s="28">
        <f>((Scenario_DT!J$11*(IF(Scenario_DT!J$18=1,1,1+$M442/Scenario_DT!$C$19)*(1+$N442)^MAX(0,Scenario_DT!J$18-3))*(Scenario_DT!J$12+$O442)-Scenario_DT!J$13)*(1-Scenario_DT!J$14)+Scenario_DT!J$13-Scenario_DT!J$15)*Scenario_DT!J$16</f>
        <v>1934.8853596982458</v>
      </c>
      <c r="T442" s="28">
        <f>((Scenario_DT!K$11*(IF(Scenario_DT!K$18=1,1,1+$M442/Scenario_DT!$C$19)*(1+$N442)^MAX(0,Scenario_DT!K$18-3))*(Scenario_DT!K$12+$O442)-Scenario_DT!K$13)*(1-Scenario_DT!K$14)+Scenario_DT!K$13-Scenario_DT!K$15)*Scenario_DT!K$16</f>
        <v>2204.7382910537276</v>
      </c>
      <c r="U442" s="28">
        <f>((Scenario_DT!L$11*(IF(Scenario_DT!L$18=1,1,1+$M442/Scenario_DT!$C$19)*(1+$N442)^MAX(0,Scenario_DT!L$18-3))*(Scenario_DT!L$12+$O442)-Scenario_DT!L$13)*(1-Scenario_DT!L$14)+Scenario_DT!L$13-Scenario_DT!L$15)*Scenario_DT!L$16</f>
        <v>2597.1167660051042</v>
      </c>
      <c r="V442" s="28">
        <f>((Scenario_DT!M$11*(IF(Scenario_DT!M$18=1,1,1+$M442/Scenario_DT!$C$19)*(1+$N442)^MAX(0,Scenario_DT!M$18-3))*(Scenario_DT!M$12+$O442)-Scenario_DT!M$13)*(1-Scenario_DT!M$14)+Scenario_DT!M$13-Scenario_DT!M$15)*Scenario_DT!M$16</f>
        <v>2710.2404673750639</v>
      </c>
      <c r="W442" s="28">
        <f>((Scenario_DT!N$11*(IF(Scenario_DT!N$18=1,1,1+$M442/Scenario_DT!$C$19)*(1+$N442)^MAX(0,Scenario_DT!N$18-3))*(Scenario_DT!N$12+$O442)-Scenario_DT!N$13)*(1-Scenario_DT!N$14)+Scenario_DT!N$13-Scenario_DT!N$15)*Scenario_DT!N$16</f>
        <v>2828.2748280106271</v>
      </c>
      <c r="X442" s="28">
        <f>((Scenario_DT!O$11*(IF(Scenario_DT!O$18=1,1,1+$M442/Scenario_DT!$C$19)*(1+$N442)^MAX(0,Scenario_DT!O$18-3))*(Scenario_DT!O$12+$O442)-Scenario_DT!O$13)*(1-Scenario_DT!O$14)+Scenario_DT!O$13-Scenario_DT!O$15)*Scenario_DT!O$16</f>
        <v>2951.4347665772457</v>
      </c>
      <c r="Y442" s="28">
        <f>((Scenario_DT!P$11*(IF(Scenario_DT!P$18=1,1,1+$M442/Scenario_DT!$C$19)*(1+$N442)^MAX(0,Scenario_DT!P$18-3))*(Scenario_DT!P$12+$O442)-Scenario_DT!P$13)*(1-Scenario_DT!P$14)+Scenario_DT!P$13-Scenario_DT!P$15)*Scenario_DT!P$16</f>
        <v>3079.9446261446233</v>
      </c>
      <c r="Z442" s="28">
        <f>((Scenario_DT!Q$11*(IF(Scenario_DT!Q$18=1,1,1+$M442/Scenario_DT!$C$19)*(1+$N442)^MAX(0,Scenario_DT!Q$18-3))*(Scenario_DT!Q$12+$O442)-Scenario_DT!Q$13)*(1-Scenario_DT!Q$14)+Scenario_DT!Q$13-Scenario_DT!Q$15)*Scenario_DT!Q$16</f>
        <v>3214.0385876738496</v>
      </c>
      <c r="AA442" s="28">
        <f>((Scenario_DT!R$11*(IF(Scenario_DT!R$18=1,1,1+$M442/Scenario_DT!$C$19)*(1+$N442)^MAX(0,Scenario_DT!R$18-3))*(Scenario_DT!R$12+$O442)-Scenario_DT!R$13)*(1-Scenario_DT!R$14)+Scenario_DT!R$13-Scenario_DT!R$15)*Scenario_DT!R$16</f>
        <v>3353.9611016497583</v>
      </c>
      <c r="AB442" s="17">
        <f>(Scenario_DT!$R$11*(1+$M442/Scenario_DT!$C$19)*(1+$N442)^7*(Scenario_DT!$R$12+$O442)*(1+MIN(DCF_FCFF!$C$26+$Q442,(DCF_FCFF!$C$25+$P442)-0.02))*(1-DCF_FCFF!$C$27)*(1-DCF_FCFF!$C$28)/((DCF_FCFF!$C$25+$P442)-MIN(DCF_FCFF!$C$26+$Q442,(DCF_FCFF!$C$25+$P442)-0.02)))*(1+(DCF_FCFF!$C$25+$P442))^(-(Inputs!$C$9+9))</f>
        <v>23186.396650218172</v>
      </c>
      <c r="AC442" s="17">
        <f>SUMPRODUCT(R442:AA442*(1+(DCF_FCFF!$C$25+$P442))^(-Scenario_DT!$I$17:$R$17))+AB442</f>
        <v>39665.637513917536</v>
      </c>
      <c r="AD442" s="68">
        <f>((AC442-DCF_FCFF!$C$48)*(1-DCF_FCFF!$C$50)+DCF_FCFF!$C$57+DCF_FCFF!$C$58)/DCF_FCFF!$C$60</f>
        <v>284.29684301950761</v>
      </c>
      <c r="AE442" s="6"/>
      <c r="AF442" s="6"/>
      <c r="AG442" s="6"/>
    </row>
    <row r="443" spans="1:33" x14ac:dyDescent="0.3">
      <c r="A443" s="6"/>
      <c r="B443" s="72">
        <v>412</v>
      </c>
      <c r="C443" s="73">
        <v>0.47979850275515301</v>
      </c>
      <c r="D443" s="73">
        <v>0.97804574578797998</v>
      </c>
      <c r="E443" s="73">
        <v>0.474876836475704</v>
      </c>
      <c r="F443" s="73">
        <v>0.13092131214649899</v>
      </c>
      <c r="G443" s="73">
        <v>5.1721491666391103E-2</v>
      </c>
      <c r="H443" s="15">
        <f t="shared" si="61"/>
        <v>-5.065930422344473E-2</v>
      </c>
      <c r="I443" s="15">
        <f t="shared" si="62"/>
        <v>2.0149631680678914</v>
      </c>
      <c r="J443" s="15">
        <f t="shared" si="63"/>
        <v>-6.3016113693062176E-2</v>
      </c>
      <c r="K443" s="15">
        <f t="shared" si="64"/>
        <v>-1.1220466060104142</v>
      </c>
      <c r="L443" s="15">
        <f t="shared" si="65"/>
        <v>-1.6283863820429736</v>
      </c>
      <c r="M443" s="18">
        <f t="shared" si="66"/>
        <v>-1.0131860844688947E-3</v>
      </c>
      <c r="N443" s="18">
        <f t="shared" si="67"/>
        <v>1.3757437113000362E-2</v>
      </c>
      <c r="O443" s="18">
        <f t="shared" si="68"/>
        <v>-7.561933643167461E-4</v>
      </c>
      <c r="P443" s="18">
        <f t="shared" si="69"/>
        <v>-6.7322796360624855E-3</v>
      </c>
      <c r="Q443" s="18">
        <f t="shared" si="70"/>
        <v>-6.5135455281718942E-3</v>
      </c>
      <c r="R443" s="28">
        <f>((Scenario_DT!I$11*(IF(Scenario_DT!I$18=1,1,1+$M443/Scenario_DT!$C$19)*(1+$N443)^MAX(0,Scenario_DT!I$18-3))*(Scenario_DT!I$12+$O443)-Scenario_DT!I$13)*(1-Scenario_DT!I$14)+Scenario_DT!I$13-Scenario_DT!I$15)*Scenario_DT!I$16</f>
        <v>909.91838626946048</v>
      </c>
      <c r="S443" s="28">
        <f>((Scenario_DT!J$11*(IF(Scenario_DT!J$18=1,1,1+$M443/Scenario_DT!$C$19)*(1+$N443)^MAX(0,Scenario_DT!J$18-3))*(Scenario_DT!J$12+$O443)-Scenario_DT!J$13)*(1-Scenario_DT!J$14)+Scenario_DT!J$13-Scenario_DT!J$15)*Scenario_DT!J$16</f>
        <v>1827.1334104001553</v>
      </c>
      <c r="T443" s="28">
        <f>((Scenario_DT!K$11*(IF(Scenario_DT!K$18=1,1,1+$M443/Scenario_DT!$C$19)*(1+$N443)^MAX(0,Scenario_DT!K$18-3))*(Scenario_DT!K$12+$O443)-Scenario_DT!K$13)*(1-Scenario_DT!K$14)+Scenario_DT!K$13-Scenario_DT!K$15)*Scenario_DT!K$16</f>
        <v>2091.5101662890738</v>
      </c>
      <c r="U443" s="28">
        <f>((Scenario_DT!L$11*(IF(Scenario_DT!L$18=1,1,1+$M443/Scenario_DT!$C$19)*(1+$N443)^MAX(0,Scenario_DT!L$18-3))*(Scenario_DT!L$12+$O443)-Scenario_DT!L$13)*(1-Scenario_DT!L$14)+Scenario_DT!L$13-Scenario_DT!L$15)*Scenario_DT!L$16</f>
        <v>2526.7503804839862</v>
      </c>
      <c r="V443" s="28">
        <f>((Scenario_DT!M$11*(IF(Scenario_DT!M$18=1,1,1+$M443/Scenario_DT!$C$19)*(1+$N443)^MAX(0,Scenario_DT!M$18-3))*(Scenario_DT!M$12+$O443)-Scenario_DT!M$13)*(1-Scenario_DT!M$14)+Scenario_DT!M$13-Scenario_DT!M$15)*Scenario_DT!M$16</f>
        <v>2689.1099224978016</v>
      </c>
      <c r="W443" s="28">
        <f>((Scenario_DT!N$11*(IF(Scenario_DT!N$18=1,1,1+$M443/Scenario_DT!$C$19)*(1+$N443)^MAX(0,Scenario_DT!N$18-3))*(Scenario_DT!N$12+$O443)-Scenario_DT!N$13)*(1-Scenario_DT!N$14)+Scenario_DT!N$13-Scenario_DT!N$15)*Scenario_DT!N$16</f>
        <v>2861.9123287012339</v>
      </c>
      <c r="X443" s="28">
        <f>((Scenario_DT!O$11*(IF(Scenario_DT!O$18=1,1,1+$M443/Scenario_DT!$C$19)*(1+$N443)^MAX(0,Scenario_DT!O$18-3))*(Scenario_DT!O$12+$O443)-Scenario_DT!O$13)*(1-Scenario_DT!O$14)+Scenario_DT!O$13-Scenario_DT!O$15)*Scenario_DT!O$16</f>
        <v>3045.8325516918949</v>
      </c>
      <c r="Y443" s="28">
        <f>((Scenario_DT!P$11*(IF(Scenario_DT!P$18=1,1,1+$M443/Scenario_DT!$C$19)*(1+$N443)^MAX(0,Scenario_DT!P$18-3))*(Scenario_DT!P$12+$O443)-Scenario_DT!P$13)*(1-Scenario_DT!P$14)+Scenario_DT!P$13-Scenario_DT!P$15)*Scenario_DT!P$16</f>
        <v>3241.5891569697219</v>
      </c>
      <c r="Z443" s="28">
        <f>((Scenario_DT!Q$11*(IF(Scenario_DT!Q$18=1,1,1+$M443/Scenario_DT!$C$19)*(1+$N443)^MAX(0,Scenario_DT!Q$18-3))*(Scenario_DT!Q$12+$O443)-Scenario_DT!Q$13)*(1-Scenario_DT!Q$14)+Scenario_DT!Q$13-Scenario_DT!Q$15)*Scenario_DT!Q$16</f>
        <v>3449.9471389693781</v>
      </c>
      <c r="AA443" s="28">
        <f>((Scenario_DT!R$11*(IF(Scenario_DT!R$18=1,1,1+$M443/Scenario_DT!$C$19)*(1+$N443)^MAX(0,Scenario_DT!R$18-3))*(Scenario_DT!R$12+$O443)-Scenario_DT!R$13)*(1-Scenario_DT!R$14)+Scenario_DT!R$13-Scenario_DT!R$15)*Scenario_DT!R$16</f>
        <v>3671.720918813051</v>
      </c>
      <c r="AB443" s="17">
        <f>(Scenario_DT!$R$11*(1+$M443/Scenario_DT!$C$19)*(1+$N443)^7*(Scenario_DT!$R$12+$O443)*(1+MIN(DCF_FCFF!$C$26+$Q443,(DCF_FCFF!$C$25+$P443)-0.02))*(1-DCF_FCFF!$C$27)*(1-DCF_FCFF!$C$28)/((DCF_FCFF!$C$25+$P443)-MIN(DCF_FCFF!$C$26+$Q443,(DCF_FCFF!$C$25+$P443)-0.02)))*(1+(DCF_FCFF!$C$25+$P443))^(-(Inputs!$C$9+9))</f>
        <v>32754.123353845975</v>
      </c>
      <c r="AC443" s="17">
        <f>SUMPRODUCT(R443:AA443*(1+(DCF_FCFF!$C$25+$P443))^(-Scenario_DT!$I$17:$R$17))+AB443</f>
        <v>50326.680755123671</v>
      </c>
      <c r="AD443" s="68">
        <f>((AC443-DCF_FCFF!$C$48)*(1-DCF_FCFF!$C$50)+DCF_FCFF!$C$57+DCF_FCFF!$C$58)/DCF_FCFF!$C$60</f>
        <v>386.62972877158671</v>
      </c>
      <c r="AE443" s="6"/>
      <c r="AF443" s="6"/>
      <c r="AG443" s="6"/>
    </row>
    <row r="444" spans="1:33" x14ac:dyDescent="0.3">
      <c r="A444" s="6"/>
      <c r="B444" s="72">
        <v>413</v>
      </c>
      <c r="C444" s="73">
        <v>0.94541657243994903</v>
      </c>
      <c r="D444" s="73">
        <v>0.26580941327506602</v>
      </c>
      <c r="E444" s="73">
        <v>0.50406390656455102</v>
      </c>
      <c r="F444" s="73">
        <v>9.0701766089968605E-2</v>
      </c>
      <c r="G444" s="73">
        <v>0.423655120550605</v>
      </c>
      <c r="H444" s="15">
        <f t="shared" si="61"/>
        <v>1.6019491473598493</v>
      </c>
      <c r="I444" s="15">
        <f t="shared" si="62"/>
        <v>-0.62553676500900579</v>
      </c>
      <c r="J444" s="15">
        <f t="shared" si="63"/>
        <v>1.0186879283757614E-2</v>
      </c>
      <c r="K444" s="15">
        <f t="shared" si="64"/>
        <v>-1.3364460224300787</v>
      </c>
      <c r="L444" s="15">
        <f t="shared" si="65"/>
        <v>-0.19255148759582744</v>
      </c>
      <c r="M444" s="18">
        <f t="shared" si="66"/>
        <v>3.2038982947196988E-2</v>
      </c>
      <c r="N444" s="18">
        <f t="shared" si="67"/>
        <v>2.073950753447911E-3</v>
      </c>
      <c r="O444" s="18">
        <f t="shared" si="68"/>
        <v>1.2224255140509137E-4</v>
      </c>
      <c r="P444" s="18">
        <f t="shared" si="69"/>
        <v>-8.0186761345804724E-3</v>
      </c>
      <c r="Q444" s="18">
        <f t="shared" si="70"/>
        <v>-7.7020595038330975E-4</v>
      </c>
      <c r="R444" s="28">
        <f>((Scenario_DT!I$11*(IF(Scenario_DT!I$18=1,1,1+$M444/Scenario_DT!$C$19)*(1+$N444)^MAX(0,Scenario_DT!I$18-3))*(Scenario_DT!I$12+$O444)-Scenario_DT!I$13)*(1-Scenario_DT!I$14)+Scenario_DT!I$13-Scenario_DT!I$15)*Scenario_DT!I$16</f>
        <v>911.15688637647906</v>
      </c>
      <c r="S444" s="28">
        <f>((Scenario_DT!J$11*(IF(Scenario_DT!J$18=1,1,1+$M444/Scenario_DT!$C$19)*(1+$N444)^MAX(0,Scenario_DT!J$18-3))*(Scenario_DT!J$12+$O444)-Scenario_DT!J$13)*(1-Scenario_DT!J$14)+Scenario_DT!J$13-Scenario_DT!J$15)*Scenario_DT!J$16</f>
        <v>1909.0753008619254</v>
      </c>
      <c r="T444" s="28">
        <f>((Scenario_DT!K$11*(IF(Scenario_DT!K$18=1,1,1+$M444/Scenario_DT!$C$19)*(1+$N444)^MAX(0,Scenario_DT!K$18-3))*(Scenario_DT!K$12+$O444)-Scenario_DT!K$13)*(1-Scenario_DT!K$14)+Scenario_DT!K$13-Scenario_DT!K$15)*Scenario_DT!K$16</f>
        <v>2177.5526468601265</v>
      </c>
      <c r="U444" s="28">
        <f>((Scenario_DT!L$11*(IF(Scenario_DT!L$18=1,1,1+$M444/Scenario_DT!$C$19)*(1+$N444)^MAX(0,Scenario_DT!L$18-3))*(Scenario_DT!L$12+$O444)-Scenario_DT!L$13)*(1-Scenario_DT!L$14)+Scenario_DT!L$13-Scenario_DT!L$15)*Scenario_DT!L$16</f>
        <v>2588.9826713068783</v>
      </c>
      <c r="V444" s="28">
        <f>((Scenario_DT!M$11*(IF(Scenario_DT!M$18=1,1,1+$M444/Scenario_DT!$C$19)*(1+$N444)^MAX(0,Scenario_DT!M$18-3))*(Scenario_DT!M$12+$O444)-Scenario_DT!M$13)*(1-Scenario_DT!M$14)+Scenario_DT!M$13-Scenario_DT!M$15)*Scenario_DT!M$16</f>
        <v>2723.3850163245979</v>
      </c>
      <c r="W444" s="28">
        <f>((Scenario_DT!N$11*(IF(Scenario_DT!N$18=1,1,1+$M444/Scenario_DT!$C$19)*(1+$N444)^MAX(0,Scenario_DT!N$18-3))*(Scenario_DT!N$12+$O444)-Scenario_DT!N$13)*(1-Scenario_DT!N$14)+Scenario_DT!N$13-Scenario_DT!N$15)*Scenario_DT!N$16</f>
        <v>2864.7605119500977</v>
      </c>
      <c r="X444" s="28">
        <f>((Scenario_DT!O$11*(IF(Scenario_DT!O$18=1,1,1+$M444/Scenario_DT!$C$19)*(1+$N444)^MAX(0,Scenario_DT!O$18-3))*(Scenario_DT!O$12+$O444)-Scenario_DT!O$13)*(1-Scenario_DT!O$14)+Scenario_DT!O$13-Scenario_DT!O$15)*Scenario_DT!O$16</f>
        <v>3013.4734715232808</v>
      </c>
      <c r="Y444" s="28">
        <f>((Scenario_DT!P$11*(IF(Scenario_DT!P$18=1,1,1+$M444/Scenario_DT!$C$19)*(1+$N444)^MAX(0,Scenario_DT!P$18-3))*(Scenario_DT!P$12+$O444)-Scenario_DT!P$13)*(1-Scenario_DT!P$14)+Scenario_DT!P$13-Scenario_DT!P$15)*Scenario_DT!P$16</f>
        <v>3169.9072608925803</v>
      </c>
      <c r="Z444" s="28">
        <f>((Scenario_DT!Q$11*(IF(Scenario_DT!Q$18=1,1,1+$M444/Scenario_DT!$C$19)*(1+$N444)^MAX(0,Scenario_DT!Q$18-3))*(Scenario_DT!Q$12+$O444)-Scenario_DT!Q$13)*(1-Scenario_DT!Q$14)+Scenario_DT!Q$13-Scenario_DT!Q$15)*Scenario_DT!Q$16</f>
        <v>3334.4652946986166</v>
      </c>
      <c r="AA444" s="28">
        <f>((Scenario_DT!R$11*(IF(Scenario_DT!R$18=1,1,1+$M444/Scenario_DT!$C$19)*(1+$N444)^MAX(0,Scenario_DT!R$18-3))*(Scenario_DT!R$12+$O444)-Scenario_DT!R$13)*(1-Scenario_DT!R$14)+Scenario_DT!R$13-Scenario_DT!R$15)*Scenario_DT!R$16</f>
        <v>3507.5720847406769</v>
      </c>
      <c r="AB444" s="17">
        <f>(Scenario_DT!$R$11*(1+$M444/Scenario_DT!$C$19)*(1+$N444)^7*(Scenario_DT!$R$12+$O444)*(1+MIN(DCF_FCFF!$C$26+$Q444,(DCF_FCFF!$C$25+$P444)-0.02))*(1-DCF_FCFF!$C$27)*(1-DCF_FCFF!$C$28)/((DCF_FCFF!$C$25+$P444)-MIN(DCF_FCFF!$C$26+$Q444,(DCF_FCFF!$C$25+$P444)-0.02)))*(1+(DCF_FCFF!$C$25+$P444))^(-(Inputs!$C$9+9))</f>
        <v>37016.836735800454</v>
      </c>
      <c r="AC444" s="17">
        <f>SUMPRODUCT(R444:AA444*(1+(DCF_FCFF!$C$25+$P444))^(-Scenario_DT!$I$17:$R$17))+AB444</f>
        <v>54711.925784099141</v>
      </c>
      <c r="AD444" s="68">
        <f>((AC444-DCF_FCFF!$C$48)*(1-DCF_FCFF!$C$50)+DCF_FCFF!$C$57+DCF_FCFF!$C$58)/DCF_FCFF!$C$60</f>
        <v>428.72268050172624</v>
      </c>
      <c r="AE444" s="6"/>
      <c r="AF444" s="6"/>
      <c r="AG444" s="6"/>
    </row>
    <row r="445" spans="1:33" x14ac:dyDescent="0.3">
      <c r="A445" s="6"/>
      <c r="B445" s="72">
        <v>414</v>
      </c>
      <c r="C445" s="73">
        <v>0.93010551925012397</v>
      </c>
      <c r="D445" s="73">
        <v>0.50241299363093805</v>
      </c>
      <c r="E445" s="73">
        <v>0.97113515180232801</v>
      </c>
      <c r="F445" s="73">
        <v>0.2588356372374</v>
      </c>
      <c r="G445" s="73">
        <v>0.50454523970393705</v>
      </c>
      <c r="H445" s="15">
        <f t="shared" si="61"/>
        <v>1.4765773701692431</v>
      </c>
      <c r="I445" s="15">
        <f t="shared" si="62"/>
        <v>6.0485149419605474E-3</v>
      </c>
      <c r="J445" s="15">
        <f t="shared" si="63"/>
        <v>1.8977448874489171</v>
      </c>
      <c r="K445" s="15">
        <f t="shared" si="64"/>
        <v>-0.64693923042926693</v>
      </c>
      <c r="L445" s="15">
        <f t="shared" si="65"/>
        <v>1.1393472852173091E-2</v>
      </c>
      <c r="M445" s="18">
        <f t="shared" si="66"/>
        <v>2.9531547403384862E-2</v>
      </c>
      <c r="N445" s="18">
        <f t="shared" si="67"/>
        <v>5.9482148214362327E-3</v>
      </c>
      <c r="O445" s="18">
        <f t="shared" si="68"/>
        <v>2.2772938649387005E-2</v>
      </c>
      <c r="P445" s="18">
        <f t="shared" si="69"/>
        <v>-3.8816353825756019E-3</v>
      </c>
      <c r="Q445" s="18">
        <f t="shared" si="70"/>
        <v>4.5573891408692363E-5</v>
      </c>
      <c r="R445" s="28">
        <f>((Scenario_DT!I$11*(IF(Scenario_DT!I$18=1,1,1+$M445/Scenario_DT!$C$19)*(1+$N445)^MAX(0,Scenario_DT!I$18-3))*(Scenario_DT!I$12+$O445)-Scenario_DT!I$13)*(1-Scenario_DT!I$14)+Scenario_DT!I$13-Scenario_DT!I$15)*Scenario_DT!I$16</f>
        <v>943.09193028727577</v>
      </c>
      <c r="S445" s="28">
        <f>((Scenario_DT!J$11*(IF(Scenario_DT!J$18=1,1,1+$M445/Scenario_DT!$C$19)*(1+$N445)^MAX(0,Scenario_DT!J$18-3))*(Scenario_DT!J$12+$O445)-Scenario_DT!J$13)*(1-Scenario_DT!J$14)+Scenario_DT!J$13-Scenario_DT!J$15)*Scenario_DT!J$16</f>
        <v>1975.6677137516008</v>
      </c>
      <c r="T445" s="28">
        <f>((Scenario_DT!K$11*(IF(Scenario_DT!K$18=1,1,1+$M445/Scenario_DT!$C$19)*(1+$N445)^MAX(0,Scenario_DT!K$18-3))*(Scenario_DT!K$12+$O445)-Scenario_DT!K$13)*(1-Scenario_DT!K$14)+Scenario_DT!K$13-Scenario_DT!K$15)*Scenario_DT!K$16</f>
        <v>2246.4789454609281</v>
      </c>
      <c r="U445" s="28">
        <f>((Scenario_DT!L$11*(IF(Scenario_DT!L$18=1,1,1+$M445/Scenario_DT!$C$19)*(1+$N445)^MAX(0,Scenario_DT!L$18-3))*(Scenario_DT!L$12+$O445)-Scenario_DT!L$13)*(1-Scenario_DT!L$14)+Scenario_DT!L$13-Scenario_DT!L$15)*Scenario_DT!L$16</f>
        <v>2672.6772334752136</v>
      </c>
      <c r="V445" s="28">
        <f>((Scenario_DT!M$11*(IF(Scenario_DT!M$18=1,1,1+$M445/Scenario_DT!$C$19)*(1+$N445)^MAX(0,Scenario_DT!M$18-3))*(Scenario_DT!M$12+$O445)-Scenario_DT!M$13)*(1-Scenario_DT!M$14)+Scenario_DT!M$13-Scenario_DT!M$15)*Scenario_DT!M$16</f>
        <v>2822.3876007870058</v>
      </c>
      <c r="W445" s="28">
        <f>((Scenario_DT!N$11*(IF(Scenario_DT!N$18=1,1,1+$M445/Scenario_DT!$C$19)*(1+$N445)^MAX(0,Scenario_DT!N$18-3))*(Scenario_DT!N$12+$O445)-Scenario_DT!N$13)*(1-Scenario_DT!N$14)+Scenario_DT!N$13-Scenario_DT!N$15)*Scenario_DT!N$16</f>
        <v>2980.4852407726648</v>
      </c>
      <c r="X445" s="28">
        <f>((Scenario_DT!O$11*(IF(Scenario_DT!O$18=1,1,1+$M445/Scenario_DT!$C$19)*(1+$N445)^MAX(0,Scenario_DT!O$18-3))*(Scenario_DT!O$12+$O445)-Scenario_DT!O$13)*(1-Scenario_DT!O$14)+Scenario_DT!O$13-Scenario_DT!O$15)*Scenario_DT!O$16</f>
        <v>3147.4428650762193</v>
      </c>
      <c r="Y445" s="28">
        <f>((Scenario_DT!P$11*(IF(Scenario_DT!P$18=1,1,1+$M445/Scenario_DT!$C$19)*(1+$N445)^MAX(0,Scenario_DT!P$18-3))*(Scenario_DT!P$12+$O445)-Scenario_DT!P$13)*(1-Scenario_DT!P$14)+Scenario_DT!P$13-Scenario_DT!P$15)*Scenario_DT!P$16</f>
        <v>3323.7598406340408</v>
      </c>
      <c r="Z445" s="28">
        <f>((Scenario_DT!Q$11*(IF(Scenario_DT!Q$18=1,1,1+$M445/Scenario_DT!$C$19)*(1+$N445)^MAX(0,Scenario_DT!Q$18-3))*(Scenario_DT!Q$12+$O445)-Scenario_DT!Q$13)*(1-Scenario_DT!Q$14)+Scenario_DT!Q$13-Scenario_DT!Q$15)*Scenario_DT!Q$16</f>
        <v>3509.9636921537308</v>
      </c>
      <c r="AA445" s="28">
        <f>((Scenario_DT!R$11*(IF(Scenario_DT!R$18=1,1,1+$M445/Scenario_DT!$C$19)*(1+$N445)^MAX(0,Scenario_DT!R$18-3))*(Scenario_DT!R$12+$O445)-Scenario_DT!R$13)*(1-Scenario_DT!R$14)+Scenario_DT!R$13-Scenario_DT!R$15)*Scenario_DT!R$16</f>
        <v>3706.6116892467858</v>
      </c>
      <c r="AB445" s="17">
        <f>(Scenario_DT!$R$11*(1+$M445/Scenario_DT!$C$19)*(1+$N445)^7*(Scenario_DT!$R$12+$O445)*(1+MIN(DCF_FCFF!$C$26+$Q445,(DCF_FCFF!$C$25+$P445)-0.02))*(1-DCF_FCFF!$C$27)*(1-DCF_FCFF!$C$28)/((DCF_FCFF!$C$25+$P445)-MIN(DCF_FCFF!$C$26+$Q445,(DCF_FCFF!$C$25+$P445)-0.02)))*(1+(DCF_FCFF!$C$25+$P445))^(-(Inputs!$C$9+9))</f>
        <v>35045.183012537484</v>
      </c>
      <c r="AC445" s="17">
        <f>SUMPRODUCT(R445:AA445*(1+(DCF_FCFF!$C$25+$P445))^(-Scenario_DT!$I$17:$R$17))+AB445</f>
        <v>53145.869814467616</v>
      </c>
      <c r="AD445" s="68">
        <f>((AC445-DCF_FCFF!$C$48)*(1-DCF_FCFF!$C$50)+DCF_FCFF!$C$57+DCF_FCFF!$C$58)/DCF_FCFF!$C$60</f>
        <v>413.6904718336059</v>
      </c>
      <c r="AE445" s="6"/>
      <c r="AF445" s="6"/>
      <c r="AG445" s="6"/>
    </row>
    <row r="446" spans="1:33" x14ac:dyDescent="0.3">
      <c r="A446" s="6"/>
      <c r="B446" s="72">
        <v>415</v>
      </c>
      <c r="C446" s="73">
        <v>0.85953079180932501</v>
      </c>
      <c r="D446" s="73">
        <v>0.44825235455374401</v>
      </c>
      <c r="E446" s="73">
        <v>0.27948737357018999</v>
      </c>
      <c r="F446" s="73">
        <v>0.855475363417882</v>
      </c>
      <c r="G446" s="73">
        <v>0.389889468872609</v>
      </c>
      <c r="H446" s="15">
        <f t="shared" si="61"/>
        <v>1.0782136620104141</v>
      </c>
      <c r="I446" s="15">
        <f t="shared" si="62"/>
        <v>-0.1300780083050882</v>
      </c>
      <c r="J446" s="15">
        <f t="shared" si="63"/>
        <v>-0.58436503280506702</v>
      </c>
      <c r="K446" s="15">
        <f t="shared" si="64"/>
        <v>1.0602095592962881</v>
      </c>
      <c r="L446" s="15">
        <f t="shared" si="65"/>
        <v>-0.27960712807427196</v>
      </c>
      <c r="M446" s="18">
        <f t="shared" si="66"/>
        <v>2.1564273240208282E-2</v>
      </c>
      <c r="N446" s="18">
        <f t="shared" si="67"/>
        <v>3.4116477707145402E-3</v>
      </c>
      <c r="O446" s="18">
        <f t="shared" si="68"/>
        <v>-7.012380393660804E-3</v>
      </c>
      <c r="P446" s="18">
        <f t="shared" si="69"/>
        <v>6.3612573557777288E-3</v>
      </c>
      <c r="Q446" s="18">
        <f t="shared" si="70"/>
        <v>-1.1184285122970879E-3</v>
      </c>
      <c r="R446" s="28">
        <f>((Scenario_DT!I$11*(IF(Scenario_DT!I$18=1,1,1+$M446/Scenario_DT!$C$19)*(1+$N446)^MAX(0,Scenario_DT!I$18-3))*(Scenario_DT!I$12+$O446)-Scenario_DT!I$13)*(1-Scenario_DT!I$14)+Scenario_DT!I$13-Scenario_DT!I$15)*Scenario_DT!I$16</f>
        <v>901.09783582668354</v>
      </c>
      <c r="S446" s="28">
        <f>((Scenario_DT!J$11*(IF(Scenario_DT!J$18=1,1,1+$M446/Scenario_DT!$C$19)*(1+$N446)^MAX(0,Scenario_DT!J$18-3))*(Scenario_DT!J$12+$O446)-Scenario_DT!J$13)*(1-Scenario_DT!J$14)+Scenario_DT!J$13-Scenario_DT!J$15)*Scenario_DT!J$16</f>
        <v>1861.290256221987</v>
      </c>
      <c r="T446" s="28">
        <f>((Scenario_DT!K$11*(IF(Scenario_DT!K$18=1,1,1+$M446/Scenario_DT!$C$19)*(1+$N446)^MAX(0,Scenario_DT!K$18-3))*(Scenario_DT!K$12+$O446)-Scenario_DT!K$13)*(1-Scenario_DT!K$14)+Scenario_DT!K$13-Scenario_DT!K$15)*Scenario_DT!K$16</f>
        <v>2127.6755255210378</v>
      </c>
      <c r="U446" s="28">
        <f>((Scenario_DT!L$11*(IF(Scenario_DT!L$18=1,1,1+$M446/Scenario_DT!$C$19)*(1+$N446)^MAX(0,Scenario_DT!L$18-3))*(Scenario_DT!L$12+$O446)-Scenario_DT!L$13)*(1-Scenario_DT!L$14)+Scenario_DT!L$13-Scenario_DT!L$15)*Scenario_DT!L$16</f>
        <v>2539.3222477089485</v>
      </c>
      <c r="V446" s="28">
        <f>((Scenario_DT!M$11*(IF(Scenario_DT!M$18=1,1,1+$M446/Scenario_DT!$C$19)*(1+$N446)^MAX(0,Scenario_DT!M$18-3))*(Scenario_DT!M$12+$O446)-Scenario_DT!M$13)*(1-Scenario_DT!M$14)+Scenario_DT!M$13-Scenario_DT!M$15)*Scenario_DT!M$16</f>
        <v>2674.7238167462851</v>
      </c>
      <c r="W446" s="28">
        <f>((Scenario_DT!N$11*(IF(Scenario_DT!N$18=1,1,1+$M446/Scenario_DT!$C$19)*(1+$N446)^MAX(0,Scenario_DT!N$18-3))*(Scenario_DT!N$12+$O446)-Scenario_DT!N$13)*(1-Scenario_DT!N$14)+Scenario_DT!N$13-Scenario_DT!N$15)*Scenario_DT!N$16</f>
        <v>2817.3430545543301</v>
      </c>
      <c r="X446" s="28">
        <f>((Scenario_DT!O$11*(IF(Scenario_DT!O$18=1,1,1+$M446/Scenario_DT!$C$19)*(1+$N446)^MAX(0,Scenario_DT!O$18-3))*(Scenario_DT!O$12+$O446)-Scenario_DT!O$13)*(1-Scenario_DT!O$14)+Scenario_DT!O$13-Scenario_DT!O$15)*Scenario_DT!O$16</f>
        <v>2967.5673410588997</v>
      </c>
      <c r="Y446" s="28">
        <f>((Scenario_DT!P$11*(IF(Scenario_DT!P$18=1,1,1+$M446/Scenario_DT!$C$19)*(1+$N446)^MAX(0,Scenario_DT!P$18-3))*(Scenario_DT!P$12+$O446)-Scenario_DT!P$13)*(1-Scenario_DT!P$14)+Scenario_DT!P$13-Scenario_DT!P$15)*Scenario_DT!P$16</f>
        <v>3125.8048645910644</v>
      </c>
      <c r="Z446" s="28">
        <f>((Scenario_DT!Q$11*(IF(Scenario_DT!Q$18=1,1,1+$M446/Scenario_DT!$C$19)*(1+$N446)^MAX(0,Scenario_DT!Q$18-3))*(Scenario_DT!Q$12+$O446)-Scenario_DT!Q$13)*(1-Scenario_DT!Q$14)+Scenario_DT!Q$13-Scenario_DT!Q$15)*Scenario_DT!Q$16</f>
        <v>3292.4857393847847</v>
      </c>
      <c r="AA446" s="28">
        <f>((Scenario_DT!R$11*(IF(Scenario_DT!R$18=1,1,1+$M446/Scenario_DT!$C$19)*(1+$N446)^MAX(0,Scenario_DT!R$18-3))*(Scenario_DT!R$12+$O446)-Scenario_DT!R$13)*(1-Scenario_DT!R$14)+Scenario_DT!R$13-Scenario_DT!R$15)*Scenario_DT!R$16</f>
        <v>3468.0631830678353</v>
      </c>
      <c r="AB446" s="17">
        <f>(Scenario_DT!$R$11*(1+$M446/Scenario_DT!$C$19)*(1+$N446)^7*(Scenario_DT!$R$12+$O446)*(1+MIN(DCF_FCFF!$C$26+$Q446,(DCF_FCFF!$C$25+$P446)-0.02))*(1-DCF_FCFF!$C$27)*(1-DCF_FCFF!$C$28)/((DCF_FCFF!$C$25+$P446)-MIN(DCF_FCFF!$C$26+$Q446,(DCF_FCFF!$C$25+$P446)-0.02)))*(1+(DCF_FCFF!$C$25+$P446))^(-(Inputs!$C$9+9))</f>
        <v>24074.08559990381</v>
      </c>
      <c r="AC446" s="17">
        <f>SUMPRODUCT(R446:AA446*(1+(DCF_FCFF!$C$25+$P446))^(-Scenario_DT!$I$17:$R$17))+AB446</f>
        <v>40437.066034139454</v>
      </c>
      <c r="AD446" s="68">
        <f>((AC446-DCF_FCFF!$C$48)*(1-DCF_FCFF!$C$50)+DCF_FCFF!$C$57+DCF_FCFF!$C$58)/DCF_FCFF!$C$60</f>
        <v>291.70160677852164</v>
      </c>
      <c r="AE446" s="6"/>
      <c r="AF446" s="6"/>
      <c r="AG446" s="6"/>
    </row>
    <row r="447" spans="1:33" x14ac:dyDescent="0.3">
      <c r="A447" s="6"/>
      <c r="B447" s="72">
        <v>416</v>
      </c>
      <c r="C447" s="73">
        <v>0.53072329106023397</v>
      </c>
      <c r="D447" s="73">
        <v>0.97652706641514597</v>
      </c>
      <c r="E447" s="73">
        <v>0.186483294755864</v>
      </c>
      <c r="F447" s="73">
        <v>0.30140063672018602</v>
      </c>
      <c r="G447" s="73">
        <v>3.1069600069839901E-2</v>
      </c>
      <c r="H447" s="15">
        <f t="shared" si="61"/>
        <v>7.7088152512323205E-2</v>
      </c>
      <c r="I447" s="15">
        <f t="shared" si="62"/>
        <v>1.9867882508566015</v>
      </c>
      <c r="J447" s="15">
        <f t="shared" si="63"/>
        <v>-0.89093025213616883</v>
      </c>
      <c r="K447" s="15">
        <f t="shared" si="64"/>
        <v>-0.52037637441140105</v>
      </c>
      <c r="L447" s="15">
        <f t="shared" si="65"/>
        <v>-1.8653011779667008</v>
      </c>
      <c r="M447" s="18">
        <f t="shared" si="66"/>
        <v>1.5417630502464641E-3</v>
      </c>
      <c r="N447" s="18">
        <f t="shared" si="67"/>
        <v>1.4073225387507427E-2</v>
      </c>
      <c r="O447" s="18">
        <f t="shared" si="68"/>
        <v>-1.0691163025634026E-2</v>
      </c>
      <c r="P447" s="18">
        <f t="shared" si="69"/>
        <v>-3.1222582464684066E-3</v>
      </c>
      <c r="Q447" s="18">
        <f t="shared" si="70"/>
        <v>-7.4612047118668033E-3</v>
      </c>
      <c r="R447" s="28">
        <f>((Scenario_DT!I$11*(IF(Scenario_DT!I$18=1,1,1+$M447/Scenario_DT!$C$19)*(1+$N447)^MAX(0,Scenario_DT!I$18-3))*(Scenario_DT!I$12+$O447)-Scenario_DT!I$13)*(1-Scenario_DT!I$14)+Scenario_DT!I$13-Scenario_DT!I$15)*Scenario_DT!I$16</f>
        <v>895.91114821310475</v>
      </c>
      <c r="S447" s="28">
        <f>((Scenario_DT!J$11*(IF(Scenario_DT!J$18=1,1,1+$M447/Scenario_DT!$C$19)*(1+$N447)^MAX(0,Scenario_DT!J$18-3))*(Scenario_DT!J$12+$O447)-Scenario_DT!J$13)*(1-Scenario_DT!J$14)+Scenario_DT!J$13-Scenario_DT!J$15)*Scenario_DT!J$16</f>
        <v>1802.3235970948726</v>
      </c>
      <c r="T447" s="28">
        <f>((Scenario_DT!K$11*(IF(Scenario_DT!K$18=1,1,1+$M447/Scenario_DT!$C$19)*(1+$N447)^MAX(0,Scenario_DT!K$18-3))*(Scenario_DT!K$12+$O447)-Scenario_DT!K$13)*(1-Scenario_DT!K$14)+Scenario_DT!K$13-Scenario_DT!K$15)*Scenario_DT!K$16</f>
        <v>2065.8859448764042</v>
      </c>
      <c r="U447" s="28">
        <f>((Scenario_DT!L$11*(IF(Scenario_DT!L$18=1,1,1+$M447/Scenario_DT!$C$19)*(1+$N447)^MAX(0,Scenario_DT!L$18-3))*(Scenario_DT!L$12+$O447)-Scenario_DT!L$13)*(1-Scenario_DT!L$14)+Scenario_DT!L$13-Scenario_DT!L$15)*Scenario_DT!L$16</f>
        <v>2499.9526240356158</v>
      </c>
      <c r="V447" s="28">
        <f>((Scenario_DT!M$11*(IF(Scenario_DT!M$18=1,1,1+$M447/Scenario_DT!$C$19)*(1+$N447)^MAX(0,Scenario_DT!M$18-3))*(Scenario_DT!M$12+$O447)-Scenario_DT!M$13)*(1-Scenario_DT!M$14)+Scenario_DT!M$13-Scenario_DT!M$15)*Scenario_DT!M$16</f>
        <v>2661.4197002007177</v>
      </c>
      <c r="W447" s="28">
        <f>((Scenario_DT!N$11*(IF(Scenario_DT!N$18=1,1,1+$M447/Scenario_DT!$C$19)*(1+$N447)^MAX(0,Scenario_DT!N$18-3))*(Scenario_DT!N$12+$O447)-Scenario_DT!N$13)*(1-Scenario_DT!N$14)+Scenario_DT!N$13-Scenario_DT!N$15)*Scenario_DT!N$16</f>
        <v>2833.326183174609</v>
      </c>
      <c r="X447" s="28">
        <f>((Scenario_DT!O$11*(IF(Scenario_DT!O$18=1,1,1+$M447/Scenario_DT!$C$19)*(1+$N447)^MAX(0,Scenario_DT!O$18-3))*(Scenario_DT!O$12+$O447)-Scenario_DT!O$13)*(1-Scenario_DT!O$14)+Scenario_DT!O$13-Scenario_DT!O$15)*Scenario_DT!O$16</f>
        <v>3016.3503044425715</v>
      </c>
      <c r="Y447" s="28">
        <f>((Scenario_DT!P$11*(IF(Scenario_DT!P$18=1,1,1+$M447/Scenario_DT!$C$19)*(1+$N447)^MAX(0,Scenario_DT!P$18-3))*(Scenario_DT!P$12+$O447)-Scenario_DT!P$13)*(1-Scenario_DT!P$14)+Scenario_DT!P$13-Scenario_DT!P$15)*Scenario_DT!P$16</f>
        <v>3211.2143465303448</v>
      </c>
      <c r="Z447" s="28">
        <f>((Scenario_DT!Q$11*(IF(Scenario_DT!Q$18=1,1,1+$M447/Scenario_DT!$C$19)*(1+$N447)^MAX(0,Scenario_DT!Q$18-3))*(Scenario_DT!Q$12+$O447)-Scenario_DT!Q$13)*(1-Scenario_DT!Q$14)+Scenario_DT!Q$13-Scenario_DT!Q$15)*Scenario_DT!Q$16</f>
        <v>3418.6875019657559</v>
      </c>
      <c r="AA447" s="28">
        <f>((Scenario_DT!R$11*(IF(Scenario_DT!R$18=1,1,1+$M447/Scenario_DT!$C$19)*(1+$N447)^MAX(0,Scenario_DT!R$18-3))*(Scenario_DT!R$12+$O447)-Scenario_DT!R$13)*(1-Scenario_DT!R$14)+Scenario_DT!R$13-Scenario_DT!R$15)*Scenario_DT!R$16</f>
        <v>3639.5889176791397</v>
      </c>
      <c r="AB447" s="17">
        <f>(Scenario_DT!$R$11*(1+$M447/Scenario_DT!$C$19)*(1+$N447)^7*(Scenario_DT!$R$12+$O447)*(1+MIN(DCF_FCFF!$C$26+$Q447,(DCF_FCFF!$C$25+$P447)-0.02))*(1-DCF_FCFF!$C$27)*(1-DCF_FCFF!$C$28)/((DCF_FCFF!$C$25+$P447)-MIN(DCF_FCFF!$C$26+$Q447,(DCF_FCFF!$C$25+$P447)-0.02)))*(1+(DCF_FCFF!$C$25+$P447))^(-(Inputs!$C$9+9))</f>
        <v>28816.613245897155</v>
      </c>
      <c r="AC447" s="17">
        <f>SUMPRODUCT(R447:AA447*(1+(DCF_FCFF!$C$25+$P447))^(-Scenario_DT!$I$17:$R$17))+AB447</f>
        <v>45931.105177246689</v>
      </c>
      <c r="AD447" s="68">
        <f>((AC447-DCF_FCFF!$C$48)*(1-DCF_FCFF!$C$50)+DCF_FCFF!$C$57+DCF_FCFF!$C$58)/DCF_FCFF!$C$60</f>
        <v>344.43761649434344</v>
      </c>
      <c r="AE447" s="6"/>
      <c r="AF447" s="6"/>
      <c r="AG447" s="6"/>
    </row>
    <row r="448" spans="1:33" x14ac:dyDescent="0.3">
      <c r="A448" s="6"/>
      <c r="B448" s="72">
        <v>417</v>
      </c>
      <c r="C448" s="73">
        <v>0.39183770991005301</v>
      </c>
      <c r="D448" s="73">
        <v>0.20018343058485999</v>
      </c>
      <c r="E448" s="73">
        <v>0.68003493540789095</v>
      </c>
      <c r="F448" s="73">
        <v>0.18132145876585201</v>
      </c>
      <c r="G448" s="73">
        <v>0.67481275240587002</v>
      </c>
      <c r="H448" s="15">
        <f t="shared" si="61"/>
        <v>-0.27453251489986896</v>
      </c>
      <c r="I448" s="15">
        <f t="shared" si="62"/>
        <v>-0.84096621576966479</v>
      </c>
      <c r="J448" s="15">
        <f t="shared" si="63"/>
        <v>0.46779649244887767</v>
      </c>
      <c r="K448" s="15">
        <f t="shared" si="64"/>
        <v>-0.91034059202430917</v>
      </c>
      <c r="L448" s="15">
        <f t="shared" si="65"/>
        <v>0.45324199587269137</v>
      </c>
      <c r="M448" s="18">
        <f t="shared" si="66"/>
        <v>-5.4906502979973791E-3</v>
      </c>
      <c r="N448" s="18">
        <f t="shared" si="67"/>
        <v>-6.9245149122474378E-3</v>
      </c>
      <c r="O448" s="18">
        <f t="shared" si="68"/>
        <v>5.6135579093865321E-3</v>
      </c>
      <c r="P448" s="18">
        <f t="shared" si="69"/>
        <v>-5.4620435521458548E-3</v>
      </c>
      <c r="Q448" s="18">
        <f t="shared" si="70"/>
        <v>1.8129679834907656E-3</v>
      </c>
      <c r="R448" s="28">
        <f>((Scenario_DT!I$11*(IF(Scenario_DT!I$18=1,1,1+$M448/Scenario_DT!$C$19)*(1+$N448)^MAX(0,Scenario_DT!I$18-3))*(Scenario_DT!I$12+$O448)-Scenario_DT!I$13)*(1-Scenario_DT!I$14)+Scenario_DT!I$13-Scenario_DT!I$15)*Scenario_DT!I$16</f>
        <v>918.89905007540369</v>
      </c>
      <c r="S448" s="28">
        <f>((Scenario_DT!J$11*(IF(Scenario_DT!J$18=1,1,1+$M448/Scenario_DT!$C$19)*(1+$N448)^MAX(0,Scenario_DT!J$18-3))*(Scenario_DT!J$12+$O448)-Scenario_DT!J$13)*(1-Scenario_DT!J$14)+Scenario_DT!J$13-Scenario_DT!J$15)*Scenario_DT!J$16</f>
        <v>1836.0953270411997</v>
      </c>
      <c r="T448" s="28">
        <f>((Scenario_DT!K$11*(IF(Scenario_DT!K$18=1,1,1+$M448/Scenario_DT!$C$19)*(1+$N448)^MAX(0,Scenario_DT!K$18-3))*(Scenario_DT!K$12+$O448)-Scenario_DT!K$13)*(1-Scenario_DT!K$14)+Scenario_DT!K$13-Scenario_DT!K$15)*Scenario_DT!K$16</f>
        <v>2100.6454056141242</v>
      </c>
      <c r="U448" s="28">
        <f>((Scenario_DT!L$11*(IF(Scenario_DT!L$18=1,1,1+$M448/Scenario_DT!$C$19)*(1+$N448)^MAX(0,Scenario_DT!L$18-3))*(Scenario_DT!L$12+$O448)-Scenario_DT!L$13)*(1-Scenario_DT!L$14)+Scenario_DT!L$13-Scenario_DT!L$15)*Scenario_DT!L$16</f>
        <v>2484.4895848861311</v>
      </c>
      <c r="V448" s="28">
        <f>((Scenario_DT!M$11*(IF(Scenario_DT!M$18=1,1,1+$M448/Scenario_DT!$C$19)*(1+$N448)^MAX(0,Scenario_DT!M$18-3))*(Scenario_DT!M$12+$O448)-Scenario_DT!M$13)*(1-Scenario_DT!M$14)+Scenario_DT!M$13-Scenario_DT!M$15)*Scenario_DT!M$16</f>
        <v>2589.8058620300399</v>
      </c>
      <c r="W448" s="28">
        <f>((Scenario_DT!N$11*(IF(Scenario_DT!N$18=1,1,1+$M448/Scenario_DT!$C$19)*(1+$N448)^MAX(0,Scenario_DT!N$18-3))*(Scenario_DT!N$12+$O448)-Scenario_DT!N$13)*(1-Scenario_DT!N$14)+Scenario_DT!N$13-Scenario_DT!N$15)*Scenario_DT!N$16</f>
        <v>2699.5677896424686</v>
      </c>
      <c r="X448" s="28">
        <f>((Scenario_DT!O$11*(IF(Scenario_DT!O$18=1,1,1+$M448/Scenario_DT!$C$19)*(1+$N448)^MAX(0,Scenario_DT!O$18-3))*(Scenario_DT!O$12+$O448)-Scenario_DT!O$13)*(1-Scenario_DT!O$14)+Scenario_DT!O$13-Scenario_DT!O$15)*Scenario_DT!O$16</f>
        <v>2813.9646515861477</v>
      </c>
      <c r="Y448" s="28">
        <f>((Scenario_DT!P$11*(IF(Scenario_DT!P$18=1,1,1+$M448/Scenario_DT!$C$19)*(1+$N448)^MAX(0,Scenario_DT!P$18-3))*(Scenario_DT!P$12+$O448)-Scenario_DT!P$13)*(1-Scenario_DT!P$14)+Scenario_DT!P$13-Scenario_DT!P$15)*Scenario_DT!P$16</f>
        <v>2933.1938078184726</v>
      </c>
      <c r="Z448" s="28">
        <f>((Scenario_DT!Q$11*(IF(Scenario_DT!Q$18=1,1,1+$M448/Scenario_DT!$C$19)*(1+$N448)^MAX(0,Scenario_DT!Q$18-3))*(Scenario_DT!Q$12+$O448)-Scenario_DT!Q$13)*(1-Scenario_DT!Q$14)+Scenario_DT!Q$13-Scenario_DT!Q$15)*Scenario_DT!Q$16</f>
        <v>3057.4610391680399</v>
      </c>
      <c r="AA448" s="28">
        <f>((Scenario_DT!R$11*(IF(Scenario_DT!R$18=1,1,1+$M448/Scenario_DT!$C$19)*(1+$N448)^MAX(0,Scenario_DT!R$18-3))*(Scenario_DT!R$12+$O448)-Scenario_DT!R$13)*(1-Scenario_DT!R$14)+Scenario_DT!R$13-Scenario_DT!R$15)*Scenario_DT!R$16</f>
        <v>3186.9809068335085</v>
      </c>
      <c r="AB448" s="17">
        <f>(Scenario_DT!$R$11*(1+$M448/Scenario_DT!$C$19)*(1+$N448)^7*(Scenario_DT!$R$12+$O448)*(1+MIN(DCF_FCFF!$C$26+$Q448,(DCF_FCFF!$C$25+$P448)-0.02))*(1-DCF_FCFF!$C$27)*(1-DCF_FCFF!$C$28)/((DCF_FCFF!$C$25+$P448)-MIN(DCF_FCFF!$C$26+$Q448,(DCF_FCFF!$C$25+$P448)-0.02)))*(1+(DCF_FCFF!$C$25+$P448))^(-(Inputs!$C$9+9))</f>
        <v>33018.820603884626</v>
      </c>
      <c r="AC448" s="17">
        <f>SUMPRODUCT(R448:AA448*(1+(DCF_FCFF!$C$25+$P448))^(-Scenario_DT!$I$17:$R$17))+AB448</f>
        <v>49550.3675459839</v>
      </c>
      <c r="AD448" s="68">
        <f>((AC448-DCF_FCFF!$C$48)*(1-DCF_FCFF!$C$50)+DCF_FCFF!$C$57+DCF_FCFF!$C$58)/DCF_FCFF!$C$60</f>
        <v>379.17807801458798</v>
      </c>
      <c r="AE448" s="6"/>
      <c r="AF448" s="6"/>
      <c r="AG448" s="6"/>
    </row>
    <row r="449" spans="1:33" x14ac:dyDescent="0.3">
      <c r="A449" s="6"/>
      <c r="B449" s="72">
        <v>418</v>
      </c>
      <c r="C449" s="73">
        <v>0.26347542818931802</v>
      </c>
      <c r="D449" s="73">
        <v>0.3552178341212</v>
      </c>
      <c r="E449" s="73">
        <v>0.34886065204639799</v>
      </c>
      <c r="F449" s="73">
        <v>0.71675175016360904</v>
      </c>
      <c r="G449" s="73">
        <v>0.46650926313834301</v>
      </c>
      <c r="H449" s="15">
        <f t="shared" si="61"/>
        <v>-0.63266740988217629</v>
      </c>
      <c r="I449" s="15">
        <f t="shared" si="62"/>
        <v>-0.37127103655710075</v>
      </c>
      <c r="J449" s="15">
        <f t="shared" si="63"/>
        <v>-0.38839829728328873</v>
      </c>
      <c r="K449" s="15">
        <f t="shared" si="64"/>
        <v>0.57321888420748912</v>
      </c>
      <c r="L449" s="15">
        <f t="shared" si="65"/>
        <v>-8.4047675488348725E-2</v>
      </c>
      <c r="M449" s="18">
        <f t="shared" si="66"/>
        <v>-1.2653348197643527E-2</v>
      </c>
      <c r="N449" s="18">
        <f t="shared" si="67"/>
        <v>-5.102910834311347E-3</v>
      </c>
      <c r="O449" s="18">
        <f t="shared" si="68"/>
        <v>-4.6607795673994645E-3</v>
      </c>
      <c r="P449" s="18">
        <f t="shared" si="69"/>
        <v>3.4393133052449346E-3</v>
      </c>
      <c r="Q449" s="18">
        <f t="shared" si="70"/>
        <v>-3.3619070195339492E-4</v>
      </c>
      <c r="R449" s="28">
        <f>((Scenario_DT!I$11*(IF(Scenario_DT!I$18=1,1,1+$M449/Scenario_DT!$C$19)*(1+$N449)^MAX(0,Scenario_DT!I$18-3))*(Scenario_DT!I$12+$O449)-Scenario_DT!I$13)*(1-Scenario_DT!I$14)+Scenario_DT!I$13-Scenario_DT!I$15)*Scenario_DT!I$16</f>
        <v>904.41333992079444</v>
      </c>
      <c r="S449" s="28">
        <f>((Scenario_DT!J$11*(IF(Scenario_DT!J$18=1,1,1+$M449/Scenario_DT!$C$19)*(1+$N449)^MAX(0,Scenario_DT!J$18-3))*(Scenario_DT!J$12+$O449)-Scenario_DT!J$13)*(1-Scenario_DT!J$14)+Scenario_DT!J$13-Scenario_DT!J$15)*Scenario_DT!J$16</f>
        <v>1787.2984861175642</v>
      </c>
      <c r="T449" s="28">
        <f>((Scenario_DT!K$11*(IF(Scenario_DT!K$18=1,1,1+$M449/Scenario_DT!$C$19)*(1+$N449)^MAX(0,Scenario_DT!K$18-3))*(Scenario_DT!K$12+$O449)-Scenario_DT!K$13)*(1-Scenario_DT!K$14)+Scenario_DT!K$13-Scenario_DT!K$15)*Scenario_DT!K$16</f>
        <v>2049.8323465822155</v>
      </c>
      <c r="U449" s="28">
        <f>((Scenario_DT!L$11*(IF(Scenario_DT!L$18=1,1,1+$M449/Scenario_DT!$C$19)*(1+$N449)^MAX(0,Scenario_DT!L$18-3))*(Scenario_DT!L$12+$O449)-Scenario_DT!L$13)*(1-Scenario_DT!L$14)+Scenario_DT!L$13-Scenario_DT!L$15)*Scenario_DT!L$16</f>
        <v>2435.4010263198807</v>
      </c>
      <c r="V449" s="28">
        <f>((Scenario_DT!M$11*(IF(Scenario_DT!M$18=1,1,1+$M449/Scenario_DT!$C$19)*(1+$N449)^MAX(0,Scenario_DT!M$18-3))*(Scenario_DT!M$12+$O449)-Scenario_DT!M$13)*(1-Scenario_DT!M$14)+Scenario_DT!M$13-Scenario_DT!M$15)*Scenario_DT!M$16</f>
        <v>2543.3102152936608</v>
      </c>
      <c r="W449" s="28">
        <f>((Scenario_DT!N$11*(IF(Scenario_DT!N$18=1,1,1+$M449/Scenario_DT!$C$19)*(1+$N449)^MAX(0,Scenario_DT!N$18-3))*(Scenario_DT!N$12+$O449)-Scenario_DT!N$13)*(1-Scenario_DT!N$14)+Scenario_DT!N$13-Scenario_DT!N$15)*Scenario_DT!N$16</f>
        <v>2655.9852378308533</v>
      </c>
      <c r="X449" s="28">
        <f>((Scenario_DT!O$11*(IF(Scenario_DT!O$18=1,1,1+$M449/Scenario_DT!$C$19)*(1+$N449)^MAX(0,Scenario_DT!O$18-3))*(Scenario_DT!O$12+$O449)-Scenario_DT!O$13)*(1-Scenario_DT!O$14)+Scenario_DT!O$13-Scenario_DT!O$15)*Scenario_DT!O$16</f>
        <v>2773.638406552483</v>
      </c>
      <c r="Y449" s="28">
        <f>((Scenario_DT!P$11*(IF(Scenario_DT!P$18=1,1,1+$M449/Scenario_DT!$C$19)*(1+$N449)^MAX(0,Scenario_DT!P$18-3))*(Scenario_DT!P$12+$O449)-Scenario_DT!P$13)*(1-Scenario_DT!P$14)+Scenario_DT!P$13-Scenario_DT!P$15)*Scenario_DT!P$16</f>
        <v>2896.4915114697937</v>
      </c>
      <c r="Z449" s="28">
        <f>((Scenario_DT!Q$11*(IF(Scenario_DT!Q$18=1,1,1+$M449/Scenario_DT!$C$19)*(1+$N449)^MAX(0,Scenario_DT!Q$18-3))*(Scenario_DT!Q$12+$O449)-Scenario_DT!Q$13)*(1-Scenario_DT!Q$14)+Scenario_DT!Q$13-Scenario_DT!Q$15)*Scenario_DT!Q$16</f>
        <v>3024.7762432659142</v>
      </c>
      <c r="AA449" s="28">
        <f>((Scenario_DT!R$11*(IF(Scenario_DT!R$18=1,1,1+$M449/Scenario_DT!$C$19)*(1+$N449)^MAX(0,Scenario_DT!R$18-3))*(Scenario_DT!R$12+$O449)-Scenario_DT!R$13)*(1-Scenario_DT!R$14)+Scenario_DT!R$13-Scenario_DT!R$15)*Scenario_DT!R$16</f>
        <v>3158.7346354859437</v>
      </c>
      <c r="AB449" s="17">
        <f>(Scenario_DT!$R$11*(1+$M449/Scenario_DT!$C$19)*(1+$N449)^7*(Scenario_DT!$R$12+$O449)*(1+MIN(DCF_FCFF!$C$26+$Q449,(DCF_FCFF!$C$25+$P449)-0.02))*(1-DCF_FCFF!$C$27)*(1-DCF_FCFF!$C$28)/((DCF_FCFF!$C$25+$P449)-MIN(DCF_FCFF!$C$26+$Q449,(DCF_FCFF!$C$25+$P449)-0.02)))*(1+(DCF_FCFF!$C$25+$P449))^(-(Inputs!$C$9+9))</f>
        <v>24062.648763479479</v>
      </c>
      <c r="AC449" s="17">
        <f>SUMPRODUCT(R449:AA449*(1+(DCF_FCFF!$C$25+$P449))^(-Scenario_DT!$I$17:$R$17))+AB449</f>
        <v>39717.359120475187</v>
      </c>
      <c r="AD449" s="68">
        <f>((AC449-DCF_FCFF!$C$48)*(1-DCF_FCFF!$C$50)+DCF_FCFF!$C$57+DCF_FCFF!$C$58)/DCF_FCFF!$C$60</f>
        <v>284.7933067459017</v>
      </c>
      <c r="AE449" s="6"/>
      <c r="AF449" s="6"/>
      <c r="AG449" s="6"/>
    </row>
    <row r="450" spans="1:33" x14ac:dyDescent="0.3">
      <c r="A450" s="6"/>
      <c r="B450" s="72">
        <v>419</v>
      </c>
      <c r="C450" s="73">
        <v>0.36129889885268301</v>
      </c>
      <c r="D450" s="73">
        <v>0.85262271903944997</v>
      </c>
      <c r="E450" s="73">
        <v>0.57195062564120303</v>
      </c>
      <c r="F450" s="73">
        <v>0.21383082127799799</v>
      </c>
      <c r="G450" s="73">
        <v>0.90009127814368295</v>
      </c>
      <c r="H450" s="15">
        <f t="shared" si="61"/>
        <v>-0.35498904577627982</v>
      </c>
      <c r="I450" s="15">
        <f t="shared" si="62"/>
        <v>1.0477483563440091</v>
      </c>
      <c r="J450" s="15">
        <f t="shared" si="63"/>
        <v>0.1813425001246716</v>
      </c>
      <c r="K450" s="15">
        <f t="shared" si="64"/>
        <v>-0.79319942487135875</v>
      </c>
      <c r="L450" s="15">
        <f t="shared" si="65"/>
        <v>1.28207184730937</v>
      </c>
      <c r="M450" s="18">
        <f t="shared" si="66"/>
        <v>-7.0997809155255963E-3</v>
      </c>
      <c r="N450" s="18">
        <f t="shared" si="67"/>
        <v>5.8390573638332994E-3</v>
      </c>
      <c r="O450" s="18">
        <f t="shared" si="68"/>
        <v>2.1761100014960591E-3</v>
      </c>
      <c r="P450" s="18">
        <f t="shared" si="69"/>
        <v>-4.7591965492281528E-3</v>
      </c>
      <c r="Q450" s="18">
        <f t="shared" si="70"/>
        <v>5.1282873892374795E-3</v>
      </c>
      <c r="R450" s="28">
        <f>((Scenario_DT!I$11*(IF(Scenario_DT!I$18=1,1,1+$M450/Scenario_DT!$C$19)*(1+$N450)^MAX(0,Scenario_DT!I$18-3))*(Scenario_DT!I$12+$O450)-Scenario_DT!I$13)*(1-Scenario_DT!I$14)+Scenario_DT!I$13-Scenario_DT!I$15)*Scenario_DT!I$16</f>
        <v>914.05261845119696</v>
      </c>
      <c r="S450" s="28">
        <f>((Scenario_DT!J$11*(IF(Scenario_DT!J$18=1,1,1+$M450/Scenario_DT!$C$19)*(1+$N450)^MAX(0,Scenario_DT!J$18-3))*(Scenario_DT!J$12+$O450)-Scenario_DT!J$13)*(1-Scenario_DT!J$14)+Scenario_DT!J$13-Scenario_DT!J$15)*Scenario_DT!J$16</f>
        <v>1821.6075754011354</v>
      </c>
      <c r="T450" s="28">
        <f>((Scenario_DT!K$11*(IF(Scenario_DT!K$18=1,1,1+$M450/Scenario_DT!$C$19)*(1+$N450)^MAX(0,Scenario_DT!K$18-3))*(Scenario_DT!K$12+$O450)-Scenario_DT!K$13)*(1-Scenario_DT!K$14)+Scenario_DT!K$13-Scenario_DT!K$15)*Scenario_DT!K$16</f>
        <v>2085.5766350416934</v>
      </c>
      <c r="U450" s="28">
        <f>((Scenario_DT!L$11*(IF(Scenario_DT!L$18=1,1,1+$M450/Scenario_DT!$C$19)*(1+$N450)^MAX(0,Scenario_DT!L$18-3))*(Scenario_DT!L$12+$O450)-Scenario_DT!L$13)*(1-Scenario_DT!L$14)+Scenario_DT!L$13-Scenario_DT!L$15)*Scenario_DT!L$16</f>
        <v>2500.5454495461809</v>
      </c>
      <c r="V450" s="28">
        <f>((Scenario_DT!M$11*(IF(Scenario_DT!M$18=1,1,1+$M450/Scenario_DT!$C$19)*(1+$N450)^MAX(0,Scenario_DT!M$18-3))*(Scenario_DT!M$12+$O450)-Scenario_DT!M$13)*(1-Scenario_DT!M$14)+Scenario_DT!M$13-Scenario_DT!M$15)*Scenario_DT!M$16</f>
        <v>2640.2856220287276</v>
      </c>
      <c r="W450" s="28">
        <f>((Scenario_DT!N$11*(IF(Scenario_DT!N$18=1,1,1+$M450/Scenario_DT!$C$19)*(1+$N450)^MAX(0,Scenario_DT!N$18-3))*(Scenario_DT!N$12+$O450)-Scenario_DT!N$13)*(1-Scenario_DT!N$14)+Scenario_DT!N$13-Scenario_DT!N$15)*Scenario_DT!N$16</f>
        <v>2787.8360915810326</v>
      </c>
      <c r="X450" s="28">
        <f>((Scenario_DT!O$11*(IF(Scenario_DT!O$18=1,1,1+$M450/Scenario_DT!$C$19)*(1+$N450)^MAX(0,Scenario_DT!O$18-3))*(Scenario_DT!O$12+$O450)-Scenario_DT!O$13)*(1-Scenario_DT!O$14)+Scenario_DT!O$13-Scenario_DT!O$15)*Scenario_DT!O$16</f>
        <v>2943.6362084090224</v>
      </c>
      <c r="Y450" s="28">
        <f>((Scenario_DT!P$11*(IF(Scenario_DT!P$18=1,1,1+$M450/Scenario_DT!$C$19)*(1+$N450)^MAX(0,Scenario_DT!P$18-3))*(Scenario_DT!P$12+$O450)-Scenario_DT!P$13)*(1-Scenario_DT!P$14)+Scenario_DT!P$13-Scenario_DT!P$15)*Scenario_DT!P$16</f>
        <v>3108.1500505481958</v>
      </c>
      <c r="Z450" s="28">
        <f>((Scenario_DT!Q$11*(IF(Scenario_DT!Q$18=1,1,1+$M450/Scenario_DT!$C$19)*(1+$N450)^MAX(0,Scenario_DT!Q$18-3))*(Scenario_DT!Q$12+$O450)-Scenario_DT!Q$13)*(1-Scenario_DT!Q$14)+Scenario_DT!Q$13-Scenario_DT!Q$15)*Scenario_DT!Q$16</f>
        <v>3281.8678150669089</v>
      </c>
      <c r="AA450" s="28">
        <f>((Scenario_DT!R$11*(IF(Scenario_DT!R$18=1,1,1+$M450/Scenario_DT!$C$19)*(1+$N450)^MAX(0,Scenario_DT!R$18-3))*(Scenario_DT!R$12+$O450)-Scenario_DT!R$13)*(1-Scenario_DT!R$14)+Scenario_DT!R$13-Scenario_DT!R$15)*Scenario_DT!R$16</f>
        <v>3465.3072875039129</v>
      </c>
      <c r="AB450" s="17">
        <f>(Scenario_DT!$R$11*(1+$M450/Scenario_DT!$C$19)*(1+$N450)^7*(Scenario_DT!$R$12+$O450)*(1+MIN(DCF_FCFF!$C$26+$Q450,(DCF_FCFF!$C$25+$P450)-0.02))*(1-DCF_FCFF!$C$27)*(1-DCF_FCFF!$C$28)/((DCF_FCFF!$C$25+$P450)-MIN(DCF_FCFF!$C$26+$Q450,(DCF_FCFF!$C$25+$P450)-0.02)))*(1+(DCF_FCFF!$C$25+$P450))^(-(Inputs!$C$9+9))</f>
        <v>38078.088093618899</v>
      </c>
      <c r="AC450" s="17">
        <f>SUMPRODUCT(R450:AA450*(1+(DCF_FCFF!$C$25+$P450))^(-Scenario_DT!$I$17:$R$17))+AB450</f>
        <v>55065.05728352796</v>
      </c>
      <c r="AD450" s="68">
        <f>((AC450-DCF_FCFF!$C$48)*(1-DCF_FCFF!$C$50)+DCF_FCFF!$C$57+DCF_FCFF!$C$58)/DCF_FCFF!$C$60</f>
        <v>432.11230800523697</v>
      </c>
      <c r="AE450" s="6"/>
      <c r="AF450" s="6"/>
      <c r="AG450" s="6"/>
    </row>
    <row r="451" spans="1:33" x14ac:dyDescent="0.3">
      <c r="A451" s="6"/>
      <c r="B451" s="72">
        <v>420</v>
      </c>
      <c r="C451" s="73">
        <v>0.342650296033641</v>
      </c>
      <c r="D451" s="73">
        <v>3.8979377537320399E-2</v>
      </c>
      <c r="E451" s="73">
        <v>0.49460022397445302</v>
      </c>
      <c r="F451" s="73">
        <v>0.12393805444087801</v>
      </c>
      <c r="G451" s="73">
        <v>0.23846644371574299</v>
      </c>
      <c r="H451" s="15">
        <f t="shared" si="61"/>
        <v>-0.4052406982116068</v>
      </c>
      <c r="I451" s="15">
        <f t="shared" si="62"/>
        <v>-1.7626546425262222</v>
      </c>
      <c r="J451" s="15">
        <f t="shared" si="63"/>
        <v>-1.3535644570147165E-2</v>
      </c>
      <c r="K451" s="15">
        <f t="shared" si="64"/>
        <v>-1.1555235147315905</v>
      </c>
      <c r="L451" s="15">
        <f t="shared" si="65"/>
        <v>-0.71124425749573672</v>
      </c>
      <c r="M451" s="18">
        <f t="shared" si="66"/>
        <v>-8.1048139642321358E-3</v>
      </c>
      <c r="N451" s="18">
        <f t="shared" si="67"/>
        <v>-1.3832992381056721E-2</v>
      </c>
      <c r="O451" s="18">
        <f t="shared" si="68"/>
        <v>-1.6242773484176598E-4</v>
      </c>
      <c r="P451" s="18">
        <f t="shared" si="69"/>
        <v>-6.9331410883895434E-3</v>
      </c>
      <c r="Q451" s="18">
        <f t="shared" si="70"/>
        <v>-2.844977029982947E-3</v>
      </c>
      <c r="R451" s="28">
        <f>((Scenario_DT!I$11*(IF(Scenario_DT!I$18=1,1,1+$M451/Scenario_DT!$C$19)*(1+$N451)^MAX(0,Scenario_DT!I$18-3))*(Scenario_DT!I$12+$O451)-Scenario_DT!I$13)*(1-Scenario_DT!I$14)+Scenario_DT!I$13-Scenario_DT!I$15)*Scenario_DT!I$16</f>
        <v>910.75553190807466</v>
      </c>
      <c r="S451" s="28">
        <f>((Scenario_DT!J$11*(IF(Scenario_DT!J$18=1,1,1+$M451/Scenario_DT!$C$19)*(1+$N451)^MAX(0,Scenario_DT!J$18-3))*(Scenario_DT!J$12+$O451)-Scenario_DT!J$13)*(1-Scenario_DT!J$14)+Scenario_DT!J$13-Scenario_DT!J$15)*Scenario_DT!J$16</f>
        <v>1811.9871135151034</v>
      </c>
      <c r="T451" s="28">
        <f>((Scenario_DT!K$11*(IF(Scenario_DT!K$18=1,1,1+$M451/Scenario_DT!$C$19)*(1+$N451)^MAX(0,Scenario_DT!K$18-3))*(Scenario_DT!K$12+$O451)-Scenario_DT!K$13)*(1-Scenario_DT!K$14)+Scenario_DT!K$13-Scenario_DT!K$15)*Scenario_DT!K$16</f>
        <v>2075.5725117074453</v>
      </c>
      <c r="U451" s="28">
        <f>((Scenario_DT!L$11*(IF(Scenario_DT!L$18=1,1,1+$M451/Scenario_DT!$C$19)*(1+$N451)^MAX(0,Scenario_DT!L$18-3))*(Scenario_DT!L$12+$O451)-Scenario_DT!L$13)*(1-Scenario_DT!L$14)+Scenario_DT!L$13-Scenario_DT!L$15)*Scenario_DT!L$16</f>
        <v>2440.8349072878596</v>
      </c>
      <c r="V451" s="28">
        <f>((Scenario_DT!M$11*(IF(Scenario_DT!M$18=1,1,1+$M451/Scenario_DT!$C$19)*(1+$N451)^MAX(0,Scenario_DT!M$18-3))*(Scenario_DT!M$12+$O451)-Scenario_DT!M$13)*(1-Scenario_DT!M$14)+Scenario_DT!M$13-Scenario_DT!M$15)*Scenario_DT!M$16</f>
        <v>2526.4578680706863</v>
      </c>
      <c r="W451" s="28">
        <f>((Scenario_DT!N$11*(IF(Scenario_DT!N$18=1,1,1+$M451/Scenario_DT!$C$19)*(1+$N451)^MAX(0,Scenario_DT!N$18-3))*(Scenario_DT!N$12+$O451)-Scenario_DT!N$13)*(1-Scenario_DT!N$14)+Scenario_DT!N$13-Scenario_DT!N$15)*Scenario_DT!N$16</f>
        <v>2615.0525443737488</v>
      </c>
      <c r="X451" s="28">
        <f>((Scenario_DT!O$11*(IF(Scenario_DT!O$18=1,1,1+$M451/Scenario_DT!$C$19)*(1+$N451)^MAX(0,Scenario_DT!O$18-3))*(Scenario_DT!O$12+$O451)-Scenario_DT!O$13)*(1-Scenario_DT!O$14)+Scenario_DT!O$13-Scenario_DT!O$15)*Scenario_DT!O$16</f>
        <v>2706.7228033745714</v>
      </c>
      <c r="Y451" s="28">
        <f>((Scenario_DT!P$11*(IF(Scenario_DT!P$18=1,1,1+$M451/Scenario_DT!$C$19)*(1+$N451)^MAX(0,Scenario_DT!P$18-3))*(Scenario_DT!P$12+$O451)-Scenario_DT!P$13)*(1-Scenario_DT!P$14)+Scenario_DT!P$13-Scenario_DT!P$15)*Scenario_DT!P$16</f>
        <v>2801.5761426094891</v>
      </c>
      <c r="Z451" s="28">
        <f>((Scenario_DT!Q$11*(IF(Scenario_DT!Q$18=1,1,1+$M451/Scenario_DT!$C$19)*(1+$N451)^MAX(0,Scenario_DT!Q$18-3))*(Scenario_DT!Q$12+$O451)-Scenario_DT!Q$13)*(1-Scenario_DT!Q$14)+Scenario_DT!Q$13-Scenario_DT!Q$15)*Scenario_DT!Q$16</f>
        <v>2899.7238165507652</v>
      </c>
      <c r="AA451" s="28">
        <f>((Scenario_DT!R$11*(IF(Scenario_DT!R$18=1,1,1+$M451/Scenario_DT!$C$19)*(1+$N451)^MAX(0,Scenario_DT!R$18-3))*(Scenario_DT!R$12+$O451)-Scenario_DT!R$13)*(1-Scenario_DT!R$14)+Scenario_DT!R$13-Scenario_DT!R$15)*Scenario_DT!R$16</f>
        <v>3001.2809675808658</v>
      </c>
      <c r="AB451" s="17">
        <f>(Scenario_DT!$R$11*(1+$M451/Scenario_DT!$C$19)*(1+$N451)^7*(Scenario_DT!$R$12+$O451)*(1+MIN(DCF_FCFF!$C$26+$Q451,(DCF_FCFF!$C$25+$P451)-0.02))*(1-DCF_FCFF!$C$27)*(1-DCF_FCFF!$C$28)/((DCF_FCFF!$C$25+$P451)-MIN(DCF_FCFF!$C$26+$Q451,(DCF_FCFF!$C$25+$P451)-0.02)))*(1+(DCF_FCFF!$C$25+$P451))^(-(Inputs!$C$9+9))</f>
        <v>29214.250113570495</v>
      </c>
      <c r="AC451" s="17">
        <f>SUMPRODUCT(R451:AA451*(1+(DCF_FCFF!$C$25+$P451))^(-Scenario_DT!$I$17:$R$17))+AB451</f>
        <v>45344.947345524546</v>
      </c>
      <c r="AD451" s="68">
        <f>((AC451-DCF_FCFF!$C$48)*(1-DCF_FCFF!$C$50)+DCF_FCFF!$C$57+DCF_FCFF!$C$58)/DCF_FCFF!$C$60</f>
        <v>338.81122317905641</v>
      </c>
      <c r="AE451" s="6"/>
      <c r="AF451" s="6"/>
      <c r="AG451" s="6"/>
    </row>
    <row r="452" spans="1:33" x14ac:dyDescent="0.3">
      <c r="A452" s="6"/>
      <c r="B452" s="72">
        <v>421</v>
      </c>
      <c r="C452" s="73">
        <v>0.74711087268741105</v>
      </c>
      <c r="D452" s="73">
        <v>0.130751813376319</v>
      </c>
      <c r="E452" s="73">
        <v>0.80694422435403601</v>
      </c>
      <c r="F452" s="73">
        <v>0.93690728813095403</v>
      </c>
      <c r="G452" s="73">
        <v>0.60653210040794503</v>
      </c>
      <c r="H452" s="15">
        <f t="shared" si="61"/>
        <v>0.66542569526907069</v>
      </c>
      <c r="I452" s="15">
        <f t="shared" si="62"/>
        <v>-1.1228443008322166</v>
      </c>
      <c r="J452" s="15">
        <f t="shared" si="63"/>
        <v>0.86669061079383614</v>
      </c>
      <c r="K452" s="15">
        <f t="shared" si="64"/>
        <v>1.5293188302675542</v>
      </c>
      <c r="L452" s="15">
        <f t="shared" si="65"/>
        <v>0.2702917663794922</v>
      </c>
      <c r="M452" s="18">
        <f t="shared" si="66"/>
        <v>1.3308513905381415E-2</v>
      </c>
      <c r="N452" s="18">
        <f t="shared" si="67"/>
        <v>-5.117590731045926E-3</v>
      </c>
      <c r="O452" s="18">
        <f t="shared" si="68"/>
        <v>1.0400287329526034E-2</v>
      </c>
      <c r="P452" s="18">
        <f t="shared" si="69"/>
        <v>9.1759129816053261E-3</v>
      </c>
      <c r="Q452" s="18">
        <f t="shared" si="70"/>
        <v>1.0811670655179689E-3</v>
      </c>
      <c r="R452" s="28">
        <f>((Scenario_DT!I$11*(IF(Scenario_DT!I$18=1,1,1+$M452/Scenario_DT!$C$19)*(1+$N452)^MAX(0,Scenario_DT!I$18-3))*(Scenario_DT!I$12+$O452)-Scenario_DT!I$13)*(1-Scenario_DT!I$14)+Scenario_DT!I$13-Scenario_DT!I$15)*Scenario_DT!I$16</f>
        <v>925.64782342700414</v>
      </c>
      <c r="S452" s="28">
        <f>((Scenario_DT!J$11*(IF(Scenario_DT!J$18=1,1,1+$M452/Scenario_DT!$C$19)*(1+$N452)^MAX(0,Scenario_DT!J$18-3))*(Scenario_DT!J$12+$O452)-Scenario_DT!J$13)*(1-Scenario_DT!J$14)+Scenario_DT!J$13-Scenario_DT!J$15)*Scenario_DT!J$16</f>
        <v>1896.5778949742762</v>
      </c>
      <c r="T452" s="28">
        <f>((Scenario_DT!K$11*(IF(Scenario_DT!K$18=1,1,1+$M452/Scenario_DT!$C$19)*(1+$N452)^MAX(0,Scenario_DT!K$18-3))*(Scenario_DT!K$12+$O452)-Scenario_DT!K$13)*(1-Scenario_DT!K$14)+Scenario_DT!K$13-Scenario_DT!K$15)*Scenario_DT!K$16</f>
        <v>2163.9643683087711</v>
      </c>
      <c r="U452" s="28">
        <f>((Scenario_DT!L$11*(IF(Scenario_DT!L$18=1,1,1+$M452/Scenario_DT!$C$19)*(1+$N452)^MAX(0,Scenario_DT!L$18-3))*(Scenario_DT!L$12+$O452)-Scenario_DT!L$13)*(1-Scenario_DT!L$14)+Scenario_DT!L$13-Scenario_DT!L$15)*Scenario_DT!L$16</f>
        <v>2555.9274374747465</v>
      </c>
      <c r="V452" s="28">
        <f>((Scenario_DT!M$11*(IF(Scenario_DT!M$18=1,1,1+$M452/Scenario_DT!$C$19)*(1+$N452)^MAX(0,Scenario_DT!M$18-3))*(Scenario_DT!M$12+$O452)-Scenario_DT!M$13)*(1-Scenario_DT!M$14)+Scenario_DT!M$13-Scenario_DT!M$15)*Scenario_DT!M$16</f>
        <v>2669.1775028045554</v>
      </c>
      <c r="W452" s="28">
        <f>((Scenario_DT!N$11*(IF(Scenario_DT!N$18=1,1,1+$M452/Scenario_DT!$C$19)*(1+$N452)^MAX(0,Scenario_DT!N$18-3))*(Scenario_DT!N$12+$O452)-Scenario_DT!N$13)*(1-Scenario_DT!N$14)+Scenario_DT!N$13-Scenario_DT!N$15)*Scenario_DT!N$16</f>
        <v>2787.4300590493208</v>
      </c>
      <c r="X452" s="28">
        <f>((Scenario_DT!O$11*(IF(Scenario_DT!O$18=1,1,1+$M452/Scenario_DT!$C$19)*(1+$N452)^MAX(0,Scenario_DT!O$18-3))*(Scenario_DT!O$12+$O452)-Scenario_DT!O$13)*(1-Scenario_DT!O$14)+Scenario_DT!O$13-Scenario_DT!O$15)*Scenario_DT!O$16</f>
        <v>2910.9079046964225</v>
      </c>
      <c r="Y452" s="28">
        <f>((Scenario_DT!P$11*(IF(Scenario_DT!P$18=1,1,1+$M452/Scenario_DT!$C$19)*(1+$N452)^MAX(0,Scenario_DT!P$18-3))*(Scenario_DT!P$12+$O452)-Scenario_DT!P$13)*(1-Scenario_DT!P$14)+Scenario_DT!P$13-Scenario_DT!P$15)*Scenario_DT!P$16</f>
        <v>3039.8437802084222</v>
      </c>
      <c r="Z452" s="28">
        <f>((Scenario_DT!Q$11*(IF(Scenario_DT!Q$18=1,1,1+$M452/Scenario_DT!$C$19)*(1+$N452)^MAX(0,Scenario_DT!Q$18-3))*(Scenario_DT!Q$12+$O452)-Scenario_DT!Q$13)*(1-Scenario_DT!Q$14)+Scenario_DT!Q$13-Scenario_DT!Q$15)*Scenario_DT!Q$16</f>
        <v>3174.4808118873948</v>
      </c>
      <c r="AA452" s="28">
        <f>((Scenario_DT!R$11*(IF(Scenario_DT!R$18=1,1,1+$M452/Scenario_DT!$C$19)*(1+$N452)^MAX(0,Scenario_DT!R$18-3))*(Scenario_DT!R$12+$O452)-Scenario_DT!R$13)*(1-Scenario_DT!R$14)+Scenario_DT!R$13-Scenario_DT!R$15)*Scenario_DT!R$16</f>
        <v>3315.0729755595507</v>
      </c>
      <c r="AB452" s="17">
        <f>(Scenario_DT!$R$11*(1+$M452/Scenario_DT!$C$19)*(1+$N452)^7*(Scenario_DT!$R$12+$O452)*(1+MIN(DCF_FCFF!$C$26+$Q452,(DCF_FCFF!$C$25+$P452)-0.02))*(1-DCF_FCFF!$C$27)*(1-DCF_FCFF!$C$28)/((DCF_FCFF!$C$25+$P452)-MIN(DCF_FCFF!$C$26+$Q452,(DCF_FCFF!$C$25+$P452)-0.02)))*(1+(DCF_FCFF!$C$25+$P452))^(-(Inputs!$C$9+9))</f>
        <v>22279.354450944691</v>
      </c>
      <c r="AC452" s="17">
        <f>SUMPRODUCT(R452:AA452*(1+(DCF_FCFF!$C$25+$P452))^(-Scenario_DT!$I$17:$R$17))+AB452</f>
        <v>38330.516386009956</v>
      </c>
      <c r="AD452" s="68">
        <f>((AC452-DCF_FCFF!$C$48)*(1-DCF_FCFF!$C$50)+DCF_FCFF!$C$57+DCF_FCFF!$C$58)/DCF_FCFF!$C$60</f>
        <v>271.48132442942483</v>
      </c>
      <c r="AE452" s="6"/>
      <c r="AF452" s="6"/>
      <c r="AG452" s="6"/>
    </row>
    <row r="453" spans="1:33" x14ac:dyDescent="0.3">
      <c r="A453" s="6"/>
      <c r="B453" s="72">
        <v>422</v>
      </c>
      <c r="C453" s="73">
        <v>0.71035919202282904</v>
      </c>
      <c r="D453" s="73">
        <v>0.71358660990741696</v>
      </c>
      <c r="E453" s="73">
        <v>0.99280795727044502</v>
      </c>
      <c r="F453" s="73">
        <v>0.34153826220162298</v>
      </c>
      <c r="G453" s="73">
        <v>0.16285655124270301</v>
      </c>
      <c r="H453" s="15">
        <f t="shared" si="61"/>
        <v>0.55443436066319085</v>
      </c>
      <c r="I453" s="15">
        <f t="shared" si="62"/>
        <v>0.56389325575895588</v>
      </c>
      <c r="J453" s="15">
        <f t="shared" si="63"/>
        <v>2.4475257298429596</v>
      </c>
      <c r="K453" s="15">
        <f t="shared" si="64"/>
        <v>-0.40826855226201864</v>
      </c>
      <c r="L453" s="15">
        <f t="shared" si="65"/>
        <v>-0.98278533192889295</v>
      </c>
      <c r="M453" s="18">
        <f t="shared" si="66"/>
        <v>1.1088687213263818E-2</v>
      </c>
      <c r="N453" s="18">
        <f t="shared" si="67"/>
        <v>6.1245045187325355E-3</v>
      </c>
      <c r="O453" s="18">
        <f t="shared" si="68"/>
        <v>2.9370308758115516E-2</v>
      </c>
      <c r="P453" s="18">
        <f t="shared" si="69"/>
        <v>-2.4496113135721118E-3</v>
      </c>
      <c r="Q453" s="18">
        <f t="shared" si="70"/>
        <v>-3.9311413277155717E-3</v>
      </c>
      <c r="R453" s="28">
        <f>((Scenario_DT!I$11*(IF(Scenario_DT!I$18=1,1,1+$M453/Scenario_DT!$C$19)*(1+$N453)^MAX(0,Scenario_DT!I$18-3))*(Scenario_DT!I$12+$O453)-Scenario_DT!I$13)*(1-Scenario_DT!I$14)+Scenario_DT!I$13-Scenario_DT!I$15)*Scenario_DT!I$16</f>
        <v>952.3935121550752</v>
      </c>
      <c r="S453" s="28">
        <f>((Scenario_DT!J$11*(IF(Scenario_DT!J$18=1,1,1+$M453/Scenario_DT!$C$19)*(1+$N453)^MAX(0,Scenario_DT!J$18-3))*(Scenario_DT!J$12+$O453)-Scenario_DT!J$13)*(1-Scenario_DT!J$14)+Scenario_DT!J$13-Scenario_DT!J$15)*Scenario_DT!J$16</f>
        <v>1950.8308546853477</v>
      </c>
      <c r="T453" s="28">
        <f>((Scenario_DT!K$11*(IF(Scenario_DT!K$18=1,1,1+$M453/Scenario_DT!$C$19)*(1+$N453)^MAX(0,Scenario_DT!K$18-3))*(Scenario_DT!K$12+$O453)-Scenario_DT!K$13)*(1-Scenario_DT!K$14)+Scenario_DT!K$13-Scenario_DT!K$15)*Scenario_DT!K$16</f>
        <v>2220.1127301189113</v>
      </c>
      <c r="U453" s="28">
        <f>((Scenario_DT!L$11*(IF(Scenario_DT!L$18=1,1,1+$M453/Scenario_DT!$C$19)*(1+$N453)^MAX(0,Scenario_DT!L$18-3))*(Scenario_DT!L$12+$O453)-Scenario_DT!L$13)*(1-Scenario_DT!L$14)+Scenario_DT!L$13-Scenario_DT!L$15)*Scenario_DT!L$16</f>
        <v>2644.9820726915773</v>
      </c>
      <c r="V453" s="28">
        <f>((Scenario_DT!M$11*(IF(Scenario_DT!M$18=1,1,1+$M453/Scenario_DT!$C$19)*(1+$N453)^MAX(0,Scenario_DT!M$18-3))*(Scenario_DT!M$12+$O453)-Scenario_DT!M$13)*(1-Scenario_DT!M$14)+Scenario_DT!M$13-Scenario_DT!M$15)*Scenario_DT!M$16</f>
        <v>2793.6274292141857</v>
      </c>
      <c r="W453" s="28">
        <f>((Scenario_DT!N$11*(IF(Scenario_DT!N$18=1,1,1+$M453/Scenario_DT!$C$19)*(1+$N453)^MAX(0,Scenario_DT!N$18-3))*(Scenario_DT!N$12+$O453)-Scenario_DT!N$13)*(1-Scenario_DT!N$14)+Scenario_DT!N$13-Scenario_DT!N$15)*Scenario_DT!N$16</f>
        <v>2950.6279608099526</v>
      </c>
      <c r="X453" s="28">
        <f>((Scenario_DT!O$11*(IF(Scenario_DT!O$18=1,1,1+$M453/Scenario_DT!$C$19)*(1+$N453)^MAX(0,Scenario_DT!O$18-3))*(Scenario_DT!O$12+$O453)-Scenario_DT!O$13)*(1-Scenario_DT!O$14)+Scenario_DT!O$13-Scenario_DT!O$15)*Scenario_DT!O$16</f>
        <v>3116.4561428069942</v>
      </c>
      <c r="Y453" s="28">
        <f>((Scenario_DT!P$11*(IF(Scenario_DT!P$18=1,1,1+$M453/Scenario_DT!$C$19)*(1+$N453)^MAX(0,Scenario_DT!P$18-3))*(Scenario_DT!P$12+$O453)-Scenario_DT!P$13)*(1-Scenario_DT!P$14)+Scenario_DT!P$13-Scenario_DT!P$15)*Scenario_DT!P$16</f>
        <v>3291.6111810757534</v>
      </c>
      <c r="Z453" s="28">
        <f>((Scenario_DT!Q$11*(IF(Scenario_DT!Q$18=1,1,1+$M453/Scenario_DT!$C$19)*(1+$N453)^MAX(0,Scenario_DT!Q$18-3))*(Scenario_DT!Q$12+$O453)-Scenario_DT!Q$13)*(1-Scenario_DT!Q$14)+Scenario_DT!Q$13-Scenario_DT!Q$15)*Scenario_DT!Q$16</f>
        <v>3476.6205237368385</v>
      </c>
      <c r="AA453" s="28">
        <f>((Scenario_DT!R$11*(IF(Scenario_DT!R$18=1,1,1+$M453/Scenario_DT!$C$19)*(1+$N453)^MAX(0,Scenario_DT!R$18-3))*(Scenario_DT!R$12+$O453)-Scenario_DT!R$13)*(1-Scenario_DT!R$14)+Scenario_DT!R$13-Scenario_DT!R$15)*Scenario_DT!R$16</f>
        <v>3672.0414583236884</v>
      </c>
      <c r="AB453" s="17">
        <f>(Scenario_DT!$R$11*(1+$M453/Scenario_DT!$C$19)*(1+$N453)^7*(Scenario_DT!$R$12+$O453)*(1+MIN(DCF_FCFF!$C$26+$Q453,(DCF_FCFF!$C$25+$P453)-0.02))*(1-DCF_FCFF!$C$27)*(1-DCF_FCFF!$C$28)/((DCF_FCFF!$C$25+$P453)-MIN(DCF_FCFF!$C$26+$Q453,(DCF_FCFF!$C$25+$P453)-0.02)))*(1+(DCF_FCFF!$C$25+$P453))^(-(Inputs!$C$9+9))</f>
        <v>30597.907868015805</v>
      </c>
      <c r="AC453" s="17">
        <f>SUMPRODUCT(R453:AA453*(1+(DCF_FCFF!$C$25+$P453))^(-Scenario_DT!$I$17:$R$17))+AB453</f>
        <v>48420.021032653058</v>
      </c>
      <c r="AD453" s="68">
        <f>((AC453-DCF_FCFF!$C$48)*(1-DCF_FCFF!$C$50)+DCF_FCFF!$C$57+DCF_FCFF!$C$58)/DCF_FCFF!$C$60</f>
        <v>368.32814353895782</v>
      </c>
      <c r="AE453" s="6"/>
      <c r="AF453" s="6"/>
      <c r="AG453" s="6"/>
    </row>
    <row r="454" spans="1:33" x14ac:dyDescent="0.3">
      <c r="A454" s="6"/>
      <c r="B454" s="72">
        <v>423</v>
      </c>
      <c r="C454" s="73">
        <v>0.51916723491432204</v>
      </c>
      <c r="D454" s="73">
        <v>0.533249809831708</v>
      </c>
      <c r="E454" s="73">
        <v>0.177912488296145</v>
      </c>
      <c r="F454" s="73">
        <v>0.61310941899413995</v>
      </c>
      <c r="G454" s="73">
        <v>1.4124733476824001E-2</v>
      </c>
      <c r="H454" s="15">
        <f t="shared" si="61"/>
        <v>4.8063631973315694E-2</v>
      </c>
      <c r="I454" s="15">
        <f t="shared" si="62"/>
        <v>8.3441639579656071E-2</v>
      </c>
      <c r="J454" s="15">
        <f t="shared" si="63"/>
        <v>-0.92334973629204942</v>
      </c>
      <c r="K454" s="15">
        <f t="shared" si="64"/>
        <v>0.28743252244637063</v>
      </c>
      <c r="L454" s="15">
        <f t="shared" si="65"/>
        <v>-2.1938045032165356</v>
      </c>
      <c r="M454" s="18">
        <f t="shared" si="66"/>
        <v>9.6127263946631388E-4</v>
      </c>
      <c r="N454" s="18">
        <f t="shared" si="67"/>
        <v>7.7035516476852079E-4</v>
      </c>
      <c r="O454" s="18">
        <f t="shared" si="68"/>
        <v>-1.1080196835504593E-2</v>
      </c>
      <c r="P454" s="18">
        <f t="shared" si="69"/>
        <v>1.7245951346782239E-3</v>
      </c>
      <c r="Q454" s="18">
        <f t="shared" si="70"/>
        <v>-8.7752180128661435E-3</v>
      </c>
      <c r="R454" s="28">
        <f>((Scenario_DT!I$11*(IF(Scenario_DT!I$18=1,1,1+$M454/Scenario_DT!$C$19)*(1+$N454)^MAX(0,Scenario_DT!I$18-3))*(Scenario_DT!I$12+$O454)-Scenario_DT!I$13)*(1-Scenario_DT!I$14)+Scenario_DT!I$13-Scenario_DT!I$15)*Scenario_DT!I$16</f>
        <v>895.36265240762236</v>
      </c>
      <c r="S454" s="28">
        <f>((Scenario_DT!J$11*(IF(Scenario_DT!J$18=1,1,1+$M454/Scenario_DT!$C$19)*(1+$N454)^MAX(0,Scenario_DT!J$18-3))*(Scenario_DT!J$12+$O454)-Scenario_DT!J$13)*(1-Scenario_DT!J$14)+Scenario_DT!J$13-Scenario_DT!J$15)*Scenario_DT!J$16</f>
        <v>1799.7428487344682</v>
      </c>
      <c r="T454" s="28">
        <f>((Scenario_DT!K$11*(IF(Scenario_DT!K$18=1,1,1+$M454/Scenario_DT!$C$19)*(1+$N454)^MAX(0,Scenario_DT!K$18-3))*(Scenario_DT!K$12+$O454)-Scenario_DT!K$13)*(1-Scenario_DT!K$14)+Scenario_DT!K$13-Scenario_DT!K$15)*Scenario_DT!K$16</f>
        <v>2063.1917063080923</v>
      </c>
      <c r="U454" s="28">
        <f>((Scenario_DT!L$11*(IF(Scenario_DT!L$18=1,1,1+$M454/Scenario_DT!$C$19)*(1+$N454)^MAX(0,Scenario_DT!L$18-3))*(Scenario_DT!L$12+$O454)-Scenario_DT!L$13)*(1-Scenario_DT!L$14)+Scenario_DT!L$13-Scenario_DT!L$15)*Scenario_DT!L$16</f>
        <v>2464.0733570217981</v>
      </c>
      <c r="V454" s="28">
        <f>((Scenario_DT!M$11*(IF(Scenario_DT!M$18=1,1,1+$M454/Scenario_DT!$C$19)*(1+$N454)^MAX(0,Scenario_DT!M$18-3))*(Scenario_DT!M$12+$O454)-Scenario_DT!M$13)*(1-Scenario_DT!M$14)+Scenario_DT!M$13-Scenario_DT!M$15)*Scenario_DT!M$16</f>
        <v>2588.5623669348929</v>
      </c>
      <c r="W454" s="28">
        <f>((Scenario_DT!N$11*(IF(Scenario_DT!N$18=1,1,1+$M454/Scenario_DT!$C$19)*(1+$N454)^MAX(0,Scenario_DT!N$18-3))*(Scenario_DT!N$12+$O454)-Scenario_DT!N$13)*(1-Scenario_DT!N$14)+Scenario_DT!N$13-Scenario_DT!N$15)*Scenario_DT!N$16</f>
        <v>2719.3347330816264</v>
      </c>
      <c r="X454" s="28">
        <f>((Scenario_DT!O$11*(IF(Scenario_DT!O$18=1,1,1+$M454/Scenario_DT!$C$19)*(1+$N454)^MAX(0,Scenario_DT!O$18-3))*(Scenario_DT!O$12+$O454)-Scenario_DT!O$13)*(1-Scenario_DT!O$14)+Scenario_DT!O$13-Scenario_DT!O$15)*Scenario_DT!O$16</f>
        <v>2856.7100103977518</v>
      </c>
      <c r="Y454" s="28">
        <f>((Scenario_DT!P$11*(IF(Scenario_DT!P$18=1,1,1+$M454/Scenario_DT!$C$19)*(1+$N454)^MAX(0,Scenario_DT!P$18-3))*(Scenario_DT!P$12+$O454)-Scenario_DT!P$13)*(1-Scenario_DT!P$14)+Scenario_DT!P$13-Scenario_DT!P$15)*Scenario_DT!P$16</f>
        <v>3001.024025520454</v>
      </c>
      <c r="Z454" s="28">
        <f>((Scenario_DT!Q$11*(IF(Scenario_DT!Q$18=1,1,1+$M454/Scenario_DT!$C$19)*(1+$N454)^MAX(0,Scenario_DT!Q$18-3))*(Scenario_DT!Q$12+$O454)-Scenario_DT!Q$13)*(1-Scenario_DT!Q$14)+Scenario_DT!Q$13-Scenario_DT!Q$15)*Scenario_DT!Q$16</f>
        <v>3152.6297053448084</v>
      </c>
      <c r="AA454" s="28">
        <f>((Scenario_DT!R$11*(IF(Scenario_DT!R$18=1,1,1+$M454/Scenario_DT!$C$19)*(1+$N454)^MAX(0,Scenario_DT!R$18-3))*(Scenario_DT!R$12+$O454)-Scenario_DT!R$13)*(1-Scenario_DT!R$14)+Scenario_DT!R$13-Scenario_DT!R$15)*Scenario_DT!R$16</f>
        <v>3311.897947761579</v>
      </c>
      <c r="AB454" s="17">
        <f>(Scenario_DT!$R$11*(1+$M454/Scenario_DT!$C$19)*(1+$N454)^7*(Scenario_DT!$R$12+$O454)*(1+MIN(DCF_FCFF!$C$26+$Q454,(DCF_FCFF!$C$25+$P454)-0.02))*(1-DCF_FCFF!$C$27)*(1-DCF_FCFF!$C$28)/((DCF_FCFF!$C$25+$P454)-MIN(DCF_FCFF!$C$26+$Q454,(DCF_FCFF!$C$25+$P454)-0.02)))*(1+(DCF_FCFF!$C$25+$P454))^(-(Inputs!$C$9+9))</f>
        <v>22585.399811810392</v>
      </c>
      <c r="AC454" s="17">
        <f>SUMPRODUCT(R454:AA454*(1+(DCF_FCFF!$C$25+$P454))^(-Scenario_DT!$I$17:$R$17))+AB454</f>
        <v>38699.456435676148</v>
      </c>
      <c r="AD454" s="68">
        <f>((AC454-DCF_FCFF!$C$48)*(1-DCF_FCFF!$C$50)+DCF_FCFF!$C$57+DCF_FCFF!$C$58)/DCF_FCFF!$C$60</f>
        <v>275.02269454655658</v>
      </c>
      <c r="AE454" s="6"/>
      <c r="AF454" s="6"/>
      <c r="AG454" s="6"/>
    </row>
    <row r="455" spans="1:33" x14ac:dyDescent="0.3">
      <c r="A455" s="6"/>
      <c r="B455" s="72">
        <v>424</v>
      </c>
      <c r="C455" s="73">
        <v>0.927668402454222</v>
      </c>
      <c r="D455" s="73">
        <v>0.26457427782126203</v>
      </c>
      <c r="E455" s="73">
        <v>3.9560208390191802E-2</v>
      </c>
      <c r="F455" s="73">
        <v>0.108249441474857</v>
      </c>
      <c r="G455" s="73">
        <v>0.24024894827964199</v>
      </c>
      <c r="H455" s="15">
        <f t="shared" si="61"/>
        <v>1.458643715031759</v>
      </c>
      <c r="I455" s="15">
        <f t="shared" si="62"/>
        <v>-0.62930628783222753</v>
      </c>
      <c r="J455" s="15">
        <f t="shared" si="63"/>
        <v>-1.7558125733634913</v>
      </c>
      <c r="K455" s="15">
        <f t="shared" si="64"/>
        <v>-1.2358915377513842</v>
      </c>
      <c r="L455" s="15">
        <f t="shared" si="65"/>
        <v>-0.70550198583850443</v>
      </c>
      <c r="M455" s="18">
        <f t="shared" si="66"/>
        <v>2.9172874300635181E-2</v>
      </c>
      <c r="N455" s="18">
        <f t="shared" si="67"/>
        <v>1.4746130039351079E-3</v>
      </c>
      <c r="O455" s="18">
        <f t="shared" si="68"/>
        <v>-2.1069750880361896E-2</v>
      </c>
      <c r="P455" s="18">
        <f t="shared" si="69"/>
        <v>-7.4153492265083051E-3</v>
      </c>
      <c r="Q455" s="18">
        <f t="shared" si="70"/>
        <v>-2.8220079433540178E-3</v>
      </c>
      <c r="R455" s="28">
        <f>((Scenario_DT!I$11*(IF(Scenario_DT!I$18=1,1,1+$M455/Scenario_DT!$C$19)*(1+$N455)^MAX(0,Scenario_DT!I$18-3))*(Scenario_DT!I$12+$O455)-Scenario_DT!I$13)*(1-Scenario_DT!I$14)+Scenario_DT!I$13-Scenario_DT!I$15)*Scenario_DT!I$16</f>
        <v>881.27845624465226</v>
      </c>
      <c r="S455" s="28">
        <f>((Scenario_DT!J$11*(IF(Scenario_DT!J$18=1,1,1+$M455/Scenario_DT!$C$19)*(1+$N455)^MAX(0,Scenario_DT!J$18-3))*(Scenario_DT!J$12+$O455)-Scenario_DT!J$13)*(1-Scenario_DT!J$14)+Scenario_DT!J$13-Scenario_DT!J$15)*Scenario_DT!J$16</f>
        <v>1834.3049810620842</v>
      </c>
      <c r="T455" s="28">
        <f>((Scenario_DT!K$11*(IF(Scenario_DT!K$18=1,1,1+$M455/Scenario_DT!$C$19)*(1+$N455)^MAX(0,Scenario_DT!K$18-3))*(Scenario_DT!K$12+$O455)-Scenario_DT!K$13)*(1-Scenario_DT!K$14)+Scenario_DT!K$13-Scenario_DT!K$15)*Scenario_DT!K$16</f>
        <v>2099.968646747368</v>
      </c>
      <c r="U455" s="28">
        <f>((Scenario_DT!L$11*(IF(Scenario_DT!L$18=1,1,1+$M455/Scenario_DT!$C$19)*(1+$N455)^MAX(0,Scenario_DT!L$18-3))*(Scenario_DT!L$12+$O455)-Scenario_DT!L$13)*(1-Scenario_DT!L$14)+Scenario_DT!L$13-Scenario_DT!L$15)*Scenario_DT!L$16</f>
        <v>2504.9257318303708</v>
      </c>
      <c r="V455" s="28">
        <f>((Scenario_DT!M$11*(IF(Scenario_DT!M$18=1,1,1+$M455/Scenario_DT!$C$19)*(1+$N455)^MAX(0,Scenario_DT!M$18-3))*(Scenario_DT!M$12+$O455)-Scenario_DT!M$13)*(1-Scenario_DT!M$14)+Scenario_DT!M$13-Scenario_DT!M$15)*Scenario_DT!M$16</f>
        <v>2633.3552026054531</v>
      </c>
      <c r="W455" s="28">
        <f>((Scenario_DT!N$11*(IF(Scenario_DT!N$18=1,1,1+$M455/Scenario_DT!$C$19)*(1+$N455)^MAX(0,Scenario_DT!N$18-3))*(Scenario_DT!N$12+$O455)-Scenario_DT!N$13)*(1-Scenario_DT!N$14)+Scenario_DT!N$13-Scenario_DT!N$15)*Scenario_DT!N$16</f>
        <v>2768.364367224206</v>
      </c>
      <c r="X455" s="28">
        <f>((Scenario_DT!O$11*(IF(Scenario_DT!O$18=1,1,1+$M455/Scenario_DT!$C$19)*(1+$N455)^MAX(0,Scenario_DT!O$18-3))*(Scenario_DT!O$12+$O455)-Scenario_DT!O$13)*(1-Scenario_DT!O$14)+Scenario_DT!O$13-Scenario_DT!O$15)*Scenario_DT!O$16</f>
        <v>2910.2927924020873</v>
      </c>
      <c r="Y455" s="28">
        <f>((Scenario_DT!P$11*(IF(Scenario_DT!P$18=1,1,1+$M455/Scenario_DT!$C$19)*(1+$N455)^MAX(0,Scenario_DT!P$18-3))*(Scenario_DT!P$12+$O455)-Scenario_DT!P$13)*(1-Scenario_DT!P$14)+Scenario_DT!P$13-Scenario_DT!P$15)*Scenario_DT!P$16</f>
        <v>3059.4975887643</v>
      </c>
      <c r="Z455" s="28">
        <f>((Scenario_DT!Q$11*(IF(Scenario_DT!Q$18=1,1,1+$M455/Scenario_DT!$C$19)*(1+$N455)^MAX(0,Scenario_DT!Q$18-3))*(Scenario_DT!Q$12+$O455)-Scenario_DT!Q$13)*(1-Scenario_DT!Q$14)+Scenario_DT!Q$13-Scenario_DT!Q$15)*Scenario_DT!Q$16</f>
        <v>3216.3543172088321</v>
      </c>
      <c r="AA455" s="28">
        <f>((Scenario_DT!R$11*(IF(Scenario_DT!R$18=1,1,1+$M455/Scenario_DT!$C$19)*(1+$N455)^MAX(0,Scenario_DT!R$18-3))*(Scenario_DT!R$12+$O455)-Scenario_DT!R$13)*(1-Scenario_DT!R$14)+Scenario_DT!R$13-Scenario_DT!R$15)*Scenario_DT!R$16</f>
        <v>3381.257942082847</v>
      </c>
      <c r="AB455" s="17">
        <f>(Scenario_DT!$R$11*(1+$M455/Scenario_DT!$C$19)*(1+$N455)^7*(Scenario_DT!$R$12+$O455)*(1+MIN(DCF_FCFF!$C$26+$Q455,(DCF_FCFF!$C$25+$P455)-0.02))*(1-DCF_FCFF!$C$27)*(1-DCF_FCFF!$C$28)/((DCF_FCFF!$C$25+$P455)-MIN(DCF_FCFF!$C$26+$Q455,(DCF_FCFF!$C$25+$P455)-0.02)))*(1+(DCF_FCFF!$C$25+$P455))^(-(Inputs!$C$9+9))</f>
        <v>33382.286814275612</v>
      </c>
      <c r="AC455" s="17">
        <f>SUMPRODUCT(R455:AA455*(1+(DCF_FCFF!$C$25+$P455))^(-Scenario_DT!$I$17:$R$17))+AB455</f>
        <v>50417.959566995931</v>
      </c>
      <c r="AD455" s="68">
        <f>((AC455-DCF_FCFF!$C$48)*(1-DCF_FCFF!$C$50)+DCF_FCFF!$C$57+DCF_FCFF!$C$58)/DCF_FCFF!$C$60</f>
        <v>387.50589295323135</v>
      </c>
      <c r="AE455" s="6"/>
      <c r="AF455" s="6"/>
      <c r="AG455" s="6"/>
    </row>
    <row r="456" spans="1:33" x14ac:dyDescent="0.3">
      <c r="A456" s="6"/>
      <c r="B456" s="72">
        <v>425</v>
      </c>
      <c r="C456" s="73">
        <v>0.273906168606045</v>
      </c>
      <c r="D456" s="73">
        <v>3.2809999497728698E-2</v>
      </c>
      <c r="E456" s="73">
        <v>0.27935481219372899</v>
      </c>
      <c r="F456" s="73">
        <v>0.19294173649348201</v>
      </c>
      <c r="G456" s="73">
        <v>0.37862092743451897</v>
      </c>
      <c r="H456" s="15">
        <f t="shared" si="61"/>
        <v>-0.60104151260325467</v>
      </c>
      <c r="I456" s="15">
        <f t="shared" si="62"/>
        <v>-1.8410106434022486</v>
      </c>
      <c r="J456" s="15">
        <f t="shared" si="63"/>
        <v>-0.58475922584395701</v>
      </c>
      <c r="K456" s="15">
        <f t="shared" si="64"/>
        <v>-0.86710684040898456</v>
      </c>
      <c r="L456" s="15">
        <f t="shared" si="65"/>
        <v>-0.30910473838197705</v>
      </c>
      <c r="M456" s="18">
        <f t="shared" si="66"/>
        <v>-1.2020830252065094E-2</v>
      </c>
      <c r="N456" s="18">
        <f t="shared" si="67"/>
        <v>-1.5159061937004073E-2</v>
      </c>
      <c r="O456" s="18">
        <f t="shared" si="68"/>
        <v>-7.0171107101274846E-3</v>
      </c>
      <c r="P456" s="18">
        <f t="shared" si="69"/>
        <v>-5.2026410424539076E-3</v>
      </c>
      <c r="Q456" s="18">
        <f t="shared" si="70"/>
        <v>-1.2364189535279083E-3</v>
      </c>
      <c r="R456" s="28">
        <f>((Scenario_DT!I$11*(IF(Scenario_DT!I$18=1,1,1+$M456/Scenario_DT!$C$19)*(1+$N456)^MAX(0,Scenario_DT!I$18-3))*(Scenario_DT!I$12+$O456)-Scenario_DT!I$13)*(1-Scenario_DT!I$14)+Scenario_DT!I$13-Scenario_DT!I$15)*Scenario_DT!I$16</f>
        <v>901.09116658952553</v>
      </c>
      <c r="S456" s="28">
        <f>((Scenario_DT!J$11*(IF(Scenario_DT!J$18=1,1,1+$M456/Scenario_DT!$C$19)*(1+$N456)^MAX(0,Scenario_DT!J$18-3))*(Scenario_DT!J$12+$O456)-Scenario_DT!J$13)*(1-Scenario_DT!J$14)+Scenario_DT!J$13-Scenario_DT!J$15)*Scenario_DT!J$16</f>
        <v>1781.5751686511558</v>
      </c>
      <c r="T456" s="28">
        <f>((Scenario_DT!K$11*(IF(Scenario_DT!K$18=1,1,1+$M456/Scenario_DT!$C$19)*(1+$N456)^MAX(0,Scenario_DT!K$18-3))*(Scenario_DT!K$12+$O456)-Scenario_DT!K$13)*(1-Scenario_DT!K$14)+Scenario_DT!K$13-Scenario_DT!K$15)*Scenario_DT!K$16</f>
        <v>2043.9226214810142</v>
      </c>
      <c r="U456" s="28">
        <f>((Scenario_DT!L$11*(IF(Scenario_DT!L$18=1,1,1+$M456/Scenario_DT!$C$19)*(1+$N456)^MAX(0,Scenario_DT!L$18-3))*(Scenario_DT!L$12+$O456)-Scenario_DT!L$13)*(1-Scenario_DT!L$14)+Scenario_DT!L$13-Scenario_DT!L$15)*Scenario_DT!L$16</f>
        <v>2404.4343935987217</v>
      </c>
      <c r="V456" s="28">
        <f>((Scenario_DT!M$11*(IF(Scenario_DT!M$18=1,1,1+$M456/Scenario_DT!$C$19)*(1+$N456)^MAX(0,Scenario_DT!M$18-3))*(Scenario_DT!M$12+$O456)-Scenario_DT!M$13)*(1-Scenario_DT!M$14)+Scenario_DT!M$13-Scenario_DT!M$15)*Scenario_DT!M$16</f>
        <v>2485.3946673889727</v>
      </c>
      <c r="W456" s="28">
        <f>((Scenario_DT!N$11*(IF(Scenario_DT!N$18=1,1,1+$M456/Scenario_DT!$C$19)*(1+$N456)^MAX(0,Scenario_DT!N$18-3))*(Scenario_DT!N$12+$O456)-Scenario_DT!N$13)*(1-Scenario_DT!N$14)+Scenario_DT!N$13-Scenario_DT!N$15)*Scenario_DT!N$16</f>
        <v>2569.0463400013891</v>
      </c>
      <c r="X456" s="28">
        <f>((Scenario_DT!O$11*(IF(Scenario_DT!O$18=1,1,1+$M456/Scenario_DT!$C$19)*(1+$N456)^MAX(0,Scenario_DT!O$18-3))*(Scenario_DT!O$12+$O456)-Scenario_DT!O$13)*(1-Scenario_DT!O$14)+Scenario_DT!O$13-Scenario_DT!O$15)*Scenario_DT!O$16</f>
        <v>2655.4794179317287</v>
      </c>
      <c r="Y456" s="28">
        <f>((Scenario_DT!P$11*(IF(Scenario_DT!P$18=1,1,1+$M456/Scenario_DT!$C$19)*(1+$N456)^MAX(0,Scenario_DT!P$18-3))*(Scenario_DT!P$12+$O456)-Scenario_DT!P$13)*(1-Scenario_DT!P$14)+Scenario_DT!P$13-Scenario_DT!P$15)*Scenario_DT!P$16</f>
        <v>2744.7869128411262</v>
      </c>
      <c r="Z456" s="28">
        <f>((Scenario_DT!Q$11*(IF(Scenario_DT!Q$18=1,1,1+$M456/Scenario_DT!$C$19)*(1+$N456)^MAX(0,Scenario_DT!Q$18-3))*(Scenario_DT!Q$12+$O456)-Scenario_DT!Q$13)*(1-Scenario_DT!Q$14)+Scenario_DT!Q$13-Scenario_DT!Q$15)*Scenario_DT!Q$16</f>
        <v>2837.0649414048357</v>
      </c>
      <c r="AA456" s="28">
        <f>((Scenario_DT!R$11*(IF(Scenario_DT!R$18=1,1,1+$M456/Scenario_DT!$C$19)*(1+$N456)^MAX(0,Scenario_DT!R$18-3))*(Scenario_DT!R$12+$O456)-Scenario_DT!R$13)*(1-Scenario_DT!R$14)+Scenario_DT!R$13-Scenario_DT!R$15)*Scenario_DT!R$16</f>
        <v>2932.4128284548592</v>
      </c>
      <c r="AB456" s="17">
        <f>(Scenario_DT!$R$11*(1+$M456/Scenario_DT!$C$19)*(1+$N456)^7*(Scenario_DT!$R$12+$O456)*(1+MIN(DCF_FCFF!$C$26+$Q456,(DCF_FCFF!$C$25+$P456)-0.02))*(1-DCF_FCFF!$C$27)*(1-DCF_FCFF!$C$28)/((DCF_FCFF!$C$25+$P456)-MIN(DCF_FCFF!$C$26+$Q456,(DCF_FCFF!$C$25+$P456)-0.02)))*(1+(DCF_FCFF!$C$25+$P456))^(-(Inputs!$C$9+9))</f>
        <v>28091.479773017712</v>
      </c>
      <c r="AC456" s="17">
        <f>SUMPRODUCT(R456:AA456*(1+(DCF_FCFF!$C$25+$P456))^(-Scenario_DT!$I$17:$R$17))+AB456</f>
        <v>43822.661305770584</v>
      </c>
      <c r="AD456" s="68">
        <f>((AC456-DCF_FCFF!$C$48)*(1-DCF_FCFF!$C$50)+DCF_FCFF!$C$57+DCF_FCFF!$C$58)/DCF_FCFF!$C$60</f>
        <v>324.19915193390659</v>
      </c>
      <c r="AE456" s="6"/>
      <c r="AF456" s="6"/>
      <c r="AG456" s="6"/>
    </row>
    <row r="457" spans="1:33" x14ac:dyDescent="0.3">
      <c r="A457" s="6"/>
      <c r="B457" s="72">
        <v>426</v>
      </c>
      <c r="C457" s="73">
        <v>0.38516773735596899</v>
      </c>
      <c r="D457" s="73">
        <v>0.33900774060287903</v>
      </c>
      <c r="E457" s="73">
        <v>0.32792388353070401</v>
      </c>
      <c r="F457" s="73">
        <v>8.9731277741251197E-2</v>
      </c>
      <c r="G457" s="73">
        <v>2.5204947126162201E-2</v>
      </c>
      <c r="H457" s="15">
        <f t="shared" si="61"/>
        <v>-0.29193610867551312</v>
      </c>
      <c r="I457" s="15">
        <f t="shared" si="62"/>
        <v>-0.41517270148101748</v>
      </c>
      <c r="J457" s="15">
        <f t="shared" si="63"/>
        <v>-0.44565321141581632</v>
      </c>
      <c r="K457" s="15">
        <f t="shared" si="64"/>
        <v>-1.3424116620913757</v>
      </c>
      <c r="L457" s="15">
        <f t="shared" si="65"/>
        <v>-1.9564693106771822</v>
      </c>
      <c r="M457" s="18">
        <f t="shared" si="66"/>
        <v>-5.8387221735102628E-3</v>
      </c>
      <c r="N457" s="18">
        <f t="shared" si="67"/>
        <v>-4.0441452862250479E-3</v>
      </c>
      <c r="O457" s="18">
        <f t="shared" si="68"/>
        <v>-5.3478385369897961E-3</v>
      </c>
      <c r="P457" s="18">
        <f t="shared" si="69"/>
        <v>-8.0544699725482553E-3</v>
      </c>
      <c r="Q457" s="18">
        <f t="shared" si="70"/>
        <v>-7.8258772427087283E-3</v>
      </c>
      <c r="R457" s="28">
        <f>((Scenario_DT!I$11*(IF(Scenario_DT!I$18=1,1,1+$M457/Scenario_DT!$C$19)*(1+$N457)^MAX(0,Scenario_DT!I$18-3))*(Scenario_DT!I$12+$O457)-Scenario_DT!I$13)*(1-Scenario_DT!I$14)+Scenario_DT!I$13-Scenario_DT!I$15)*Scenario_DT!I$16</f>
        <v>903.44466071251497</v>
      </c>
      <c r="S457" s="28">
        <f>((Scenario_DT!J$11*(IF(Scenario_DT!J$18=1,1,1+$M457/Scenario_DT!$C$19)*(1+$N457)^MAX(0,Scenario_DT!J$18-3))*(Scenario_DT!J$12+$O457)-Scenario_DT!J$13)*(1-Scenario_DT!J$14)+Scenario_DT!J$13-Scenario_DT!J$15)*Scenario_DT!J$16</f>
        <v>1801.4012299771516</v>
      </c>
      <c r="T457" s="28">
        <f>((Scenario_DT!K$11*(IF(Scenario_DT!K$18=1,1,1+$M457/Scenario_DT!$C$19)*(1+$N457)^MAX(0,Scenario_DT!K$18-3))*(Scenario_DT!K$12+$O457)-Scenario_DT!K$13)*(1-Scenario_DT!K$14)+Scenario_DT!K$13-Scenario_DT!K$15)*Scenario_DT!K$16</f>
        <v>2064.6791197566899</v>
      </c>
      <c r="U457" s="28">
        <f>((Scenario_DT!L$11*(IF(Scenario_DT!L$18=1,1,1+$M457/Scenario_DT!$C$19)*(1+$N457)^MAX(0,Scenario_DT!L$18-3))*(Scenario_DT!L$12+$O457)-Scenario_DT!L$13)*(1-Scenario_DT!L$14)+Scenario_DT!L$13-Scenario_DT!L$15)*Scenario_DT!L$16</f>
        <v>2453.7109395682701</v>
      </c>
      <c r="V457" s="28">
        <f>((Scenario_DT!M$11*(IF(Scenario_DT!M$18=1,1,1+$M457/Scenario_DT!$C$19)*(1+$N457)^MAX(0,Scenario_DT!M$18-3))*(Scenario_DT!M$12+$O457)-Scenario_DT!M$13)*(1-Scenario_DT!M$14)+Scenario_DT!M$13-Scenario_DT!M$15)*Scenario_DT!M$16</f>
        <v>2565.1840783631901</v>
      </c>
      <c r="W457" s="28">
        <f>((Scenario_DT!N$11*(IF(Scenario_DT!N$18=1,1,1+$M457/Scenario_DT!$C$19)*(1+$N457)^MAX(0,Scenario_DT!N$18-3))*(Scenario_DT!N$12+$O457)-Scenario_DT!N$13)*(1-Scenario_DT!N$14)+Scenario_DT!N$13-Scenario_DT!N$15)*Scenario_DT!N$16</f>
        <v>2681.7078174930116</v>
      </c>
      <c r="X457" s="28">
        <f>((Scenario_DT!O$11*(IF(Scenario_DT!O$18=1,1,1+$M457/Scenario_DT!$C$19)*(1+$N457)^MAX(0,Scenario_DT!O$18-3))*(Scenario_DT!O$12+$O457)-Scenario_DT!O$13)*(1-Scenario_DT!O$14)+Scenario_DT!O$13-Scenario_DT!O$15)*Scenario_DT!O$16</f>
        <v>2803.5129317587175</v>
      </c>
      <c r="Y457" s="28">
        <f>((Scenario_DT!P$11*(IF(Scenario_DT!P$18=1,1,1+$M457/Scenario_DT!$C$19)*(1+$N457)^MAX(0,Scenario_DT!P$18-3))*(Scenario_DT!P$12+$O457)-Scenario_DT!P$13)*(1-Scenario_DT!P$14)+Scenario_DT!P$13-Scenario_DT!P$15)*Scenario_DT!P$16</f>
        <v>2930.8407606060141</v>
      </c>
      <c r="Z457" s="28">
        <f>((Scenario_DT!Q$11*(IF(Scenario_DT!Q$18=1,1,1+$M457/Scenario_DT!$C$19)*(1+$N457)^MAX(0,Scenario_DT!Q$18-3))*(Scenario_DT!Q$12+$O457)-Scenario_DT!Q$13)*(1-Scenario_DT!Q$14)+Scenario_DT!Q$13-Scenario_DT!Q$15)*Scenario_DT!Q$16</f>
        <v>3063.9436919804125</v>
      </c>
      <c r="AA457" s="28">
        <f>((Scenario_DT!R$11*(IF(Scenario_DT!R$18=1,1,1+$M457/Scenario_DT!$C$19)*(1+$N457)^MAX(0,Scenario_DT!R$18-3))*(Scenario_DT!R$12+$O457)-Scenario_DT!R$13)*(1-Scenario_DT!R$14)+Scenario_DT!R$13-Scenario_DT!R$15)*Scenario_DT!R$16</f>
        <v>3203.0856683455563</v>
      </c>
      <c r="AB457" s="17">
        <f>(Scenario_DT!$R$11*(1+$M457/Scenario_DT!$C$19)*(1+$N457)^7*(Scenario_DT!$R$12+$O457)*(1+MIN(DCF_FCFF!$C$26+$Q457,(DCF_FCFF!$C$25+$P457)-0.02))*(1-DCF_FCFF!$C$27)*(1-DCF_FCFF!$C$28)/((DCF_FCFF!$C$25+$P457)-MIN(DCF_FCFF!$C$26+$Q457,(DCF_FCFF!$C$25+$P457)-0.02)))*(1+(DCF_FCFF!$C$25+$P457))^(-(Inputs!$C$9+9))</f>
        <v>28907.082875447653</v>
      </c>
      <c r="AC457" s="17">
        <f>SUMPRODUCT(R457:AA457*(1+(DCF_FCFF!$C$25+$P457))^(-Scenario_DT!$I$17:$R$17))+AB457</f>
        <v>45492.772787336595</v>
      </c>
      <c r="AD457" s="68">
        <f>((AC457-DCF_FCFF!$C$48)*(1-DCF_FCFF!$C$50)+DCF_FCFF!$C$57+DCF_FCFF!$C$58)/DCF_FCFF!$C$60</f>
        <v>340.23016536941674</v>
      </c>
      <c r="AE457" s="6"/>
      <c r="AF457" s="6"/>
      <c r="AG457" s="6"/>
    </row>
    <row r="458" spans="1:33" x14ac:dyDescent="0.3">
      <c r="A458" s="6"/>
      <c r="B458" s="72">
        <v>427</v>
      </c>
      <c r="C458" s="73">
        <v>0.202114300156467</v>
      </c>
      <c r="D458" s="73">
        <v>0.75664942741661501</v>
      </c>
      <c r="E458" s="73">
        <v>0.99080976555112199</v>
      </c>
      <c r="F458" s="73">
        <v>0.92852617505732904</v>
      </c>
      <c r="G458" s="73">
        <v>0.50421935553776898</v>
      </c>
      <c r="H458" s="15">
        <f t="shared" si="61"/>
        <v>-0.83409296289422896</v>
      </c>
      <c r="I458" s="15">
        <f t="shared" si="62"/>
        <v>0.69556523350082045</v>
      </c>
      <c r="J458" s="15">
        <f t="shared" si="63"/>
        <v>2.3578631219951358</v>
      </c>
      <c r="K458" s="15">
        <f t="shared" si="64"/>
        <v>1.4649020263725461</v>
      </c>
      <c r="L458" s="15">
        <f t="shared" si="65"/>
        <v>1.0576553076714011E-2</v>
      </c>
      <c r="M458" s="18">
        <f t="shared" si="66"/>
        <v>-1.6681859257884579E-2</v>
      </c>
      <c r="N458" s="18">
        <f t="shared" si="67"/>
        <v>1.4826454460308072E-3</v>
      </c>
      <c r="O458" s="18">
        <f t="shared" si="68"/>
        <v>2.8294357463941631E-2</v>
      </c>
      <c r="P458" s="18">
        <f t="shared" si="69"/>
        <v>8.7894121582352772E-3</v>
      </c>
      <c r="Q458" s="18">
        <f t="shared" si="70"/>
        <v>4.2306212306856047E-5</v>
      </c>
      <c r="R458" s="28">
        <f>((Scenario_DT!I$11*(IF(Scenario_DT!I$18=1,1,1+$M458/Scenario_DT!$C$19)*(1+$N458)^MAX(0,Scenario_DT!I$18-3))*(Scenario_DT!I$12+$O458)-Scenario_DT!I$13)*(1-Scenario_DT!I$14)+Scenario_DT!I$13-Scenario_DT!I$15)*Scenario_DT!I$16</f>
        <v>950.87653662034154</v>
      </c>
      <c r="S458" s="28">
        <f>((Scenario_DT!J$11*(IF(Scenario_DT!J$18=1,1,1+$M458/Scenario_DT!$C$19)*(1+$N458)^MAX(0,Scenario_DT!J$18-3))*(Scenario_DT!J$12+$O458)-Scenario_DT!J$13)*(1-Scenario_DT!J$14)+Scenario_DT!J$13-Scenario_DT!J$15)*Scenario_DT!J$16</f>
        <v>1878.3065170012424</v>
      </c>
      <c r="T458" s="28">
        <f>((Scenario_DT!K$11*(IF(Scenario_DT!K$18=1,1,1+$M458/Scenario_DT!$C$19)*(1+$N458)^MAX(0,Scenario_DT!K$18-3))*(Scenario_DT!K$12+$O458)-Scenario_DT!K$13)*(1-Scenario_DT!K$14)+Scenario_DT!K$13-Scenario_DT!K$15)*Scenario_DT!K$16</f>
        <v>2144.0095047898035</v>
      </c>
      <c r="U458" s="28">
        <f>((Scenario_DT!L$11*(IF(Scenario_DT!L$18=1,1,1+$M458/Scenario_DT!$C$19)*(1+$N458)^MAX(0,Scenario_DT!L$18-3))*(Scenario_DT!L$12+$O458)-Scenario_DT!L$13)*(1-Scenario_DT!L$14)+Scenario_DT!L$13-Scenario_DT!L$15)*Scenario_DT!L$16</f>
        <v>2551.7768603724412</v>
      </c>
      <c r="V458" s="28">
        <f>((Scenario_DT!M$11*(IF(Scenario_DT!M$18=1,1,1+$M458/Scenario_DT!$C$19)*(1+$N458)^MAX(0,Scenario_DT!M$18-3))*(Scenario_DT!M$12+$O458)-Scenario_DT!M$13)*(1-Scenario_DT!M$14)+Scenario_DT!M$13-Scenario_DT!M$15)*Scenario_DT!M$16</f>
        <v>2682.6430933958759</v>
      </c>
      <c r="W458" s="28">
        <f>((Scenario_DT!N$11*(IF(Scenario_DT!N$18=1,1,1+$M458/Scenario_DT!$C$19)*(1+$N458)^MAX(0,Scenario_DT!N$18-3))*(Scenario_DT!N$12+$O458)-Scenario_DT!N$13)*(1-Scenario_DT!N$14)+Scenario_DT!N$13-Scenario_DT!N$15)*Scenario_DT!N$16</f>
        <v>2820.2157482557486</v>
      </c>
      <c r="X458" s="28">
        <f>((Scenario_DT!O$11*(IF(Scenario_DT!O$18=1,1,1+$M458/Scenario_DT!$C$19)*(1+$N458)^MAX(0,Scenario_DT!O$18-3))*(Scenario_DT!O$12+$O458)-Scenario_DT!O$13)*(1-Scenario_DT!O$14)+Scenario_DT!O$13-Scenario_DT!O$15)*Scenario_DT!O$16</f>
        <v>2964.8409818712103</v>
      </c>
      <c r="Y458" s="28">
        <f>((Scenario_DT!P$11*(IF(Scenario_DT!P$18=1,1,1+$M458/Scenario_DT!$C$19)*(1+$N458)^MAX(0,Scenario_DT!P$18-3))*(Scenario_DT!P$12+$O458)-Scenario_DT!P$13)*(1-Scenario_DT!P$14)+Scenario_DT!P$13-Scenario_DT!P$15)*Scenario_DT!P$16</f>
        <v>3116.8828377541636</v>
      </c>
      <c r="Z458" s="28">
        <f>((Scenario_DT!Q$11*(IF(Scenario_DT!Q$18=1,1,1+$M458/Scenario_DT!$C$19)*(1+$N458)^MAX(0,Scenario_DT!Q$18-3))*(Scenario_DT!Q$12+$O458)-Scenario_DT!Q$13)*(1-Scenario_DT!Q$14)+Scenario_DT!Q$13-Scenario_DT!Q$15)*Scenario_DT!Q$16</f>
        <v>3276.7241701901194</v>
      </c>
      <c r="AA458" s="28">
        <f>((Scenario_DT!R$11*(IF(Scenario_DT!R$18=1,1,1+$M458/Scenario_DT!$C$19)*(1+$N458)^MAX(0,Scenario_DT!R$18-3))*(Scenario_DT!R$12+$O458)-Scenario_DT!R$13)*(1-Scenario_DT!R$14)+Scenario_DT!R$13-Scenario_DT!R$15)*Scenario_DT!R$16</f>
        <v>3444.7676161587642</v>
      </c>
      <c r="AB458" s="17">
        <f>(Scenario_DT!$R$11*(1+$M458/Scenario_DT!$C$19)*(1+$N458)^7*(Scenario_DT!$R$12+$O458)*(1+MIN(DCF_FCFF!$C$26+$Q458,(DCF_FCFF!$C$25+$P458)-0.02))*(1-DCF_FCFF!$C$27)*(1-DCF_FCFF!$C$28)/((DCF_FCFF!$C$25+$P458)-MIN(DCF_FCFF!$C$26+$Q458,(DCF_FCFF!$C$25+$P458)-0.02)))*(1+(DCF_FCFF!$C$25+$P458))^(-(Inputs!$C$9+9))</f>
        <v>22941.780421956933</v>
      </c>
      <c r="AC458" s="17">
        <f>SUMPRODUCT(R458:AA458*(1+(DCF_FCFF!$C$25+$P458))^(-Scenario_DT!$I$17:$R$17))+AB458</f>
        <v>39210.624299340299</v>
      </c>
      <c r="AD458" s="68">
        <f>((AC458-DCF_FCFF!$C$48)*(1-DCF_FCFF!$C$50)+DCF_FCFF!$C$57+DCF_FCFF!$C$58)/DCF_FCFF!$C$60</f>
        <v>279.92927652066362</v>
      </c>
      <c r="AE458" s="6"/>
      <c r="AF458" s="6"/>
      <c r="AG458" s="6"/>
    </row>
    <row r="459" spans="1:33" x14ac:dyDescent="0.3">
      <c r="A459" s="6"/>
      <c r="B459" s="72">
        <v>428</v>
      </c>
      <c r="C459" s="73">
        <v>0.53182385577793401</v>
      </c>
      <c r="D459" s="73">
        <v>0.314581569035843</v>
      </c>
      <c r="E459" s="73">
        <v>0.77393943863765602</v>
      </c>
      <c r="F459" s="73">
        <v>0.76475668793264895</v>
      </c>
      <c r="G459" s="73">
        <v>0.84427235758244501</v>
      </c>
      <c r="H459" s="15">
        <f t="shared" si="61"/>
        <v>7.9855366923923241E-2</v>
      </c>
      <c r="I459" s="15">
        <f t="shared" si="62"/>
        <v>-0.48290507516185355</v>
      </c>
      <c r="J459" s="15">
        <f t="shared" si="63"/>
        <v>0.75188349807969235</v>
      </c>
      <c r="K459" s="15">
        <f t="shared" si="64"/>
        <v>0.72168750788370506</v>
      </c>
      <c r="L459" s="15">
        <f t="shared" si="65"/>
        <v>1.0121731225268047</v>
      </c>
      <c r="M459" s="18">
        <f t="shared" si="66"/>
        <v>1.5971073384784648E-3</v>
      </c>
      <c r="N459" s="18">
        <f t="shared" si="67"/>
        <v>-3.0262430339570981E-3</v>
      </c>
      <c r="O459" s="18">
        <f t="shared" si="68"/>
        <v>9.0226019769563091E-3</v>
      </c>
      <c r="P459" s="18">
        <f t="shared" si="69"/>
        <v>4.3301250473022305E-3</v>
      </c>
      <c r="Q459" s="18">
        <f t="shared" si="70"/>
        <v>4.0486924901072191E-3</v>
      </c>
      <c r="R459" s="28">
        <f>((Scenario_DT!I$11*(IF(Scenario_DT!I$18=1,1,1+$M459/Scenario_DT!$C$19)*(1+$N459)^MAX(0,Scenario_DT!I$18-3))*(Scenario_DT!I$12+$O459)-Scenario_DT!I$13)*(1-Scenario_DT!I$14)+Scenario_DT!I$13-Scenario_DT!I$15)*Scenario_DT!I$16</f>
        <v>923.70543534147873</v>
      </c>
      <c r="S459" s="28">
        <f>((Scenario_DT!J$11*(IF(Scenario_DT!J$18=1,1,1+$M459/Scenario_DT!$C$19)*(1+$N459)^MAX(0,Scenario_DT!J$18-3))*(Scenario_DT!J$12+$O459)-Scenario_DT!J$13)*(1-Scenario_DT!J$14)+Scenario_DT!J$13-Scenario_DT!J$15)*Scenario_DT!J$16</f>
        <v>1863.8232232613236</v>
      </c>
      <c r="T459" s="28">
        <f>((Scenario_DT!K$11*(IF(Scenario_DT!K$18=1,1,1+$M459/Scenario_DT!$C$19)*(1+$N459)^MAX(0,Scenario_DT!K$18-3))*(Scenario_DT!K$12+$O459)-Scenario_DT!K$13)*(1-Scenario_DT!K$14)+Scenario_DT!K$13-Scenario_DT!K$15)*Scenario_DT!K$16</f>
        <v>2129.6215873895489</v>
      </c>
      <c r="U459" s="28">
        <f>((Scenario_DT!L$11*(IF(Scenario_DT!L$18=1,1,1+$M459/Scenario_DT!$C$19)*(1+$N459)^MAX(0,Scenario_DT!L$18-3))*(Scenario_DT!L$12+$O459)-Scenario_DT!L$13)*(1-Scenario_DT!L$14)+Scenario_DT!L$13-Scenario_DT!L$15)*Scenario_DT!L$16</f>
        <v>2524.9817133887968</v>
      </c>
      <c r="V459" s="28">
        <f>((Scenario_DT!M$11*(IF(Scenario_DT!M$18=1,1,1+$M459/Scenario_DT!$C$19)*(1+$N459)^MAX(0,Scenario_DT!M$18-3))*(Scenario_DT!M$12+$O459)-Scenario_DT!M$13)*(1-Scenario_DT!M$14)+Scenario_DT!M$13-Scenario_DT!M$15)*Scenario_DT!M$16</f>
        <v>2642.4324796708265</v>
      </c>
      <c r="W459" s="28">
        <f>((Scenario_DT!N$11*(IF(Scenario_DT!N$18=1,1,1+$M459/Scenario_DT!$C$19)*(1+$N459)^MAX(0,Scenario_DT!N$18-3))*(Scenario_DT!N$12+$O459)-Scenario_DT!N$13)*(1-Scenario_DT!N$14)+Scenario_DT!N$13-Scenario_DT!N$15)*Scenario_DT!N$16</f>
        <v>2765.3345484714828</v>
      </c>
      <c r="X459" s="28">
        <f>((Scenario_DT!O$11*(IF(Scenario_DT!O$18=1,1,1+$M459/Scenario_DT!$C$19)*(1+$N459)^MAX(0,Scenario_DT!O$18-3))*(Scenario_DT!O$12+$O459)-Scenario_DT!O$13)*(1-Scenario_DT!O$14)+Scenario_DT!O$13-Scenario_DT!O$15)*Scenario_DT!O$16</f>
        <v>2893.9429841768642</v>
      </c>
      <c r="Y459" s="28">
        <f>((Scenario_DT!P$11*(IF(Scenario_DT!P$18=1,1,1+$M459/Scenario_DT!$C$19)*(1+$N459)^MAX(0,Scenario_DT!P$18-3))*(Scenario_DT!P$12+$O459)-Scenario_DT!P$13)*(1-Scenario_DT!P$14)+Scenario_DT!P$13-Scenario_DT!P$15)*Scenario_DT!P$16</f>
        <v>3028.5248060293256</v>
      </c>
      <c r="Z459" s="28">
        <f>((Scenario_DT!Q$11*(IF(Scenario_DT!Q$18=1,1,1+$M459/Scenario_DT!$C$19)*(1+$N459)^MAX(0,Scenario_DT!Q$18-3))*(Scenario_DT!Q$12+$O459)-Scenario_DT!Q$13)*(1-Scenario_DT!Q$14)+Scenario_DT!Q$13-Scenario_DT!Q$15)*Scenario_DT!Q$16</f>
        <v>3169.3595486473901</v>
      </c>
      <c r="AA459" s="28">
        <f>((Scenario_DT!R$11*(IF(Scenario_DT!R$18=1,1,1+$M459/Scenario_DT!$C$19)*(1+$N459)^MAX(0,Scenario_DT!R$18-3))*(Scenario_DT!R$12+$O459)-Scenario_DT!R$13)*(1-Scenario_DT!R$14)+Scenario_DT!R$13-Scenario_DT!R$15)*Scenario_DT!R$16</f>
        <v>3316.739848827991</v>
      </c>
      <c r="AB459" s="17">
        <f>(Scenario_DT!$R$11*(1+$M459/Scenario_DT!$C$19)*(1+$N459)^7*(Scenario_DT!$R$12+$O459)*(1+MIN(DCF_FCFF!$C$26+$Q459,(DCF_FCFF!$C$25+$P459)-0.02))*(1-DCF_FCFF!$C$27)*(1-DCF_FCFF!$C$28)/((DCF_FCFF!$C$25+$P459)-MIN(DCF_FCFF!$C$26+$Q459,(DCF_FCFF!$C$25+$P459)-0.02)))*(1+(DCF_FCFF!$C$25+$P459))^(-(Inputs!$C$9+9))</f>
        <v>26902.544326658244</v>
      </c>
      <c r="AC459" s="17">
        <f>SUMPRODUCT(R459:AA459*(1+(DCF_FCFF!$C$25+$P459))^(-Scenario_DT!$I$17:$R$17))+AB459</f>
        <v>43143.281895797045</v>
      </c>
      <c r="AD459" s="68">
        <f>((AC459-DCF_FCFF!$C$48)*(1-DCF_FCFF!$C$50)+DCF_FCFF!$C$57+DCF_FCFF!$C$58)/DCF_FCFF!$C$60</f>
        <v>317.67794627230455</v>
      </c>
      <c r="AE459" s="6"/>
      <c r="AF459" s="6"/>
      <c r="AG459" s="6"/>
    </row>
    <row r="460" spans="1:33" x14ac:dyDescent="0.3">
      <c r="A460" s="6"/>
      <c r="B460" s="72">
        <v>429</v>
      </c>
      <c r="C460" s="73">
        <v>0.89550457719688403</v>
      </c>
      <c r="D460" s="73">
        <v>0.43434924822529603</v>
      </c>
      <c r="E460" s="73">
        <v>0.76687556810719804</v>
      </c>
      <c r="F460" s="73">
        <v>0.80639872879587904</v>
      </c>
      <c r="G460" s="73">
        <v>0.30845962249775</v>
      </c>
      <c r="H460" s="15">
        <f t="shared" si="61"/>
        <v>1.2563451866260222</v>
      </c>
      <c r="I460" s="15">
        <f t="shared" si="62"/>
        <v>-0.16531189541160188</v>
      </c>
      <c r="J460" s="15">
        <f t="shared" si="63"/>
        <v>0.72859593829806557</v>
      </c>
      <c r="K460" s="15">
        <f t="shared" si="64"/>
        <v>0.86470168862188324</v>
      </c>
      <c r="L460" s="15">
        <f t="shared" si="65"/>
        <v>-0.50022132409588127</v>
      </c>
      <c r="M460" s="18">
        <f t="shared" si="66"/>
        <v>2.5126903732520446E-2</v>
      </c>
      <c r="N460" s="18">
        <f t="shared" si="67"/>
        <v>3.8800663387104617E-3</v>
      </c>
      <c r="O460" s="18">
        <f t="shared" si="68"/>
        <v>8.7431512595767865E-3</v>
      </c>
      <c r="P460" s="18">
        <f t="shared" si="69"/>
        <v>5.1882101317312999E-3</v>
      </c>
      <c r="Q460" s="18">
        <f t="shared" si="70"/>
        <v>-2.0008852963835249E-3</v>
      </c>
      <c r="R460" s="28">
        <f>((Scenario_DT!I$11*(IF(Scenario_DT!I$18=1,1,1+$M460/Scenario_DT!$C$19)*(1+$N460)^MAX(0,Scenario_DT!I$18-3))*(Scenario_DT!I$12+$O460)-Scenario_DT!I$13)*(1-Scenario_DT!I$14)+Scenario_DT!I$13-Scenario_DT!I$15)*Scenario_DT!I$16</f>
        <v>923.31143990346573</v>
      </c>
      <c r="S460" s="28">
        <f>((Scenario_DT!J$11*(IF(Scenario_DT!J$18=1,1,1+$M460/Scenario_DT!$C$19)*(1+$N460)^MAX(0,Scenario_DT!J$18-3))*(Scenario_DT!J$12+$O460)-Scenario_DT!J$13)*(1-Scenario_DT!J$14)+Scenario_DT!J$13-Scenario_DT!J$15)*Scenario_DT!J$16</f>
        <v>1920.0163895082878</v>
      </c>
      <c r="T460" s="28">
        <f>((Scenario_DT!K$11*(IF(Scenario_DT!K$18=1,1,1+$M460/Scenario_DT!$C$19)*(1+$N460)^MAX(0,Scenario_DT!K$18-3))*(Scenario_DT!K$12+$O460)-Scenario_DT!K$13)*(1-Scenario_DT!K$14)+Scenario_DT!K$13-Scenario_DT!K$15)*Scenario_DT!K$16</f>
        <v>2188.6561752179477</v>
      </c>
      <c r="U460" s="28">
        <f>((Scenario_DT!L$11*(IF(Scenario_DT!L$18=1,1,1+$M460/Scenario_DT!$C$19)*(1+$N460)^MAX(0,Scenario_DT!L$18-3))*(Scenario_DT!L$12+$O460)-Scenario_DT!L$13)*(1-Scenario_DT!L$14)+Scenario_DT!L$13-Scenario_DT!L$15)*Scenario_DT!L$16</f>
        <v>2605.5146256966545</v>
      </c>
      <c r="V460" s="28">
        <f>((Scenario_DT!M$11*(IF(Scenario_DT!M$18=1,1,1+$M460/Scenario_DT!$C$19)*(1+$N460)^MAX(0,Scenario_DT!M$18-3))*(Scenario_DT!M$12+$O460)-Scenario_DT!M$13)*(1-Scenario_DT!M$14)+Scenario_DT!M$13-Scenario_DT!M$15)*Scenario_DT!M$16</f>
        <v>2745.7527246996547</v>
      </c>
      <c r="W460" s="28">
        <f>((Scenario_DT!N$11*(IF(Scenario_DT!N$18=1,1,1+$M460/Scenario_DT!$C$19)*(1+$N460)^MAX(0,Scenario_DT!N$18-3))*(Scenario_DT!N$12+$O460)-Scenario_DT!N$13)*(1-Scenario_DT!N$14)+Scenario_DT!N$13-Scenario_DT!N$15)*Scenario_DT!N$16</f>
        <v>2893.5373889854186</v>
      </c>
      <c r="X460" s="28">
        <f>((Scenario_DT!O$11*(IF(Scenario_DT!O$18=1,1,1+$M460/Scenario_DT!$C$19)*(1+$N460)^MAX(0,Scenario_DT!O$18-3))*(Scenario_DT!O$12+$O460)-Scenario_DT!O$13)*(1-Scenario_DT!O$14)+Scenario_DT!O$13-Scenario_DT!O$15)*Scenario_DT!O$16</f>
        <v>3049.2773928546312</v>
      </c>
      <c r="Y460" s="28">
        <f>((Scenario_DT!P$11*(IF(Scenario_DT!P$18=1,1,1+$M460/Scenario_DT!$C$19)*(1+$N460)^MAX(0,Scenario_DT!P$18-3))*(Scenario_DT!P$12+$O460)-Scenario_DT!P$13)*(1-Scenario_DT!P$14)+Scenario_DT!P$13-Scenario_DT!P$15)*Scenario_DT!P$16</f>
        <v>3213.4036693046705</v>
      </c>
      <c r="Z460" s="28">
        <f>((Scenario_DT!Q$11*(IF(Scenario_DT!Q$18=1,1,1+$M460/Scenario_DT!$C$19)*(1+$N460)^MAX(0,Scenario_DT!Q$18-3))*(Scenario_DT!Q$12+$O460)-Scenario_DT!Q$13)*(1-Scenario_DT!Q$14)+Scenario_DT!Q$13-Scenario_DT!Q$15)*Scenario_DT!Q$16</f>
        <v>3386.3705109063735</v>
      </c>
      <c r="AA460" s="28">
        <f>((Scenario_DT!R$11*(IF(Scenario_DT!R$18=1,1,1+$M460/Scenario_DT!$C$19)*(1+$N460)^MAX(0,Scenario_DT!R$18-3))*(Scenario_DT!R$12+$O460)-Scenario_DT!R$13)*(1-Scenario_DT!R$14)+Scenario_DT!R$13-Scenario_DT!R$15)*Scenario_DT!R$16</f>
        <v>3568.6568357380011</v>
      </c>
      <c r="AB460" s="17">
        <f>(Scenario_DT!$R$11*(1+$M460/Scenario_DT!$C$19)*(1+$N460)^7*(Scenario_DT!$R$12+$O460)*(1+MIN(DCF_FCFF!$C$26+$Q460,(DCF_FCFF!$C$25+$P460)-0.02))*(1-DCF_FCFF!$C$27)*(1-DCF_FCFF!$C$28)/((DCF_FCFF!$C$25+$P460)-MIN(DCF_FCFF!$C$26+$Q460,(DCF_FCFF!$C$25+$P460)-0.02)))*(1+(DCF_FCFF!$C$25+$P460))^(-(Inputs!$C$9+9))</f>
        <v>25123.927296173246</v>
      </c>
      <c r="AC460" s="17">
        <f>SUMPRODUCT(R460:AA460*(1+(DCF_FCFF!$C$25+$P460))^(-Scenario_DT!$I$17:$R$17))+AB460</f>
        <v>42025.697277635089</v>
      </c>
      <c r="AD460" s="68">
        <f>((AC460-DCF_FCFF!$C$48)*(1-DCF_FCFF!$C$50)+DCF_FCFF!$C$57+DCF_FCFF!$C$58)/DCF_FCFF!$C$60</f>
        <v>306.95051027367617</v>
      </c>
      <c r="AE460" s="6"/>
      <c r="AF460" s="6"/>
      <c r="AG460" s="6"/>
    </row>
    <row r="461" spans="1:33" x14ac:dyDescent="0.3">
      <c r="A461" s="6"/>
      <c r="B461" s="72">
        <v>430</v>
      </c>
      <c r="C461" s="73">
        <v>0.92924224400614996</v>
      </c>
      <c r="D461" s="73">
        <v>9.4341502639655503E-2</v>
      </c>
      <c r="E461" s="73">
        <v>0.99426917916328295</v>
      </c>
      <c r="F461" s="73">
        <v>0.77009071815886898</v>
      </c>
      <c r="G461" s="73">
        <v>9.3270905324327302E-2</v>
      </c>
      <c r="H461" s="15">
        <f t="shared" si="61"/>
        <v>1.4701707593482987</v>
      </c>
      <c r="I461" s="15">
        <f t="shared" si="62"/>
        <v>-1.3144851111798974</v>
      </c>
      <c r="J461" s="15">
        <f t="shared" si="63"/>
        <v>2.5282998503954772</v>
      </c>
      <c r="K461" s="15">
        <f t="shared" si="64"/>
        <v>0.73914564301584318</v>
      </c>
      <c r="L461" s="15">
        <f t="shared" si="65"/>
        <v>-1.3208787068778285</v>
      </c>
      <c r="M461" s="18">
        <f t="shared" si="66"/>
        <v>2.9403415186965973E-2</v>
      </c>
      <c r="N461" s="18">
        <f t="shared" si="67"/>
        <v>-3.2263369560324327E-3</v>
      </c>
      <c r="O461" s="18">
        <f t="shared" si="68"/>
        <v>3.0339598204745726E-2</v>
      </c>
      <c r="P461" s="18">
        <f t="shared" si="69"/>
        <v>4.4348738580950592E-3</v>
      </c>
      <c r="Q461" s="18">
        <f t="shared" si="70"/>
        <v>-5.2835148275113143E-3</v>
      </c>
      <c r="R461" s="28">
        <f>((Scenario_DT!I$11*(IF(Scenario_DT!I$18=1,1,1+$M461/Scenario_DT!$C$19)*(1+$N461)^MAX(0,Scenario_DT!I$18-3))*(Scenario_DT!I$12+$O461)-Scenario_DT!I$13)*(1-Scenario_DT!I$14)+Scenario_DT!I$13-Scenario_DT!I$15)*Scenario_DT!I$16</f>
        <v>953.76010596334095</v>
      </c>
      <c r="S461" s="28">
        <f>((Scenario_DT!J$11*(IF(Scenario_DT!J$18=1,1,1+$M461/Scenario_DT!$C$19)*(1+$N461)^MAX(0,Scenario_DT!J$18-3))*(Scenario_DT!J$12+$O461)-Scenario_DT!J$13)*(1-Scenario_DT!J$14)+Scenario_DT!J$13-Scenario_DT!J$15)*Scenario_DT!J$16</f>
        <v>1999.6011181265394</v>
      </c>
      <c r="T461" s="28">
        <f>((Scenario_DT!K$11*(IF(Scenario_DT!K$18=1,1,1+$M461/Scenario_DT!$C$19)*(1+$N461)^MAX(0,Scenario_DT!K$18-3))*(Scenario_DT!K$12+$O461)-Scenario_DT!K$13)*(1-Scenario_DT!K$14)+Scenario_DT!K$13-Scenario_DT!K$15)*Scenario_DT!K$16</f>
        <v>2271.2774365147884</v>
      </c>
      <c r="U461" s="28">
        <f>((Scenario_DT!L$11*(IF(Scenario_DT!L$18=1,1,1+$M461/Scenario_DT!$C$19)*(1+$N461)^MAX(0,Scenario_DT!L$18-3))*(Scenario_DT!L$12+$O461)-Scenario_DT!L$13)*(1-Scenario_DT!L$14)+Scenario_DT!L$13-Scenario_DT!L$15)*Scenario_DT!L$16</f>
        <v>2674.393222404367</v>
      </c>
      <c r="V461" s="28">
        <f>((Scenario_DT!M$11*(IF(Scenario_DT!M$18=1,1,1+$M461/Scenario_DT!$C$19)*(1+$N461)^MAX(0,Scenario_DT!M$18-3))*(Scenario_DT!M$12+$O461)-Scenario_DT!M$13)*(1-Scenario_DT!M$14)+Scenario_DT!M$13-Scenario_DT!M$15)*Scenario_DT!M$16</f>
        <v>2798.2743691125684</v>
      </c>
      <c r="W461" s="28">
        <f>((Scenario_DT!N$11*(IF(Scenario_DT!N$18=1,1,1+$M461/Scenario_DT!$C$19)*(1+$N461)^MAX(0,Scenario_DT!N$18-3))*(Scenario_DT!N$12+$O461)-Scenario_DT!N$13)*(1-Scenario_DT!N$14)+Scenario_DT!N$13-Scenario_DT!N$15)*Scenario_DT!N$16</f>
        <v>2927.8815483734497</v>
      </c>
      <c r="X461" s="28">
        <f>((Scenario_DT!O$11*(IF(Scenario_DT!O$18=1,1,1+$M461/Scenario_DT!$C$19)*(1+$N461)^MAX(0,Scenario_DT!O$18-3))*(Scenario_DT!O$12+$O461)-Scenario_DT!O$13)*(1-Scenario_DT!O$14)+Scenario_DT!O$13-Scenario_DT!O$15)*Scenario_DT!O$16</f>
        <v>3063.4814595853768</v>
      </c>
      <c r="Y461" s="28">
        <f>((Scenario_DT!P$11*(IF(Scenario_DT!P$18=1,1,1+$M461/Scenario_DT!$C$19)*(1+$N461)^MAX(0,Scenario_DT!P$18-3))*(Scenario_DT!P$12+$O461)-Scenario_DT!P$13)*(1-Scenario_DT!P$14)+Scenario_DT!P$13-Scenario_DT!P$15)*Scenario_DT!P$16</f>
        <v>3205.3532445185106</v>
      </c>
      <c r="Z461" s="28">
        <f>((Scenario_DT!Q$11*(IF(Scenario_DT!Q$18=1,1,1+$M461/Scenario_DT!$C$19)*(1+$N461)^MAX(0,Scenario_DT!Q$18-3))*(Scenario_DT!Q$12+$O461)-Scenario_DT!Q$13)*(1-Scenario_DT!Q$14)+Scenario_DT!Q$13-Scenario_DT!Q$15)*Scenario_DT!Q$16</f>
        <v>3353.7890679921688</v>
      </c>
      <c r="AA461" s="28">
        <f>((Scenario_DT!R$11*(IF(Scenario_DT!R$18=1,1,1+$M461/Scenario_DT!$C$19)*(1+$N461)^MAX(0,Scenario_DT!R$18-3))*(Scenario_DT!R$12+$O461)-Scenario_DT!R$13)*(1-Scenario_DT!R$14)+Scenario_DT!R$13-Scenario_DT!R$15)*Scenario_DT!R$16</f>
        <v>3509.0947256539303</v>
      </c>
      <c r="AB461" s="17">
        <f>(Scenario_DT!$R$11*(1+$M461/Scenario_DT!$C$19)*(1+$N461)^7*(Scenario_DT!$R$12+$O461)*(1+MIN(DCF_FCFF!$C$26+$Q461,(DCF_FCFF!$C$25+$P461)-0.02))*(1-DCF_FCFF!$C$27)*(1-DCF_FCFF!$C$28)/((DCF_FCFF!$C$25+$P461)-MIN(DCF_FCFF!$C$26+$Q461,(DCF_FCFF!$C$25+$P461)-0.02)))*(1+(DCF_FCFF!$C$25+$P461))^(-(Inputs!$C$9+9))</f>
        <v>23747.695750225252</v>
      </c>
      <c r="AC461" s="17">
        <f>SUMPRODUCT(R461:AA461*(1+(DCF_FCFF!$C$25+$P461))^(-Scenario_DT!$I$17:$R$17))+AB461</f>
        <v>40947.7351362587</v>
      </c>
      <c r="AD461" s="68">
        <f>((AC461-DCF_FCFF!$C$48)*(1-DCF_FCFF!$C$50)+DCF_FCFF!$C$57+DCF_FCFF!$C$58)/DCF_FCFF!$C$60</f>
        <v>296.60340125603597</v>
      </c>
      <c r="AE461" s="6"/>
      <c r="AF461" s="6"/>
      <c r="AG461" s="6"/>
    </row>
    <row r="462" spans="1:33" x14ac:dyDescent="0.3">
      <c r="A462" s="6"/>
      <c r="B462" s="72">
        <v>431</v>
      </c>
      <c r="C462" s="73">
        <v>0.65622964810500095</v>
      </c>
      <c r="D462" s="73">
        <v>3.4179410928260198E-2</v>
      </c>
      <c r="E462" s="73">
        <v>0.77018694944418298</v>
      </c>
      <c r="F462" s="73">
        <v>0.79922292165905495</v>
      </c>
      <c r="G462" s="73">
        <v>0.60241025309144802</v>
      </c>
      <c r="H462" s="15">
        <f t="shared" si="61"/>
        <v>0.40219475254120363</v>
      </c>
      <c r="I462" s="15">
        <f t="shared" si="62"/>
        <v>-1.8226341363457388</v>
      </c>
      <c r="J462" s="15">
        <f t="shared" si="63"/>
        <v>0.73946266729710497</v>
      </c>
      <c r="K462" s="15">
        <f t="shared" si="64"/>
        <v>0.83884880974870568</v>
      </c>
      <c r="L462" s="15">
        <f t="shared" si="65"/>
        <v>0.25959072200579397</v>
      </c>
      <c r="M462" s="18">
        <f t="shared" si="66"/>
        <v>8.0438950508240729E-3</v>
      </c>
      <c r="N462" s="18">
        <f t="shared" si="67"/>
        <v>-1.1018800700876146E-2</v>
      </c>
      <c r="O462" s="18">
        <f t="shared" si="68"/>
        <v>8.873552007565259E-3</v>
      </c>
      <c r="P462" s="18">
        <f t="shared" si="69"/>
        <v>5.0330928584922342E-3</v>
      </c>
      <c r="Q462" s="18">
        <f t="shared" si="70"/>
        <v>1.038362888023176E-3</v>
      </c>
      <c r="R462" s="28">
        <f>((Scenario_DT!I$11*(IF(Scenario_DT!I$18=1,1,1+$M462/Scenario_DT!$C$19)*(1+$N462)^MAX(0,Scenario_DT!I$18-3))*(Scenario_DT!I$12+$O462)-Scenario_DT!I$13)*(1-Scenario_DT!I$14)+Scenario_DT!I$13-Scenario_DT!I$15)*Scenario_DT!I$16</f>
        <v>923.49529092486489</v>
      </c>
      <c r="S462" s="28">
        <f>((Scenario_DT!J$11*(IF(Scenario_DT!J$18=1,1,1+$M462/Scenario_DT!$C$19)*(1+$N462)^MAX(0,Scenario_DT!J$18-3))*(Scenario_DT!J$12+$O462)-Scenario_DT!J$13)*(1-Scenario_DT!J$14)+Scenario_DT!J$13-Scenario_DT!J$15)*Scenario_DT!J$16</f>
        <v>1878.9963831633104</v>
      </c>
      <c r="T462" s="28">
        <f>((Scenario_DT!K$11*(IF(Scenario_DT!K$18=1,1,1+$M462/Scenario_DT!$C$19)*(1+$N462)^MAX(0,Scenario_DT!K$18-3))*(Scenario_DT!K$12+$O462)-Scenario_DT!K$13)*(1-Scenario_DT!K$14)+Scenario_DT!K$13-Scenario_DT!K$15)*Scenario_DT!K$16</f>
        <v>2145.5651550588682</v>
      </c>
      <c r="U462" s="28">
        <f>((Scenario_DT!L$11*(IF(Scenario_DT!L$18=1,1,1+$M462/Scenario_DT!$C$19)*(1+$N462)^MAX(0,Scenario_DT!L$18-3))*(Scenario_DT!L$12+$O462)-Scenario_DT!L$13)*(1-Scenario_DT!L$14)+Scenario_DT!L$13-Scenario_DT!L$15)*Scenario_DT!L$16</f>
        <v>2521.3460923703906</v>
      </c>
      <c r="V462" s="28">
        <f>((Scenario_DT!M$11*(IF(Scenario_DT!M$18=1,1,1+$M462/Scenario_DT!$C$19)*(1+$N462)^MAX(0,Scenario_DT!M$18-3))*(Scenario_DT!M$12+$O462)-Scenario_DT!M$13)*(1-Scenario_DT!M$14)+Scenario_DT!M$13-Scenario_DT!M$15)*Scenario_DT!M$16</f>
        <v>2617.3254086252814</v>
      </c>
      <c r="W462" s="28">
        <f>((Scenario_DT!N$11*(IF(Scenario_DT!N$18=1,1,1+$M462/Scenario_DT!$C$19)*(1+$N462)^MAX(0,Scenario_DT!N$18-3))*(Scenario_DT!N$12+$O462)-Scenario_DT!N$13)*(1-Scenario_DT!N$14)+Scenario_DT!N$13-Scenario_DT!N$15)*Scenario_DT!N$16</f>
        <v>2716.9320701552115</v>
      </c>
      <c r="X462" s="28">
        <f>((Scenario_DT!O$11*(IF(Scenario_DT!O$18=1,1,1+$M462/Scenario_DT!$C$19)*(1+$N462)^MAX(0,Scenario_DT!O$18-3))*(Scenario_DT!O$12+$O462)-Scenario_DT!O$13)*(1-Scenario_DT!O$14)+Scenario_DT!O$13-Scenario_DT!O$15)*Scenario_DT!O$16</f>
        <v>2820.3042797582675</v>
      </c>
      <c r="Y462" s="28">
        <f>((Scenario_DT!P$11*(IF(Scenario_DT!P$18=1,1,1+$M462/Scenario_DT!$C$19)*(1+$N462)^MAX(0,Scenario_DT!P$18-3))*(Scenario_DT!P$12+$O462)-Scenario_DT!P$13)*(1-Scenario_DT!P$14)+Scenario_DT!P$13-Scenario_DT!P$15)*Scenario_DT!P$16</f>
        <v>2927.5855143486965</v>
      </c>
      <c r="Z462" s="28">
        <f>((Scenario_DT!Q$11*(IF(Scenario_DT!Q$18=1,1,1+$M462/Scenario_DT!$C$19)*(1+$N462)^MAX(0,Scenario_DT!Q$18-3))*(Scenario_DT!Q$12+$O462)-Scenario_DT!Q$13)*(1-Scenario_DT!Q$14)+Scenario_DT!Q$13-Scenario_DT!Q$15)*Scenario_DT!Q$16</f>
        <v>3038.9247262062381</v>
      </c>
      <c r="AA462" s="28">
        <f>((Scenario_DT!R$11*(IF(Scenario_DT!R$18=1,1,1+$M462/Scenario_DT!$C$19)*(1+$N462)^MAX(0,Scenario_DT!R$18-3))*(Scenario_DT!R$12+$O462)-Scenario_DT!R$13)*(1-Scenario_DT!R$14)+Scenario_DT!R$13-Scenario_DT!R$15)*Scenario_DT!R$16</f>
        <v>3154.4765519003377</v>
      </c>
      <c r="AB462" s="17">
        <f>(Scenario_DT!$R$11*(1+$M462/Scenario_DT!$C$19)*(1+$N462)^7*(Scenario_DT!$R$12+$O462)*(1+MIN(DCF_FCFF!$C$26+$Q462,(DCF_FCFF!$C$25+$P462)-0.02))*(1-DCF_FCFF!$C$27)*(1-DCF_FCFF!$C$28)/((DCF_FCFF!$C$25+$P462)-MIN(DCF_FCFF!$C$26+$Q462,(DCF_FCFF!$C$25+$P462)-0.02)))*(1+(DCF_FCFF!$C$25+$P462))^(-(Inputs!$C$9+9))</f>
        <v>23637.073079850587</v>
      </c>
      <c r="AC462" s="17">
        <f>SUMPRODUCT(R462:AA462*(1+(DCF_FCFF!$C$25+$P462))^(-Scenario_DT!$I$17:$R$17))+AB462</f>
        <v>39575.479342843093</v>
      </c>
      <c r="AD462" s="68">
        <f>((AC462-DCF_FCFF!$C$48)*(1-DCF_FCFF!$C$50)+DCF_FCFF!$C$57+DCF_FCFF!$C$58)/DCF_FCFF!$C$60</f>
        <v>283.43143560942246</v>
      </c>
      <c r="AE462" s="6"/>
      <c r="AF462" s="6"/>
      <c r="AG462" s="6"/>
    </row>
    <row r="463" spans="1:33" x14ac:dyDescent="0.3">
      <c r="A463" s="6"/>
      <c r="B463" s="72">
        <v>432</v>
      </c>
      <c r="C463" s="73">
        <v>0.85686039191657104</v>
      </c>
      <c r="D463" s="73">
        <v>9.7883280214859703E-2</v>
      </c>
      <c r="E463" s="73">
        <v>0.27592384204081299</v>
      </c>
      <c r="F463" s="73">
        <v>0.41417752159267102</v>
      </c>
      <c r="G463" s="73">
        <v>4.2457952828098298E-2</v>
      </c>
      <c r="H463" s="15">
        <f t="shared" si="61"/>
        <v>1.0663195472486187</v>
      </c>
      <c r="I463" s="15">
        <f t="shared" si="62"/>
        <v>-1.2937072491494608</v>
      </c>
      <c r="J463" s="15">
        <f t="shared" si="63"/>
        <v>-0.59499369716217909</v>
      </c>
      <c r="K463" s="15">
        <f t="shared" si="64"/>
        <v>-0.2168117646269789</v>
      </c>
      <c r="L463" s="15">
        <f t="shared" si="65"/>
        <v>-1.7228486097613704</v>
      </c>
      <c r="M463" s="18">
        <f t="shared" si="66"/>
        <v>2.1326390944972375E-2</v>
      </c>
      <c r="N463" s="18">
        <f t="shared" si="67"/>
        <v>-4.6977885535936618E-3</v>
      </c>
      <c r="O463" s="18">
        <f t="shared" si="68"/>
        <v>-7.139924365946149E-3</v>
      </c>
      <c r="P463" s="18">
        <f t="shared" si="69"/>
        <v>-1.3008705877618734E-3</v>
      </c>
      <c r="Q463" s="18">
        <f t="shared" si="70"/>
        <v>-6.8913944390454817E-3</v>
      </c>
      <c r="R463" s="28">
        <f>((Scenario_DT!I$11*(IF(Scenario_DT!I$18=1,1,1+$M463/Scenario_DT!$C$19)*(1+$N463)^MAX(0,Scenario_DT!I$18-3))*(Scenario_DT!I$12+$O463)-Scenario_DT!I$13)*(1-Scenario_DT!I$14)+Scenario_DT!I$13-Scenario_DT!I$15)*Scenario_DT!I$16</f>
        <v>900.91801255158998</v>
      </c>
      <c r="S463" s="28">
        <f>((Scenario_DT!J$11*(IF(Scenario_DT!J$18=1,1,1+$M463/Scenario_DT!$C$19)*(1+$N463)^MAX(0,Scenario_DT!J$18-3))*(Scenario_DT!J$12+$O463)-Scenario_DT!J$13)*(1-Scenario_DT!J$14)+Scenario_DT!J$13-Scenario_DT!J$15)*Scenario_DT!J$16</f>
        <v>1860.3203820968456</v>
      </c>
      <c r="T463" s="28">
        <f>((Scenario_DT!K$11*(IF(Scenario_DT!K$18=1,1,1+$M463/Scenario_DT!$C$19)*(1+$N463)^MAX(0,Scenario_DT!K$18-3))*(Scenario_DT!K$12+$O463)-Scenario_DT!K$13)*(1-Scenario_DT!K$14)+Scenario_DT!K$13-Scenario_DT!K$15)*Scenario_DT!K$16</f>
        <v>2126.6623297325241</v>
      </c>
      <c r="U463" s="28">
        <f>((Scenario_DT!L$11*(IF(Scenario_DT!L$18=1,1,1+$M463/Scenario_DT!$C$19)*(1+$N463)^MAX(0,Scenario_DT!L$18-3))*(Scenario_DT!L$12+$O463)-Scenario_DT!L$13)*(1-Scenario_DT!L$14)+Scenario_DT!L$13-Scenario_DT!L$15)*Scenario_DT!L$16</f>
        <v>2517.5926763625343</v>
      </c>
      <c r="V463" s="28">
        <f>((Scenario_DT!M$11*(IF(Scenario_DT!M$18=1,1,1+$M463/Scenario_DT!$C$19)*(1+$N463)^MAX(0,Scenario_DT!M$18-3))*(Scenario_DT!M$12+$O463)-Scenario_DT!M$13)*(1-Scenario_DT!M$14)+Scenario_DT!M$13-Scenario_DT!M$15)*Scenario_DT!M$16</f>
        <v>2630.2491680843036</v>
      </c>
      <c r="W463" s="28">
        <f>((Scenario_DT!N$11*(IF(Scenario_DT!N$18=1,1,1+$M463/Scenario_DT!$C$19)*(1+$N463)^MAX(0,Scenario_DT!N$18-3))*(Scenario_DT!N$12+$O463)-Scenario_DT!N$13)*(1-Scenario_DT!N$14)+Scenario_DT!N$13-Scenario_DT!N$15)*Scenario_DT!N$16</f>
        <v>2747.9320096198362</v>
      </c>
      <c r="X463" s="28">
        <f>((Scenario_DT!O$11*(IF(Scenario_DT!O$18=1,1,1+$M463/Scenario_DT!$C$19)*(1+$N463)^MAX(0,Scenario_DT!O$18-3))*(Scenario_DT!O$12+$O463)-Scenario_DT!O$13)*(1-Scenario_DT!O$14)+Scenario_DT!O$13-Scenario_DT!O$15)*Scenario_DT!O$16</f>
        <v>2870.8673332472113</v>
      </c>
      <c r="Y463" s="28">
        <f>((Scenario_DT!P$11*(IF(Scenario_DT!P$18=1,1,1+$M463/Scenario_DT!$C$19)*(1+$N463)^MAX(0,Scenario_DT!P$18-3))*(Scenario_DT!P$12+$O463)-Scenario_DT!P$13)*(1-Scenario_DT!P$14)+Scenario_DT!P$13-Scenario_DT!P$15)*Scenario_DT!P$16</f>
        <v>2999.2914642552373</v>
      </c>
      <c r="Z463" s="28">
        <f>((Scenario_DT!Q$11*(IF(Scenario_DT!Q$18=1,1,1+$M463/Scenario_DT!$C$19)*(1+$N463)^MAX(0,Scenario_DT!Q$18-3))*(Scenario_DT!Q$12+$O463)-Scenario_DT!Q$13)*(1-Scenario_DT!Q$14)+Scenario_DT!Q$13-Scenario_DT!Q$15)*Scenario_DT!Q$16</f>
        <v>3133.4513806192303</v>
      </c>
      <c r="AA463" s="28">
        <f>((Scenario_DT!R$11*(IF(Scenario_DT!R$18=1,1,1+$M463/Scenario_DT!$C$19)*(1+$N463)^MAX(0,Scenario_DT!R$18-3))*(Scenario_DT!R$12+$O463)-Scenario_DT!R$13)*(1-Scenario_DT!R$14)+Scenario_DT!R$13-Scenario_DT!R$15)*Scenario_DT!R$16</f>
        <v>3273.6051934103607</v>
      </c>
      <c r="AB463" s="17">
        <f>(Scenario_DT!$R$11*(1+$M463/Scenario_DT!$C$19)*(1+$N463)^7*(Scenario_DT!$R$12+$O463)*(1+MIN(DCF_FCFF!$C$26+$Q463,(DCF_FCFF!$C$25+$P463)-0.02))*(1-DCF_FCFF!$C$27)*(1-DCF_FCFF!$C$28)/((DCF_FCFF!$C$25+$P463)-MIN(DCF_FCFF!$C$26+$Q463,(DCF_FCFF!$C$25+$P463)-0.02)))*(1+(DCF_FCFF!$C$25+$P463))^(-(Inputs!$C$9+9))</f>
        <v>24976.203140146674</v>
      </c>
      <c r="AC463" s="17">
        <f>SUMPRODUCT(R463:AA463*(1+(DCF_FCFF!$C$25+$P463))^(-Scenario_DT!$I$17:$R$17))+AB463</f>
        <v>41482.559194765949</v>
      </c>
      <c r="AD463" s="68">
        <f>((AC463-DCF_FCFF!$C$48)*(1-DCF_FCFF!$C$50)+DCF_FCFF!$C$57+DCF_FCFF!$C$58)/DCF_FCFF!$C$60</f>
        <v>301.73705356739208</v>
      </c>
      <c r="AE463" s="6"/>
      <c r="AF463" s="6"/>
      <c r="AG463" s="6"/>
    </row>
    <row r="464" spans="1:33" x14ac:dyDescent="0.3">
      <c r="A464" s="6"/>
      <c r="B464" s="72">
        <v>433</v>
      </c>
      <c r="C464" s="73">
        <v>0.44821608757116599</v>
      </c>
      <c r="D464" s="73">
        <v>0.26521345611256603</v>
      </c>
      <c r="E464" s="73">
        <v>0.39273501210175299</v>
      </c>
      <c r="F464" s="73">
        <v>0.42510263199230702</v>
      </c>
      <c r="G464" s="73">
        <v>0.87941173348768498</v>
      </c>
      <c r="H464" s="15">
        <f t="shared" si="61"/>
        <v>-0.13016968905183279</v>
      </c>
      <c r="I464" s="15">
        <f t="shared" si="62"/>
        <v>-0.62735445994563821</v>
      </c>
      <c r="J464" s="15">
        <f t="shared" si="63"/>
        <v>-0.27219768182626602</v>
      </c>
      <c r="K464" s="15">
        <f t="shared" si="64"/>
        <v>-0.18885653056321985</v>
      </c>
      <c r="L464" s="15">
        <f t="shared" si="65"/>
        <v>1.1720511194844401</v>
      </c>
      <c r="M464" s="18">
        <f t="shared" si="66"/>
        <v>-2.6033937810366558E-3</v>
      </c>
      <c r="N464" s="18">
        <f t="shared" si="67"/>
        <v>-4.8671179521304498E-3</v>
      </c>
      <c r="O464" s="18">
        <f t="shared" si="68"/>
        <v>-3.2663721819151926E-3</v>
      </c>
      <c r="P464" s="18">
        <f t="shared" si="69"/>
        <v>-1.1331391833793191E-3</v>
      </c>
      <c r="Q464" s="18">
        <f t="shared" si="70"/>
        <v>4.6882044779377602E-3</v>
      </c>
      <c r="R464" s="28">
        <f>((Scenario_DT!I$11*(IF(Scenario_DT!I$18=1,1,1+$M464/Scenario_DT!$C$19)*(1+$N464)^MAX(0,Scenario_DT!I$18-3))*(Scenario_DT!I$12+$O464)-Scenario_DT!I$13)*(1-Scenario_DT!I$14)+Scenario_DT!I$13-Scenario_DT!I$15)*Scenario_DT!I$16</f>
        <v>906.3793042731636</v>
      </c>
      <c r="S464" s="28">
        <f>((Scenario_DT!J$11*(IF(Scenario_DT!J$18=1,1,1+$M464/Scenario_DT!$C$19)*(1+$N464)^MAX(0,Scenario_DT!J$18-3))*(Scenario_DT!J$12+$O464)-Scenario_DT!J$13)*(1-Scenario_DT!J$14)+Scenario_DT!J$13-Scenario_DT!J$15)*Scenario_DT!J$16</f>
        <v>1815.5474783554469</v>
      </c>
      <c r="T464" s="28">
        <f>((Scenario_DT!K$11*(IF(Scenario_DT!K$18=1,1,1+$M464/Scenario_DT!$C$19)*(1+$N464)^MAX(0,Scenario_DT!K$18-3))*(Scenario_DT!K$12+$O464)-Scenario_DT!K$13)*(1-Scenario_DT!K$14)+Scenario_DT!K$13-Scenario_DT!K$15)*Scenario_DT!K$16</f>
        <v>2079.4492749027845</v>
      </c>
      <c r="U464" s="28">
        <f>((Scenario_DT!L$11*(IF(Scenario_DT!L$18=1,1,1+$M464/Scenario_DT!$C$19)*(1+$N464)^MAX(0,Scenario_DT!L$18-3))*(Scenario_DT!L$12+$O464)-Scenario_DT!L$13)*(1-Scenario_DT!L$14)+Scenario_DT!L$13-Scenario_DT!L$15)*Scenario_DT!L$16</f>
        <v>2467.2757412263445</v>
      </c>
      <c r="V464" s="28">
        <f>((Scenario_DT!M$11*(IF(Scenario_DT!M$18=1,1,1+$M464/Scenario_DT!$C$19)*(1+$N464)^MAX(0,Scenario_DT!M$18-3))*(Scenario_DT!M$12+$O464)-Scenario_DT!M$13)*(1-Scenario_DT!M$14)+Scenario_DT!M$13-Scenario_DT!M$15)*Scenario_DT!M$16</f>
        <v>2577.222911712347</v>
      </c>
      <c r="W464" s="28">
        <f>((Scenario_DT!N$11*(IF(Scenario_DT!N$18=1,1,1+$M464/Scenario_DT!$C$19)*(1+$N464)^MAX(0,Scenario_DT!N$18-3))*(Scenario_DT!N$12+$O464)-Scenario_DT!N$13)*(1-Scenario_DT!N$14)+Scenario_DT!N$13-Scenario_DT!N$15)*Scenario_DT!N$16</f>
        <v>2692.0545037254401</v>
      </c>
      <c r="X464" s="28">
        <f>((Scenario_DT!O$11*(IF(Scenario_DT!O$18=1,1,1+$M464/Scenario_DT!$C$19)*(1+$N464)^MAX(0,Scenario_DT!O$18-3))*(Scenario_DT!O$12+$O464)-Scenario_DT!O$13)*(1-Scenario_DT!O$14)+Scenario_DT!O$13-Scenario_DT!O$15)*Scenario_DT!O$16</f>
        <v>2811.9893632166709</v>
      </c>
      <c r="Y464" s="28">
        <f>((Scenario_DT!P$11*(IF(Scenario_DT!P$18=1,1,1+$M464/Scenario_DT!$C$19)*(1+$N464)^MAX(0,Scenario_DT!P$18-3))*(Scenario_DT!P$12+$O464)-Scenario_DT!P$13)*(1-Scenario_DT!P$14)+Scenario_DT!P$13-Scenario_DT!P$15)*Scenario_DT!P$16</f>
        <v>2937.2561608209267</v>
      </c>
      <c r="Z464" s="28">
        <f>((Scenario_DT!Q$11*(IF(Scenario_DT!Q$18=1,1,1+$M464/Scenario_DT!$C$19)*(1+$N464)^MAX(0,Scenario_DT!Q$18-3))*(Scenario_DT!Q$12+$O464)-Scenario_DT!Q$13)*(1-Scenario_DT!Q$14)+Scenario_DT!Q$13-Scenario_DT!Q$15)*Scenario_DT!Q$16</f>
        <v>3068.0938331397952</v>
      </c>
      <c r="AA464" s="28">
        <f>((Scenario_DT!R$11*(IF(Scenario_DT!R$18=1,1,1+$M464/Scenario_DT!$C$19)*(1+$N464)^MAX(0,Scenario_DT!R$18-3))*(Scenario_DT!R$12+$O464)-Scenario_DT!R$13)*(1-Scenario_DT!R$14)+Scenario_DT!R$13-Scenario_DT!R$15)*Scenario_DT!R$16</f>
        <v>3204.7520438485699</v>
      </c>
      <c r="AB464" s="17">
        <f>(Scenario_DT!$R$11*(1+$M464/Scenario_DT!$C$19)*(1+$N464)^7*(Scenario_DT!$R$12+$O464)*(1+MIN(DCF_FCFF!$C$26+$Q464,(DCF_FCFF!$C$25+$P464)-0.02))*(1-DCF_FCFF!$C$27)*(1-DCF_FCFF!$C$28)/((DCF_FCFF!$C$25+$P464)-MIN(DCF_FCFF!$C$26+$Q464,(DCF_FCFF!$C$25+$P464)-0.02)))*(1+(DCF_FCFF!$C$25+$P464))^(-(Inputs!$C$9+9))</f>
        <v>31015.162020937671</v>
      </c>
      <c r="AC464" s="17">
        <f>SUMPRODUCT(R464:AA464*(1+(DCF_FCFF!$C$25+$P464))^(-Scenario_DT!$I$17:$R$17))+AB464</f>
        <v>47186.250954643008</v>
      </c>
      <c r="AD464" s="68">
        <f>((AC464-DCF_FCFF!$C$48)*(1-DCF_FCFF!$C$50)+DCF_FCFF!$C$57+DCF_FCFF!$C$58)/DCF_FCFF!$C$60</f>
        <v>356.48547021132833</v>
      </c>
      <c r="AE464" s="6"/>
      <c r="AF464" s="6"/>
      <c r="AG464" s="6"/>
    </row>
    <row r="465" spans="1:33" x14ac:dyDescent="0.3">
      <c r="A465" s="6"/>
      <c r="B465" s="72">
        <v>434</v>
      </c>
      <c r="C465" s="73">
        <v>0.270340970527639</v>
      </c>
      <c r="D465" s="73">
        <v>0.89374312871627204</v>
      </c>
      <c r="E465" s="73">
        <v>0.42597096481284902</v>
      </c>
      <c r="F465" s="73">
        <v>0.327807720693986</v>
      </c>
      <c r="G465" s="73">
        <v>0.50251204933514604</v>
      </c>
      <c r="H465" s="15">
        <f t="shared" si="61"/>
        <v>-0.61178208971966153</v>
      </c>
      <c r="I465" s="15">
        <f t="shared" si="62"/>
        <v>1.2466830328189382</v>
      </c>
      <c r="J465" s="15">
        <f t="shared" si="63"/>
        <v>-0.1866412405011007</v>
      </c>
      <c r="K465" s="15">
        <f t="shared" si="64"/>
        <v>-0.44597481078456735</v>
      </c>
      <c r="L465" s="15">
        <f t="shared" si="65"/>
        <v>6.2968155018331582E-3</v>
      </c>
      <c r="M465" s="18">
        <f t="shared" si="66"/>
        <v>-1.223564179439323E-2</v>
      </c>
      <c r="N465" s="18">
        <f t="shared" si="67"/>
        <v>6.1901450562271906E-3</v>
      </c>
      <c r="O465" s="18">
        <f t="shared" si="68"/>
        <v>-2.2396948860132085E-3</v>
      </c>
      <c r="P465" s="18">
        <f t="shared" si="69"/>
        <v>-2.675848864707404E-3</v>
      </c>
      <c r="Q465" s="18">
        <f t="shared" si="70"/>
        <v>2.5187262007332633E-5</v>
      </c>
      <c r="R465" s="28">
        <f>((Scenario_DT!I$11*(IF(Scenario_DT!I$18=1,1,1+$M465/Scenario_DT!$C$19)*(1+$N465)^MAX(0,Scenario_DT!I$18-3))*(Scenario_DT!I$12+$O465)-Scenario_DT!I$13)*(1-Scenario_DT!I$14)+Scenario_DT!I$13-Scenario_DT!I$15)*Scenario_DT!I$16</f>
        <v>907.8268087730263</v>
      </c>
      <c r="S465" s="28">
        <f>((Scenario_DT!J$11*(IF(Scenario_DT!J$18=1,1,1+$M465/Scenario_DT!$C$19)*(1+$N465)^MAX(0,Scenario_DT!J$18-3))*(Scenario_DT!J$12+$O465)-Scenario_DT!J$13)*(1-Scenario_DT!J$14)+Scenario_DT!J$13-Scenario_DT!J$15)*Scenario_DT!J$16</f>
        <v>1795.719189050722</v>
      </c>
      <c r="T465" s="28">
        <f>((Scenario_DT!K$11*(IF(Scenario_DT!K$18=1,1,1+$M465/Scenario_DT!$C$19)*(1+$N465)^MAX(0,Scenario_DT!K$18-3))*(Scenario_DT!K$12+$O465)-Scenario_DT!K$13)*(1-Scenario_DT!K$14)+Scenario_DT!K$13-Scenario_DT!K$15)*Scenario_DT!K$16</f>
        <v>2058.5731563575027</v>
      </c>
      <c r="U465" s="28">
        <f>((Scenario_DT!L$11*(IF(Scenario_DT!L$18=1,1,1+$M465/Scenario_DT!$C$19)*(1+$N465)^MAX(0,Scenario_DT!L$18-3))*(Scenario_DT!L$12+$O465)-Scenario_DT!L$13)*(1-Scenario_DT!L$14)+Scenario_DT!L$13-Scenario_DT!L$15)*Scenario_DT!L$16</f>
        <v>2472.5749989008204</v>
      </c>
      <c r="V465" s="28">
        <f>((Scenario_DT!M$11*(IF(Scenario_DT!M$18=1,1,1+$M465/Scenario_DT!$C$19)*(1+$N465)^MAX(0,Scenario_DT!M$18-3))*(Scenario_DT!M$12+$O465)-Scenario_DT!M$13)*(1-Scenario_DT!M$14)+Scenario_DT!M$13-Scenario_DT!M$15)*Scenario_DT!M$16</f>
        <v>2611.662877705754</v>
      </c>
      <c r="W465" s="28">
        <f>((Scenario_DT!N$11*(IF(Scenario_DT!N$18=1,1,1+$M465/Scenario_DT!$C$19)*(1+$N465)^MAX(0,Scenario_DT!N$18-3))*(Scenario_DT!N$12+$O465)-Scenario_DT!N$13)*(1-Scenario_DT!N$14)+Scenario_DT!N$13-Scenario_DT!N$15)*Scenario_DT!N$16</f>
        <v>2758.5762903107902</v>
      </c>
      <c r="X465" s="28">
        <f>((Scenario_DT!O$11*(IF(Scenario_DT!O$18=1,1,1+$M465/Scenario_DT!$C$19)*(1+$N465)^MAX(0,Scenario_DT!O$18-3))*(Scenario_DT!O$12+$O465)-Scenario_DT!O$13)*(1-Scenario_DT!O$14)+Scenario_DT!O$13-Scenario_DT!O$15)*Scenario_DT!O$16</f>
        <v>2913.7583717176822</v>
      </c>
      <c r="Y465" s="28">
        <f>((Scenario_DT!P$11*(IF(Scenario_DT!P$18=1,1,1+$M465/Scenario_DT!$C$19)*(1+$N465)^MAX(0,Scenario_DT!P$18-3))*(Scenario_DT!P$12+$O465)-Scenario_DT!P$13)*(1-Scenario_DT!P$14)+Scenario_DT!P$13-Scenario_DT!P$15)*Scenario_DT!P$16</f>
        <v>3077.677362720317</v>
      </c>
      <c r="Z465" s="28">
        <f>((Scenario_DT!Q$11*(IF(Scenario_DT!Q$18=1,1,1+$M465/Scenario_DT!$C$19)*(1+$N465)^MAX(0,Scenario_DT!Q$18-3))*(Scenario_DT!Q$12+$O465)-Scenario_DT!Q$13)*(1-Scenario_DT!Q$14)+Scenario_DT!Q$13-Scenario_DT!Q$15)*Scenario_DT!Q$16</f>
        <v>3250.8280316751402</v>
      </c>
      <c r="AA465" s="28">
        <f>((Scenario_DT!R$11*(IF(Scenario_DT!R$18=1,1,1+$M465/Scenario_DT!$C$19)*(1+$N465)^MAX(0,Scenario_DT!R$18-3))*(Scenario_DT!R$12+$O465)-Scenario_DT!R$13)*(1-Scenario_DT!R$14)+Scenario_DT!R$13-Scenario_DT!R$15)*Scenario_DT!R$16</f>
        <v>3433.7331767499586</v>
      </c>
      <c r="AB465" s="17">
        <f>(Scenario_DT!$R$11*(1+$M465/Scenario_DT!$C$19)*(1+$N465)^7*(Scenario_DT!$R$12+$O465)*(1+MIN(DCF_FCFF!$C$26+$Q465,(DCF_FCFF!$C$25+$P465)-0.02))*(1-DCF_FCFF!$C$27)*(1-DCF_FCFF!$C$28)/((DCF_FCFF!$C$25+$P465)-MIN(DCF_FCFF!$C$26+$Q465,(DCF_FCFF!$C$25+$P465)-0.02)))*(1+(DCF_FCFF!$C$25+$P465))^(-(Inputs!$C$9+9))</f>
        <v>31318.197206749861</v>
      </c>
      <c r="AC465" s="17">
        <f>SUMPRODUCT(R465:AA465*(1+(DCF_FCFF!$C$25+$P465))^(-Scenario_DT!$I$17:$R$17))+AB465</f>
        <v>47973.719314411312</v>
      </c>
      <c r="AD465" s="68">
        <f>((AC465-DCF_FCFF!$C$48)*(1-DCF_FCFF!$C$50)+DCF_FCFF!$C$57+DCF_FCFF!$C$58)/DCF_FCFF!$C$60</f>
        <v>364.04419667649091</v>
      </c>
      <c r="AE465" s="6"/>
      <c r="AF465" s="6"/>
      <c r="AG465" s="6"/>
    </row>
    <row r="466" spans="1:33" x14ac:dyDescent="0.3">
      <c r="A466" s="6"/>
      <c r="B466" s="72">
        <v>435</v>
      </c>
      <c r="C466" s="73">
        <v>0.41774328636284003</v>
      </c>
      <c r="D466" s="73">
        <v>0.25737231305514602</v>
      </c>
      <c r="E466" s="73">
        <v>0.50267932479606703</v>
      </c>
      <c r="F466" s="73">
        <v>0.15180173307883099</v>
      </c>
      <c r="G466" s="73">
        <v>0.35192994302296599</v>
      </c>
      <c r="H466" s="15">
        <f t="shared" si="61"/>
        <v>-0.2076700906536226</v>
      </c>
      <c r="I466" s="15">
        <f t="shared" si="62"/>
        <v>-0.651467692030266</v>
      </c>
      <c r="J466" s="15">
        <f t="shared" si="63"/>
        <v>6.7161217802913726E-3</v>
      </c>
      <c r="K466" s="15">
        <f t="shared" si="64"/>
        <v>-1.0287366001102505</v>
      </c>
      <c r="L466" s="15">
        <f t="shared" si="65"/>
        <v>-0.38011522306937628</v>
      </c>
      <c r="M466" s="18">
        <f t="shared" si="66"/>
        <v>-4.1534018130724524E-3</v>
      </c>
      <c r="N466" s="18">
        <f t="shared" si="67"/>
        <v>-5.3441809309587099E-3</v>
      </c>
      <c r="O466" s="18">
        <f t="shared" si="68"/>
        <v>8.0593461363496471E-5</v>
      </c>
      <c r="P466" s="18">
        <f t="shared" si="69"/>
        <v>-6.1724196006615033E-3</v>
      </c>
      <c r="Q466" s="18">
        <f t="shared" si="70"/>
        <v>-1.5204608922775051E-3</v>
      </c>
      <c r="R466" s="28">
        <f>((Scenario_DT!I$11*(IF(Scenario_DT!I$18=1,1,1+$M466/Scenario_DT!$C$19)*(1+$N466)^MAX(0,Scenario_DT!I$18-3))*(Scenario_DT!I$12+$O466)-Scenario_DT!I$13)*(1-Scenario_DT!I$14)+Scenario_DT!I$13-Scenario_DT!I$15)*Scenario_DT!I$16</f>
        <v>911.09816564164726</v>
      </c>
      <c r="S466" s="28">
        <f>((Scenario_DT!J$11*(IF(Scenario_DT!J$18=1,1,1+$M466/Scenario_DT!$C$19)*(1+$N466)^MAX(0,Scenario_DT!J$18-3))*(Scenario_DT!J$12+$O466)-Scenario_DT!J$13)*(1-Scenario_DT!J$14)+Scenario_DT!J$13-Scenario_DT!J$15)*Scenario_DT!J$16</f>
        <v>1822.205507286913</v>
      </c>
      <c r="T466" s="28">
        <f>((Scenario_DT!K$11*(IF(Scenario_DT!K$18=1,1,1+$M466/Scenario_DT!$C$19)*(1+$N466)^MAX(0,Scenario_DT!K$18-3))*(Scenario_DT!K$12+$O466)-Scenario_DT!K$13)*(1-Scenario_DT!K$14)+Scenario_DT!K$13-Scenario_DT!K$15)*Scenario_DT!K$16</f>
        <v>2086.2964708871477</v>
      </c>
      <c r="U466" s="28">
        <f>((Scenario_DT!L$11*(IF(Scenario_DT!L$18=1,1,1+$M466/Scenario_DT!$C$19)*(1+$N466)^MAX(0,Scenario_DT!L$18-3))*(Scenario_DT!L$12+$O466)-Scenario_DT!L$13)*(1-Scenario_DT!L$14)+Scenario_DT!L$13-Scenario_DT!L$15)*Scenario_DT!L$16</f>
        <v>2473.3161908732518</v>
      </c>
      <c r="V466" s="28">
        <f>((Scenario_DT!M$11*(IF(Scenario_DT!M$18=1,1,1+$M466/Scenario_DT!$C$19)*(1+$N466)^MAX(0,Scenario_DT!M$18-3))*(Scenario_DT!M$12+$O466)-Scenario_DT!M$13)*(1-Scenario_DT!M$14)+Scenario_DT!M$13-Scenario_DT!M$15)*Scenario_DT!M$16</f>
        <v>2582.2871374133128</v>
      </c>
      <c r="W466" s="28">
        <f>((Scenario_DT!N$11*(IF(Scenario_DT!N$18=1,1,1+$M466/Scenario_DT!$C$19)*(1+$N466)^MAX(0,Scenario_DT!N$18-3))*(Scenario_DT!N$12+$O466)-Scenario_DT!N$13)*(1-Scenario_DT!N$14)+Scenario_DT!N$13-Scenario_DT!N$15)*Scenario_DT!N$16</f>
        <v>2696.0433139247552</v>
      </c>
      <c r="X466" s="28">
        <f>((Scenario_DT!O$11*(IF(Scenario_DT!O$18=1,1,1+$M466/Scenario_DT!$C$19)*(1+$N466)^MAX(0,Scenario_DT!O$18-3))*(Scenario_DT!O$12+$O466)-Scenario_DT!O$13)*(1-Scenario_DT!O$14)+Scenario_DT!O$13-Scenario_DT!O$15)*Scenario_DT!O$16</f>
        <v>2814.7966559293009</v>
      </c>
      <c r="Y466" s="28">
        <f>((Scenario_DT!P$11*(IF(Scenario_DT!P$18=1,1,1+$M466/Scenario_DT!$C$19)*(1+$N466)^MAX(0,Scenario_DT!P$18-3))*(Scenario_DT!P$12+$O466)-Scenario_DT!P$13)*(1-Scenario_DT!P$14)+Scenario_DT!P$13-Scenario_DT!P$15)*Scenario_DT!P$16</f>
        <v>2938.7685043297383</v>
      </c>
      <c r="Z466" s="28">
        <f>((Scenario_DT!Q$11*(IF(Scenario_DT!Q$18=1,1,1+$M466/Scenario_DT!$C$19)*(1+$N466)^MAX(0,Scenario_DT!Q$18-3))*(Scenario_DT!Q$12+$O466)-Scenario_DT!Q$13)*(1-Scenario_DT!Q$14)+Scenario_DT!Q$13-Scenario_DT!Q$15)*Scenario_DT!Q$16</f>
        <v>3068.1900230278156</v>
      </c>
      <c r="AA466" s="28">
        <f>((Scenario_DT!R$11*(IF(Scenario_DT!R$18=1,1,1+$M466/Scenario_DT!$C$19)*(1+$N466)^MAX(0,Scenario_DT!R$18-3))*(Scenario_DT!R$12+$O466)-Scenario_DT!R$13)*(1-Scenario_DT!R$14)+Scenario_DT!R$13-Scenario_DT!R$15)*Scenario_DT!R$16</f>
        <v>3203.3026350890214</v>
      </c>
      <c r="AB466" s="17">
        <f>(Scenario_DT!$R$11*(1+$M466/Scenario_DT!$C$19)*(1+$N466)^7*(Scenario_DT!$R$12+$O466)*(1+MIN(DCF_FCFF!$C$26+$Q466,(DCF_FCFF!$C$25+$P466)-0.02))*(1-DCF_FCFF!$C$27)*(1-DCF_FCFF!$C$28)/((DCF_FCFF!$C$25+$P466)-MIN(DCF_FCFF!$C$26+$Q466,(DCF_FCFF!$C$25+$P466)-0.02)))*(1+(DCF_FCFF!$C$25+$P466))^(-(Inputs!$C$9+9))</f>
        <v>31377.475725066121</v>
      </c>
      <c r="AC466" s="17">
        <f>SUMPRODUCT(R466:AA466*(1+(DCF_FCFF!$C$25+$P466))^(-Scenario_DT!$I$17:$R$17))+AB466</f>
        <v>47926.76980949079</v>
      </c>
      <c r="AD466" s="68">
        <f>((AC466-DCF_FCFF!$C$48)*(1-DCF_FCFF!$C$50)+DCF_FCFF!$C$57+DCF_FCFF!$C$58)/DCF_FCFF!$C$60</f>
        <v>363.59353924884078</v>
      </c>
      <c r="AE466" s="6"/>
      <c r="AF466" s="6"/>
      <c r="AG466" s="6"/>
    </row>
    <row r="467" spans="1:33" x14ac:dyDescent="0.3">
      <c r="A467" s="6"/>
      <c r="B467" s="72">
        <v>436</v>
      </c>
      <c r="C467" s="73">
        <v>0.56579021937409102</v>
      </c>
      <c r="D467" s="73">
        <v>0.41340824438985901</v>
      </c>
      <c r="E467" s="73">
        <v>0.82391236105079702</v>
      </c>
      <c r="F467" s="73">
        <v>0.25672176153516602</v>
      </c>
      <c r="G467" s="73">
        <v>0.96977157883100995</v>
      </c>
      <c r="H467" s="15">
        <f t="shared" si="61"/>
        <v>0.16566630886234823</v>
      </c>
      <c r="I467" s="15">
        <f t="shared" si="62"/>
        <v>-0.21878633925874294</v>
      </c>
      <c r="J467" s="15">
        <f t="shared" si="63"/>
        <v>0.93037824595279539</v>
      </c>
      <c r="K467" s="15">
        <f t="shared" si="64"/>
        <v>-0.65348520713027247</v>
      </c>
      <c r="L467" s="15">
        <f t="shared" si="65"/>
        <v>1.8774470919144595</v>
      </c>
      <c r="M467" s="18">
        <f t="shared" si="66"/>
        <v>3.3133261772469646E-3</v>
      </c>
      <c r="N467" s="18">
        <f t="shared" si="67"/>
        <v>-8.5313098694318333E-4</v>
      </c>
      <c r="O467" s="18">
        <f t="shared" si="68"/>
        <v>1.1164538951433545E-2</v>
      </c>
      <c r="P467" s="18">
        <f t="shared" si="69"/>
        <v>-3.9209112427816351E-3</v>
      </c>
      <c r="Q467" s="18">
        <f t="shared" si="70"/>
        <v>7.5097883676578381E-3</v>
      </c>
      <c r="R467" s="28">
        <f>((Scenario_DT!I$11*(IF(Scenario_DT!I$18=1,1,1+$M467/Scenario_DT!$C$19)*(1+$N467)^MAX(0,Scenario_DT!I$18-3))*(Scenario_DT!I$12+$O467)-Scenario_DT!I$13)*(1-Scenario_DT!I$14)+Scenario_DT!I$13-Scenario_DT!I$15)*Scenario_DT!I$16</f>
        <v>926.72533596785217</v>
      </c>
      <c r="S467" s="28">
        <f>((Scenario_DT!J$11*(IF(Scenario_DT!J$18=1,1,1+$M467/Scenario_DT!$C$19)*(1+$N467)^MAX(0,Scenario_DT!J$18-3))*(Scenario_DT!J$12+$O467)-Scenario_DT!J$13)*(1-Scenario_DT!J$14)+Scenario_DT!J$13-Scenario_DT!J$15)*Scenario_DT!J$16</f>
        <v>1874.666876858405</v>
      </c>
      <c r="T467" s="28">
        <f>((Scenario_DT!K$11*(IF(Scenario_DT!K$18=1,1,1+$M467/Scenario_DT!$C$19)*(1+$N467)^MAX(0,Scenario_DT!K$18-3))*(Scenario_DT!K$12+$O467)-Scenario_DT!K$13)*(1-Scenario_DT!K$14)+Scenario_DT!K$13-Scenario_DT!K$15)*Scenario_DT!K$16</f>
        <v>2140.917519744783</v>
      </c>
      <c r="U467" s="28">
        <f>((Scenario_DT!L$11*(IF(Scenario_DT!L$18=1,1,1+$M467/Scenario_DT!$C$19)*(1+$N467)^MAX(0,Scenario_DT!L$18-3))*(Scenario_DT!L$12+$O467)-Scenario_DT!L$13)*(1-Scenario_DT!L$14)+Scenario_DT!L$13-Scenario_DT!L$15)*Scenario_DT!L$16</f>
        <v>2542.5057487144286</v>
      </c>
      <c r="V467" s="28">
        <f>((Scenario_DT!M$11*(IF(Scenario_DT!M$18=1,1,1+$M467/Scenario_DT!$C$19)*(1+$N467)^MAX(0,Scenario_DT!M$18-3))*(Scenario_DT!M$12+$O467)-Scenario_DT!M$13)*(1-Scenario_DT!M$14)+Scenario_DT!M$13-Scenario_DT!M$15)*Scenario_DT!M$16</f>
        <v>2666.6169450930497</v>
      </c>
      <c r="W467" s="28">
        <f>((Scenario_DT!N$11*(IF(Scenario_DT!N$18=1,1,1+$M467/Scenario_DT!$C$19)*(1+$N467)^MAX(0,Scenario_DT!N$18-3))*(Scenario_DT!N$12+$O467)-Scenario_DT!N$13)*(1-Scenario_DT!N$14)+Scenario_DT!N$13-Scenario_DT!N$15)*Scenario_DT!N$16</f>
        <v>2796.7780658866072</v>
      </c>
      <c r="X467" s="28">
        <f>((Scenario_DT!O$11*(IF(Scenario_DT!O$18=1,1,1+$M467/Scenario_DT!$C$19)*(1+$N467)^MAX(0,Scenario_DT!O$18-3))*(Scenario_DT!O$12+$O467)-Scenario_DT!O$13)*(1-Scenario_DT!O$14)+Scenario_DT!O$13-Scenario_DT!O$15)*Scenario_DT!O$16</f>
        <v>2933.2862857558216</v>
      </c>
      <c r="Y467" s="28">
        <f>((Scenario_DT!P$11*(IF(Scenario_DT!P$18=1,1,1+$M467/Scenario_DT!$C$19)*(1+$N467)^MAX(0,Scenario_DT!P$18-3))*(Scenario_DT!P$12+$O467)-Scenario_DT!P$13)*(1-Scenario_DT!P$14)+Scenario_DT!P$13-Scenario_DT!P$15)*Scenario_DT!P$16</f>
        <v>3076.4533973764951</v>
      </c>
      <c r="Z467" s="28">
        <f>((Scenario_DT!Q$11*(IF(Scenario_DT!Q$18=1,1,1+$M467/Scenario_DT!$C$19)*(1+$N467)^MAX(0,Scenario_DT!Q$18-3))*(Scenario_DT!Q$12+$O467)-Scenario_DT!Q$13)*(1-Scenario_DT!Q$14)+Scenario_DT!Q$13-Scenario_DT!Q$15)*Scenario_DT!Q$16</f>
        <v>3226.6065306082719</v>
      </c>
      <c r="AA467" s="28">
        <f>((Scenario_DT!R$11*(IF(Scenario_DT!R$18=1,1,1+$M467/Scenario_DT!$C$19)*(1+$N467)^MAX(0,Scenario_DT!R$18-3))*(Scenario_DT!R$12+$O467)-Scenario_DT!R$13)*(1-Scenario_DT!R$14)+Scenario_DT!R$13-Scenario_DT!R$15)*Scenario_DT!R$16</f>
        <v>3384.0889070413104</v>
      </c>
      <c r="AB467" s="17">
        <f>(Scenario_DT!$R$11*(1+$M467/Scenario_DT!$C$19)*(1+$N467)^7*(Scenario_DT!$R$12+$O467)*(1+MIN(DCF_FCFF!$C$26+$Q467,(DCF_FCFF!$C$25+$P467)-0.02))*(1-DCF_FCFF!$C$27)*(1-DCF_FCFF!$C$28)/((DCF_FCFF!$C$25+$P467)-MIN(DCF_FCFF!$C$26+$Q467,(DCF_FCFF!$C$25+$P467)-0.02)))*(1+(DCF_FCFF!$C$25+$P467))^(-(Inputs!$C$9+9))</f>
        <v>38471.627043727305</v>
      </c>
      <c r="AC467" s="17">
        <f>SUMPRODUCT(R467:AA467*(1+(DCF_FCFF!$C$25+$P467))^(-Scenario_DT!$I$17:$R$17))+AB467</f>
        <v>55472.293407327714</v>
      </c>
      <c r="AD467" s="68">
        <f>((AC467-DCF_FCFF!$C$48)*(1-DCF_FCFF!$C$50)+DCF_FCFF!$C$57+DCF_FCFF!$C$58)/DCF_FCFF!$C$60</f>
        <v>436.0212732713984</v>
      </c>
      <c r="AE467" s="6"/>
      <c r="AF467" s="6"/>
      <c r="AG467" s="6"/>
    </row>
    <row r="468" spans="1:33" x14ac:dyDescent="0.3">
      <c r="A468" s="6"/>
      <c r="B468" s="72">
        <v>437</v>
      </c>
      <c r="C468" s="73">
        <v>0.78472202085135101</v>
      </c>
      <c r="D468" s="73">
        <v>0.96759302599747199</v>
      </c>
      <c r="E468" s="73">
        <v>0.83813655483030403</v>
      </c>
      <c r="F468" s="73">
        <v>0.142103925851643</v>
      </c>
      <c r="G468" s="73">
        <v>0.52646009063501398</v>
      </c>
      <c r="H468" s="15">
        <f t="shared" si="61"/>
        <v>0.78824064583671205</v>
      </c>
      <c r="I468" s="15">
        <f t="shared" si="62"/>
        <v>1.8465392346436087</v>
      </c>
      <c r="J468" s="15">
        <f t="shared" si="63"/>
        <v>0.98682815373175314</v>
      </c>
      <c r="K468" s="15">
        <f t="shared" si="64"/>
        <v>-1.0709145528686437</v>
      </c>
      <c r="L468" s="15">
        <f t="shared" si="65"/>
        <v>6.6374315036228315E-2</v>
      </c>
      <c r="M468" s="18">
        <f t="shared" si="66"/>
        <v>1.576481291673424E-2</v>
      </c>
      <c r="N468" s="18">
        <f t="shared" si="67"/>
        <v>1.5946161673635165E-2</v>
      </c>
      <c r="O468" s="18">
        <f t="shared" si="68"/>
        <v>1.1841937844781039E-2</v>
      </c>
      <c r="P468" s="18">
        <f t="shared" si="69"/>
        <v>-6.4254873172118624E-3</v>
      </c>
      <c r="Q468" s="18">
        <f t="shared" si="70"/>
        <v>2.6549726014491327E-4</v>
      </c>
      <c r="R468" s="28">
        <f>((Scenario_DT!I$11*(IF(Scenario_DT!I$18=1,1,1+$M468/Scenario_DT!$C$19)*(1+$N468)^MAX(0,Scenario_DT!I$18-3))*(Scenario_DT!I$12+$O468)-Scenario_DT!I$13)*(1-Scenario_DT!I$14)+Scenario_DT!I$13-Scenario_DT!I$15)*Scenario_DT!I$16</f>
        <v>927.68039550821243</v>
      </c>
      <c r="S468" s="28">
        <f>((Scenario_DT!J$11*(IF(Scenario_DT!J$18=1,1,1+$M468/Scenario_DT!$C$19)*(1+$N468)^MAX(0,Scenario_DT!J$18-3))*(Scenario_DT!J$12+$O468)-Scenario_DT!J$13)*(1-Scenario_DT!J$14)+Scenario_DT!J$13-Scenario_DT!J$15)*Scenario_DT!J$16</f>
        <v>1907.1035486942446</v>
      </c>
      <c r="T468" s="28">
        <f>((Scenario_DT!K$11*(IF(Scenario_DT!K$18=1,1,1+$M468/Scenario_DT!$C$19)*(1+$N468)^MAX(0,Scenario_DT!K$18-3))*(Scenario_DT!K$12+$O468)-Scenario_DT!K$13)*(1-Scenario_DT!K$14)+Scenario_DT!K$13-Scenario_DT!K$15)*Scenario_DT!K$16</f>
        <v>2174.9559127516027</v>
      </c>
      <c r="U468" s="28">
        <f>((Scenario_DT!L$11*(IF(Scenario_DT!L$18=1,1,1+$M468/Scenario_DT!$C$19)*(1+$N468)^MAX(0,Scenario_DT!L$18-3))*(Scenario_DT!L$12+$O468)-Scenario_DT!L$13)*(1-Scenario_DT!L$14)+Scenario_DT!L$13-Scenario_DT!L$15)*Scenario_DT!L$16</f>
        <v>2622.2557421625502</v>
      </c>
      <c r="V468" s="28">
        <f>((Scenario_DT!M$11*(IF(Scenario_DT!M$18=1,1,1+$M468/Scenario_DT!$C$19)*(1+$N468)^MAX(0,Scenario_DT!M$18-3))*(Scenario_DT!M$12+$O468)-Scenario_DT!M$13)*(1-Scenario_DT!M$14)+Scenario_DT!M$13-Scenario_DT!M$15)*Scenario_DT!M$16</f>
        <v>2796.8353032285386</v>
      </c>
      <c r="W468" s="28">
        <f>((Scenario_DT!N$11*(IF(Scenario_DT!N$18=1,1,1+$M468/Scenario_DT!$C$19)*(1+$N468)^MAX(0,Scenario_DT!N$18-3))*(Scenario_DT!N$12+$O468)-Scenario_DT!N$13)*(1-Scenario_DT!N$14)+Scenario_DT!N$13-Scenario_DT!N$15)*Scenario_DT!N$16</f>
        <v>2983.0500603102714</v>
      </c>
      <c r="X468" s="28">
        <f>((Scenario_DT!O$11*(IF(Scenario_DT!O$18=1,1,1+$M468/Scenario_DT!$C$19)*(1+$N468)^MAX(0,Scenario_DT!O$18-3))*(Scenario_DT!O$12+$O468)-Scenario_DT!O$13)*(1-Scenario_DT!O$14)+Scenario_DT!O$13-Scenario_DT!O$15)*Scenario_DT!O$16</f>
        <v>3181.6788245503762</v>
      </c>
      <c r="Y468" s="28">
        <f>((Scenario_DT!P$11*(IF(Scenario_DT!P$18=1,1,1+$M468/Scenario_DT!$C$19)*(1+$N468)^MAX(0,Scenario_DT!P$18-3))*(Scenario_DT!P$12+$O468)-Scenario_DT!P$13)*(1-Scenario_DT!P$14)+Scenario_DT!P$13-Scenario_DT!P$15)*Scenario_DT!P$16</f>
        <v>3393.5525164883989</v>
      </c>
      <c r="Z468" s="28">
        <f>((Scenario_DT!Q$11*(IF(Scenario_DT!Q$18=1,1,1+$M468/Scenario_DT!$C$19)*(1+$N468)^MAX(0,Scenario_DT!Q$18-3))*(Scenario_DT!Q$12+$O468)-Scenario_DT!Q$13)*(1-Scenario_DT!Q$14)+Scenario_DT!Q$13-Scenario_DT!Q$15)*Scenario_DT!Q$16</f>
        <v>3619.5576500108164</v>
      </c>
      <c r="AA468" s="28">
        <f>((Scenario_DT!R$11*(IF(Scenario_DT!R$18=1,1,1+$M468/Scenario_DT!$C$19)*(1+$N468)^MAX(0,Scenario_DT!R$18-3))*(Scenario_DT!R$12+$O468)-Scenario_DT!R$13)*(1-Scenario_DT!R$14)+Scenario_DT!R$13-Scenario_DT!R$15)*Scenario_DT!R$16</f>
        <v>3860.6400490987644</v>
      </c>
      <c r="AB468" s="17">
        <f>(Scenario_DT!$R$11*(1+$M468/Scenario_DT!$C$19)*(1+$N468)^7*(Scenario_DT!$R$12+$O468)*(1+MIN(DCF_FCFF!$C$26+$Q468,(DCF_FCFF!$C$25+$P468)-0.02))*(1-DCF_FCFF!$C$27)*(1-DCF_FCFF!$C$28)/((DCF_FCFF!$C$25+$P468)-MIN(DCF_FCFF!$C$26+$Q468,(DCF_FCFF!$C$25+$P468)-0.02)))*(1+(DCF_FCFF!$C$25+$P468))^(-(Inputs!$C$9+9))</f>
        <v>39677.330654822064</v>
      </c>
      <c r="AC468" s="17">
        <f>SUMPRODUCT(R468:AA468*(1+(DCF_FCFF!$C$25+$P468))^(-Scenario_DT!$I$17:$R$17))+AB468</f>
        <v>57974.79010131488</v>
      </c>
      <c r="AD468" s="68">
        <f>((AC468-DCF_FCFF!$C$48)*(1-DCF_FCFF!$C$50)+DCF_FCFF!$C$57+DCF_FCFF!$C$58)/DCF_FCFF!$C$60</f>
        <v>460.04215964121784</v>
      </c>
      <c r="AE468" s="6"/>
      <c r="AF468" s="6"/>
      <c r="AG468" s="6"/>
    </row>
    <row r="469" spans="1:33" x14ac:dyDescent="0.3">
      <c r="A469" s="6"/>
      <c r="B469" s="72">
        <v>438</v>
      </c>
      <c r="C469" s="73">
        <v>0.16997852119578599</v>
      </c>
      <c r="D469" s="73">
        <v>0.81822735262725699</v>
      </c>
      <c r="E469" s="73">
        <v>0.58416214918329601</v>
      </c>
      <c r="F469" s="73">
        <v>0.26344931435690599</v>
      </c>
      <c r="G469" s="73">
        <v>0.92959897200717101</v>
      </c>
      <c r="H469" s="15">
        <f t="shared" si="61"/>
        <v>-0.95425013508139922</v>
      </c>
      <c r="I469" s="15">
        <f t="shared" si="62"/>
        <v>0.9086303231010272</v>
      </c>
      <c r="J469" s="15">
        <f t="shared" si="63"/>
        <v>0.21255291357450803</v>
      </c>
      <c r="K469" s="15">
        <f t="shared" si="64"/>
        <v>-0.63274737280050353</v>
      </c>
      <c r="L469" s="15">
        <f t="shared" si="65"/>
        <v>1.4728108125572619</v>
      </c>
      <c r="M469" s="18">
        <f t="shared" si="66"/>
        <v>-1.9085002701627985E-2</v>
      </c>
      <c r="N469" s="18">
        <f t="shared" si="67"/>
        <v>2.4781749993092197E-3</v>
      </c>
      <c r="O469" s="18">
        <f t="shared" si="68"/>
        <v>2.5506349628940965E-3</v>
      </c>
      <c r="P469" s="18">
        <f t="shared" si="69"/>
        <v>-3.7964842368030213E-3</v>
      </c>
      <c r="Q469" s="18">
        <f t="shared" si="70"/>
        <v>5.8912432502290476E-3</v>
      </c>
      <c r="R469" s="28">
        <f>((Scenario_DT!I$11*(IF(Scenario_DT!I$18=1,1,1+$M469/Scenario_DT!$C$19)*(1+$N469)^MAX(0,Scenario_DT!I$18-3))*(Scenario_DT!I$12+$O469)-Scenario_DT!I$13)*(1-Scenario_DT!I$14)+Scenario_DT!I$13-Scenario_DT!I$15)*Scenario_DT!I$16</f>
        <v>914.58065834172362</v>
      </c>
      <c r="S469" s="28">
        <f>((Scenario_DT!J$11*(IF(Scenario_DT!J$18=1,1,1+$M469/Scenario_DT!$C$19)*(1+$N469)^MAX(0,Scenario_DT!J$18-3))*(Scenario_DT!J$12+$O469)-Scenario_DT!J$13)*(1-Scenario_DT!J$14)+Scenario_DT!J$13-Scenario_DT!J$15)*Scenario_DT!J$16</f>
        <v>1793.9420312377943</v>
      </c>
      <c r="T469" s="28">
        <f>((Scenario_DT!K$11*(IF(Scenario_DT!K$18=1,1,1+$M469/Scenario_DT!$C$19)*(1+$N469)^MAX(0,Scenario_DT!K$18-3))*(Scenario_DT!K$12+$O469)-Scenario_DT!K$13)*(1-Scenario_DT!K$14)+Scenario_DT!K$13-Scenario_DT!K$15)*Scenario_DT!K$16</f>
        <v>2056.4985472803378</v>
      </c>
      <c r="U469" s="28">
        <f>((Scenario_DT!L$11*(IF(Scenario_DT!L$18=1,1,1+$M469/Scenario_DT!$C$19)*(1+$N469)^MAX(0,Scenario_DT!L$18-3))*(Scenario_DT!L$12+$O469)-Scenario_DT!L$13)*(1-Scenario_DT!L$14)+Scenario_DT!L$13-Scenario_DT!L$15)*Scenario_DT!L$16</f>
        <v>2461.1828541387185</v>
      </c>
      <c r="V469" s="28">
        <f>((Scenario_DT!M$11*(IF(Scenario_DT!M$18=1,1,1+$M469/Scenario_DT!$C$19)*(1+$N469)^MAX(0,Scenario_DT!M$18-3))*(Scenario_DT!M$12+$O469)-Scenario_DT!M$13)*(1-Scenario_DT!M$14)+Scenario_DT!M$13-Scenario_DT!M$15)*Scenario_DT!M$16</f>
        <v>2589.9686808140345</v>
      </c>
      <c r="W469" s="28">
        <f>((Scenario_DT!N$11*(IF(Scenario_DT!N$18=1,1,1+$M469/Scenario_DT!$C$19)*(1+$N469)^MAX(0,Scenario_DT!N$18-3))*(Scenario_DT!N$12+$O469)-Scenario_DT!N$13)*(1-Scenario_DT!N$14)+Scenario_DT!N$13-Scenario_DT!N$15)*Scenario_DT!N$16</f>
        <v>2725.48992696503</v>
      </c>
      <c r="X469" s="28">
        <f>((Scenario_DT!O$11*(IF(Scenario_DT!O$18=1,1,1+$M469/Scenario_DT!$C$19)*(1+$N469)^MAX(0,Scenario_DT!O$18-3))*(Scenario_DT!O$12+$O469)-Scenario_DT!O$13)*(1-Scenario_DT!O$14)+Scenario_DT!O$13-Scenario_DT!O$15)*Scenario_DT!O$16</f>
        <v>2868.1014119213501</v>
      </c>
      <c r="Y469" s="28">
        <f>((Scenario_DT!P$11*(IF(Scenario_DT!P$18=1,1,1+$M469/Scenario_DT!$C$19)*(1+$N469)^MAX(0,Scenario_DT!P$18-3))*(Scenario_DT!P$12+$O469)-Scenario_DT!P$13)*(1-Scenario_DT!P$14)+Scenario_DT!P$13-Scenario_DT!P$15)*Scenario_DT!P$16</f>
        <v>3018.1766652307874</v>
      </c>
      <c r="Z469" s="28">
        <f>((Scenario_DT!Q$11*(IF(Scenario_DT!Q$18=1,1,1+$M469/Scenario_DT!$C$19)*(1+$N469)^MAX(0,Scenario_DT!Q$18-3))*(Scenario_DT!Q$12+$O469)-Scenario_DT!Q$13)*(1-Scenario_DT!Q$14)+Scenario_DT!Q$13-Scenario_DT!Q$15)*Scenario_DT!Q$16</f>
        <v>3176.1089131356134</v>
      </c>
      <c r="AA469" s="28">
        <f>((Scenario_DT!R$11*(IF(Scenario_DT!R$18=1,1,1+$M469/Scenario_DT!$C$19)*(1+$N469)^MAX(0,Scenario_DT!R$18-3))*(Scenario_DT!R$12+$O469)-Scenario_DT!R$13)*(1-Scenario_DT!R$14)+Scenario_DT!R$13-Scenario_DT!R$15)*Scenario_DT!R$16</f>
        <v>3342.3121170435838</v>
      </c>
      <c r="AB469" s="17">
        <f>(Scenario_DT!$R$11*(1+$M469/Scenario_DT!$C$19)*(1+$N469)^7*(Scenario_DT!$R$12+$O469)*(1+MIN(DCF_FCFF!$C$26+$Q469,(DCF_FCFF!$C$25+$P469)-0.02))*(1-DCF_FCFF!$C$27)*(1-DCF_FCFF!$C$28)/((DCF_FCFF!$C$25+$P469)-MIN(DCF_FCFF!$C$26+$Q469,(DCF_FCFF!$C$25+$P469)-0.02)))*(1+(DCF_FCFF!$C$25+$P469))^(-(Inputs!$C$9+9))</f>
        <v>36278.066027949331</v>
      </c>
      <c r="AC469" s="17">
        <f>SUMPRODUCT(R469:AA469*(1+(DCF_FCFF!$C$25+$P469))^(-Scenario_DT!$I$17:$R$17))+AB469</f>
        <v>52827.621121147706</v>
      </c>
      <c r="AD469" s="68">
        <f>((AC469-DCF_FCFF!$C$48)*(1-DCF_FCFF!$C$50)+DCF_FCFF!$C$57+DCF_FCFF!$C$58)/DCF_FCFF!$C$60</f>
        <v>410.63567630962012</v>
      </c>
      <c r="AE469" s="6"/>
      <c r="AF469" s="6"/>
      <c r="AG469" s="6"/>
    </row>
    <row r="470" spans="1:33" x14ac:dyDescent="0.3">
      <c r="A470" s="6"/>
      <c r="B470" s="72">
        <v>439</v>
      </c>
      <c r="C470" s="73">
        <v>0.115186053314261</v>
      </c>
      <c r="D470" s="73">
        <v>0.563862403471314</v>
      </c>
      <c r="E470" s="73">
        <v>0.72104055466672601</v>
      </c>
      <c r="F470" s="73">
        <v>5.8848537332431797E-2</v>
      </c>
      <c r="G470" s="73">
        <v>0.59785603320620395</v>
      </c>
      <c r="H470" s="15">
        <f t="shared" si="61"/>
        <v>-1.1994008773292828</v>
      </c>
      <c r="I470" s="15">
        <f t="shared" si="62"/>
        <v>0.16076918910271934</v>
      </c>
      <c r="J470" s="15">
        <f t="shared" si="63"/>
        <v>0.58593545435288419</v>
      </c>
      <c r="K470" s="15">
        <f t="shared" si="64"/>
        <v>-1.5645132888170197</v>
      </c>
      <c r="L470" s="15">
        <f t="shared" si="65"/>
        <v>0.24780157845101419</v>
      </c>
      <c r="M470" s="18">
        <f t="shared" si="66"/>
        <v>-2.3988017546585656E-2</v>
      </c>
      <c r="N470" s="18">
        <f t="shared" si="67"/>
        <v>-3.6837618940468971E-3</v>
      </c>
      <c r="O470" s="18">
        <f t="shared" si="68"/>
        <v>7.0312254522346103E-3</v>
      </c>
      <c r="P470" s="18">
        <f t="shared" si="69"/>
        <v>-9.3870797329021188E-3</v>
      </c>
      <c r="Q470" s="18">
        <f t="shared" si="70"/>
        <v>9.9120631380405686E-4</v>
      </c>
      <c r="R470" s="28">
        <f>((Scenario_DT!I$11*(IF(Scenario_DT!I$18=1,1,1+$M470/Scenario_DT!$C$19)*(1+$N470)^MAX(0,Scenario_DT!I$18-3))*(Scenario_DT!I$12+$O470)-Scenario_DT!I$13)*(1-Scenario_DT!I$14)+Scenario_DT!I$13-Scenario_DT!I$15)*Scenario_DT!I$16</f>
        <v>920.89780874648045</v>
      </c>
      <c r="S470" s="28">
        <f>((Scenario_DT!J$11*(IF(Scenario_DT!J$18=1,1,1+$M470/Scenario_DT!$C$19)*(1+$N470)^MAX(0,Scenario_DT!J$18-3))*(Scenario_DT!J$12+$O470)-Scenario_DT!J$13)*(1-Scenario_DT!J$14)+Scenario_DT!J$13-Scenario_DT!J$15)*Scenario_DT!J$16</f>
        <v>1795.721201399218</v>
      </c>
      <c r="T470" s="28">
        <f>((Scenario_DT!K$11*(IF(Scenario_DT!K$18=1,1,1+$M470/Scenario_DT!$C$19)*(1+$N470)^MAX(0,Scenario_DT!K$18-3))*(Scenario_DT!K$12+$O470)-Scenario_DT!K$13)*(1-Scenario_DT!K$14)+Scenario_DT!K$13-Scenario_DT!K$15)*Scenario_DT!K$16</f>
        <v>2058.1756385661483</v>
      </c>
      <c r="U470" s="28">
        <f>((Scenario_DT!L$11*(IF(Scenario_DT!L$18=1,1,1+$M470/Scenario_DT!$C$19)*(1+$N470)^MAX(0,Scenario_DT!L$18-3))*(Scenario_DT!L$12+$O470)-Scenario_DT!L$13)*(1-Scenario_DT!L$14)+Scenario_DT!L$13-Scenario_DT!L$15)*Scenario_DT!L$16</f>
        <v>2447.7251033865846</v>
      </c>
      <c r="V470" s="28">
        <f>((Scenario_DT!M$11*(IF(Scenario_DT!M$18=1,1,1+$M470/Scenario_DT!$C$19)*(1+$N470)^MAX(0,Scenario_DT!M$18-3))*(Scenario_DT!M$12+$O470)-Scenario_DT!M$13)*(1-Scenario_DT!M$14)+Scenario_DT!M$13-Scenario_DT!M$15)*Scenario_DT!M$16</f>
        <v>2559.8569792904227</v>
      </c>
      <c r="W470" s="28">
        <f>((Scenario_DT!N$11*(IF(Scenario_DT!N$18=1,1,1+$M470/Scenario_DT!$C$19)*(1+$N470)^MAX(0,Scenario_DT!N$18-3))*(Scenario_DT!N$12+$O470)-Scenario_DT!N$13)*(1-Scenario_DT!N$14)+Scenario_DT!N$13-Scenario_DT!N$15)*Scenario_DT!N$16</f>
        <v>2677.1126184094664</v>
      </c>
      <c r="X470" s="28">
        <f>((Scenario_DT!O$11*(IF(Scenario_DT!O$18=1,1,1+$M470/Scenario_DT!$C$19)*(1+$N470)^MAX(0,Scenario_DT!O$18-3))*(Scenario_DT!O$12+$O470)-Scenario_DT!O$13)*(1-Scenario_DT!O$14)+Scenario_DT!O$13-Scenario_DT!O$15)*Scenario_DT!O$16</f>
        <v>2799.7281277642751</v>
      </c>
      <c r="Y470" s="28">
        <f>((Scenario_DT!P$11*(IF(Scenario_DT!P$18=1,1,1+$M470/Scenario_DT!$C$19)*(1+$N470)^MAX(0,Scenario_DT!P$18-3))*(Scenario_DT!P$12+$O470)-Scenario_DT!P$13)*(1-Scenario_DT!P$14)+Scenario_DT!P$13-Scenario_DT!P$15)*Scenario_DT!P$16</f>
        <v>2927.9505145492553</v>
      </c>
      <c r="Z470" s="28">
        <f>((Scenario_DT!Q$11*(IF(Scenario_DT!Q$18=1,1,1+$M470/Scenario_DT!$C$19)*(1+$N470)^MAX(0,Scenario_DT!Q$18-3))*(Scenario_DT!Q$12+$O470)-Scenario_DT!Q$13)*(1-Scenario_DT!Q$14)+Scenario_DT!Q$13-Scenario_DT!Q$15)*Scenario_DT!Q$16</f>
        <v>3062.038189563305</v>
      </c>
      <c r="AA470" s="28">
        <f>((Scenario_DT!R$11*(IF(Scenario_DT!R$18=1,1,1+$M470/Scenario_DT!$C$19)*(1+$N470)^MAX(0,Scenario_DT!R$18-3))*(Scenario_DT!R$12+$O470)-Scenario_DT!R$13)*(1-Scenario_DT!R$14)+Scenario_DT!R$13-Scenario_DT!R$15)*Scenario_DT!R$16</f>
        <v>3202.2614938942106</v>
      </c>
      <c r="AB470" s="17">
        <f>(Scenario_DT!$R$11*(1+$M470/Scenario_DT!$C$19)*(1+$N470)^7*(Scenario_DT!$R$12+$O470)*(1+MIN(DCF_FCFF!$C$26+$Q470,(DCF_FCFF!$C$25+$P470)-0.02))*(1-DCF_FCFF!$C$27)*(1-DCF_FCFF!$C$28)/((DCF_FCFF!$C$25+$P470)-MIN(DCF_FCFF!$C$26+$Q470,(DCF_FCFF!$C$25+$P470)-0.02)))*(1+(DCF_FCFF!$C$25+$P470))^(-(Inputs!$C$9+9))</f>
        <v>36967.59545774135</v>
      </c>
      <c r="AC470" s="17">
        <f>SUMPRODUCT(R470:AA470*(1+(DCF_FCFF!$C$25+$P470))^(-Scenario_DT!$I$17:$R$17))+AB470</f>
        <v>53637.339422459569</v>
      </c>
      <c r="AD470" s="68">
        <f>((AC470-DCF_FCFF!$C$48)*(1-DCF_FCFF!$C$50)+DCF_FCFF!$C$57+DCF_FCFF!$C$58)/DCF_FCFF!$C$60</f>
        <v>418.40797481219522</v>
      </c>
      <c r="AE470" s="6"/>
      <c r="AF470" s="6"/>
      <c r="AG470" s="6"/>
    </row>
    <row r="471" spans="1:33" x14ac:dyDescent="0.3">
      <c r="A471" s="6"/>
      <c r="B471" s="72">
        <v>440</v>
      </c>
      <c r="C471" s="73">
        <v>0.81590121546309402</v>
      </c>
      <c r="D471" s="73">
        <v>6.7527314418053402E-2</v>
      </c>
      <c r="E471" s="73">
        <v>0.51224297110662698</v>
      </c>
      <c r="F471" s="73">
        <v>0.25855717814874002</v>
      </c>
      <c r="G471" s="73">
        <v>0.66292445153692103</v>
      </c>
      <c r="H471" s="15">
        <f t="shared" si="61"/>
        <v>0.89985472075967265</v>
      </c>
      <c r="I471" s="15">
        <f t="shared" si="62"/>
        <v>-1.494463064714427</v>
      </c>
      <c r="J471" s="15">
        <f t="shared" si="63"/>
        <v>3.0693396156217991E-2</v>
      </c>
      <c r="K471" s="15">
        <f t="shared" si="64"/>
        <v>-0.64779993677958514</v>
      </c>
      <c r="L471" s="15">
        <f t="shared" si="65"/>
        <v>0.42045773760655186</v>
      </c>
      <c r="M471" s="18">
        <f t="shared" si="66"/>
        <v>1.7997094415193454E-2</v>
      </c>
      <c r="N471" s="18">
        <f t="shared" si="67"/>
        <v>-6.7545249494432389E-3</v>
      </c>
      <c r="O471" s="18">
        <f t="shared" si="68"/>
        <v>3.6832075387461589E-4</v>
      </c>
      <c r="P471" s="18">
        <f t="shared" si="69"/>
        <v>-3.8867996206775109E-3</v>
      </c>
      <c r="Q471" s="18">
        <f t="shared" si="70"/>
        <v>1.6818309504262074E-3</v>
      </c>
      <c r="R471" s="28">
        <f>((Scenario_DT!I$11*(IF(Scenario_DT!I$18=1,1,1+$M471/Scenario_DT!$C$19)*(1+$N471)^MAX(0,Scenario_DT!I$18-3))*(Scenario_DT!I$12+$O471)-Scenario_DT!I$13)*(1-Scenario_DT!I$14)+Scenario_DT!I$13-Scenario_DT!I$15)*Scenario_DT!I$16</f>
        <v>911.5038301599003</v>
      </c>
      <c r="S471" s="28">
        <f>((Scenario_DT!J$11*(IF(Scenario_DT!J$18=1,1,1+$M471/Scenario_DT!$C$19)*(1+$N471)^MAX(0,Scenario_DT!J$18-3))*(Scenario_DT!J$12+$O471)-Scenario_DT!J$13)*(1-Scenario_DT!J$14)+Scenario_DT!J$13-Scenario_DT!J$15)*Scenario_DT!J$16</f>
        <v>1876.2010068518121</v>
      </c>
      <c r="T471" s="28">
        <f>((Scenario_DT!K$11*(IF(Scenario_DT!K$18=1,1,1+$M471/Scenario_DT!$C$19)*(1+$N471)^MAX(0,Scenario_DT!K$18-3))*(Scenario_DT!K$12+$O471)-Scenario_DT!K$13)*(1-Scenario_DT!K$14)+Scenario_DT!K$13-Scenario_DT!K$15)*Scenario_DT!K$16</f>
        <v>2143.00665720918</v>
      </c>
      <c r="U471" s="28">
        <f>((Scenario_DT!L$11*(IF(Scenario_DT!L$18=1,1,1+$M471/Scenario_DT!$C$19)*(1+$N471)^MAX(0,Scenario_DT!L$18-3))*(Scenario_DT!L$12+$O471)-Scenario_DT!L$13)*(1-Scenario_DT!L$14)+Scenario_DT!L$13-Scenario_DT!L$15)*Scenario_DT!L$16</f>
        <v>2529.5921540000613</v>
      </c>
      <c r="V471" s="28">
        <f>((Scenario_DT!M$11*(IF(Scenario_DT!M$18=1,1,1+$M471/Scenario_DT!$C$19)*(1+$N471)^MAX(0,Scenario_DT!M$18-3))*(Scenario_DT!M$12+$O471)-Scenario_DT!M$13)*(1-Scenario_DT!M$14)+Scenario_DT!M$13-Scenario_DT!M$15)*Scenario_DT!M$16</f>
        <v>2637.290148044739</v>
      </c>
      <c r="W471" s="28">
        <f>((Scenario_DT!N$11*(IF(Scenario_DT!N$18=1,1,1+$M471/Scenario_DT!$C$19)*(1+$N471)^MAX(0,Scenario_DT!N$18-3))*(Scenario_DT!N$12+$O471)-Scenario_DT!N$13)*(1-Scenario_DT!N$14)+Scenario_DT!N$13-Scenario_DT!N$15)*Scenario_DT!N$16</f>
        <v>2749.5550638809918</v>
      </c>
      <c r="X471" s="28">
        <f>((Scenario_DT!O$11*(IF(Scenario_DT!O$18=1,1,1+$M471/Scenario_DT!$C$19)*(1+$N471)^MAX(0,Scenario_DT!O$18-3))*(Scenario_DT!O$12+$O471)-Scenario_DT!O$13)*(1-Scenario_DT!O$14)+Scenario_DT!O$13-Scenario_DT!O$15)*Scenario_DT!O$16</f>
        <v>2866.5822040061798</v>
      </c>
      <c r="Y471" s="28">
        <f>((Scenario_DT!P$11*(IF(Scenario_DT!P$18=1,1,1+$M471/Scenario_DT!$C$19)*(1+$N471)^MAX(0,Scenario_DT!P$18-3))*(Scenario_DT!P$12+$O471)-Scenario_DT!P$13)*(1-Scenario_DT!P$14)+Scenario_DT!P$13-Scenario_DT!P$15)*Scenario_DT!P$16</f>
        <v>2988.5752400893675</v>
      </c>
      <c r="Z471" s="28">
        <f>((Scenario_DT!Q$11*(IF(Scenario_DT!Q$18=1,1,1+$M471/Scenario_DT!$C$19)*(1+$N471)^MAX(0,Scenario_DT!Q$18-3))*(Scenario_DT!Q$12+$O471)-Scenario_DT!Q$13)*(1-Scenario_DT!Q$14)+Scenario_DT!Q$13-Scenario_DT!Q$15)*Scenario_DT!Q$16</f>
        <v>3115.7465718114354</v>
      </c>
      <c r="AA471" s="28">
        <f>((Scenario_DT!R$11*(IF(Scenario_DT!R$18=1,1,1+$M471/Scenario_DT!$C$19)*(1+$N471)^MAX(0,Scenario_DT!R$18-3))*(Scenario_DT!R$12+$O471)-Scenario_DT!R$13)*(1-Scenario_DT!R$14)+Scenario_DT!R$13-Scenario_DT!R$15)*Scenario_DT!R$16</f>
        <v>3248.3177010945546</v>
      </c>
      <c r="AB471" s="17">
        <f>(Scenario_DT!$R$11*(1+$M471/Scenario_DT!$C$19)*(1+$N471)^7*(Scenario_DT!$R$12+$O471)*(1+MIN(DCF_FCFF!$C$26+$Q471,(DCF_FCFF!$C$25+$P471)-0.02))*(1-DCF_FCFF!$C$27)*(1-DCF_FCFF!$C$28)/((DCF_FCFF!$C$25+$P471)-MIN(DCF_FCFF!$C$26+$Q471,(DCF_FCFF!$C$25+$P471)-0.02)))*(1+(DCF_FCFF!$C$25+$P471))^(-(Inputs!$C$9+9))</f>
        <v>31922.149481981851</v>
      </c>
      <c r="AC471" s="17">
        <f>SUMPRODUCT(R471:AA471*(1+(DCF_FCFF!$C$25+$P471))^(-Scenario_DT!$I$17:$R$17))+AB471</f>
        <v>48634.522121503862</v>
      </c>
      <c r="AD471" s="68">
        <f>((AC471-DCF_FCFF!$C$48)*(1-DCF_FCFF!$C$50)+DCF_FCFF!$C$57+DCF_FCFF!$C$58)/DCF_FCFF!$C$60</f>
        <v>370.38708982802495</v>
      </c>
      <c r="AE471" s="6"/>
      <c r="AF471" s="6"/>
      <c r="AG471" s="6"/>
    </row>
    <row r="472" spans="1:33" x14ac:dyDescent="0.3">
      <c r="A472" s="6"/>
      <c r="B472" s="72">
        <v>441</v>
      </c>
      <c r="C472" s="73">
        <v>0.11867736707884501</v>
      </c>
      <c r="D472" s="73">
        <v>0.937051430670507</v>
      </c>
      <c r="E472" s="73">
        <v>0.89472858171473202</v>
      </c>
      <c r="F472" s="73">
        <v>0.18597441987570901</v>
      </c>
      <c r="G472" s="73">
        <v>0.32326588436510501</v>
      </c>
      <c r="H472" s="15">
        <f t="shared" si="61"/>
        <v>-1.1816244839529073</v>
      </c>
      <c r="I472" s="15">
        <f t="shared" si="62"/>
        <v>1.5304833217519678</v>
      </c>
      <c r="J472" s="15">
        <f t="shared" si="63"/>
        <v>1.2520741760024765</v>
      </c>
      <c r="K472" s="15">
        <f t="shared" si="64"/>
        <v>-0.89282883931275059</v>
      </c>
      <c r="L472" s="15">
        <f t="shared" si="65"/>
        <v>-0.45858561479277227</v>
      </c>
      <c r="M472" s="18">
        <f t="shared" si="66"/>
        <v>-2.3632489679058146E-2</v>
      </c>
      <c r="N472" s="18">
        <f t="shared" si="67"/>
        <v>5.8770015578331449E-3</v>
      </c>
      <c r="O472" s="18">
        <f t="shared" si="68"/>
        <v>1.5024890112029718E-2</v>
      </c>
      <c r="P472" s="18">
        <f t="shared" si="69"/>
        <v>-5.3569730358765033E-3</v>
      </c>
      <c r="Q472" s="18">
        <f t="shared" si="70"/>
        <v>-1.834342459171089E-3</v>
      </c>
      <c r="R472" s="28">
        <f>((Scenario_DT!I$11*(IF(Scenario_DT!I$18=1,1,1+$M472/Scenario_DT!$C$19)*(1+$N472)^MAX(0,Scenario_DT!I$18-3))*(Scenario_DT!I$12+$O472)-Scenario_DT!I$13)*(1-Scenario_DT!I$14)+Scenario_DT!I$13-Scenario_DT!I$15)*Scenario_DT!I$16</f>
        <v>932.16801566702986</v>
      </c>
      <c r="S472" s="28">
        <f>((Scenario_DT!J$11*(IF(Scenario_DT!J$18=1,1,1+$M472/Scenario_DT!$C$19)*(1+$N472)^MAX(0,Scenario_DT!J$18-3))*(Scenario_DT!J$12+$O472)-Scenario_DT!J$13)*(1-Scenario_DT!J$14)+Scenario_DT!J$13-Scenario_DT!J$15)*Scenario_DT!J$16</f>
        <v>1820.7994323319494</v>
      </c>
      <c r="T472" s="28">
        <f>((Scenario_DT!K$11*(IF(Scenario_DT!K$18=1,1,1+$M472/Scenario_DT!$C$19)*(1+$N472)^MAX(0,Scenario_DT!K$18-3))*(Scenario_DT!K$12+$O472)-Scenario_DT!K$13)*(1-Scenario_DT!K$14)+Scenario_DT!K$13-Scenario_DT!K$15)*Scenario_DT!K$16</f>
        <v>2084.1769903598943</v>
      </c>
      <c r="U472" s="28">
        <f>((Scenario_DT!L$11*(IF(Scenario_DT!L$18=1,1,1+$M472/Scenario_DT!$C$19)*(1+$N472)^MAX(0,Scenario_DT!L$18-3))*(Scenario_DT!L$12+$O472)-Scenario_DT!L$13)*(1-Scenario_DT!L$14)+Scenario_DT!L$13-Scenario_DT!L$15)*Scenario_DT!L$16</f>
        <v>2499.145572070684</v>
      </c>
      <c r="V472" s="28">
        <f>((Scenario_DT!M$11*(IF(Scenario_DT!M$18=1,1,1+$M472/Scenario_DT!$C$19)*(1+$N472)^MAX(0,Scenario_DT!M$18-3))*(Scenario_DT!M$12+$O472)-Scenario_DT!M$13)*(1-Scenario_DT!M$14)+Scenario_DT!M$13-Scenario_DT!M$15)*Scenario_DT!M$16</f>
        <v>2638.9074098028536</v>
      </c>
      <c r="W472" s="28">
        <f>((Scenario_DT!N$11*(IF(Scenario_DT!N$18=1,1,1+$M472/Scenario_DT!$C$19)*(1+$N472)^MAX(0,Scenario_DT!N$18-3))*(Scenario_DT!N$12+$O472)-Scenario_DT!N$13)*(1-Scenario_DT!N$14)+Scenario_DT!N$13-Scenario_DT!N$15)*Scenario_DT!N$16</f>
        <v>2786.4863913636486</v>
      </c>
      <c r="X472" s="28">
        <f>((Scenario_DT!O$11*(IF(Scenario_DT!O$18=1,1,1+$M472/Scenario_DT!$C$19)*(1+$N472)^MAX(0,Scenario_DT!O$18-3))*(Scenario_DT!O$12+$O472)-Scenario_DT!O$13)*(1-Scenario_DT!O$14)+Scenario_DT!O$13-Scenario_DT!O$15)*Scenario_DT!O$16</f>
        <v>2942.3225675538197</v>
      </c>
      <c r="Y472" s="28">
        <f>((Scenario_DT!P$11*(IF(Scenario_DT!P$18=1,1,1+$M472/Scenario_DT!$C$19)*(1+$N472)^MAX(0,Scenario_DT!P$18-3))*(Scenario_DT!P$12+$O472)-Scenario_DT!P$13)*(1-Scenario_DT!P$14)+Scenario_DT!P$13-Scenario_DT!P$15)*Scenario_DT!P$16</f>
        <v>3106.8807740944681</v>
      </c>
      <c r="Z472" s="28">
        <f>((Scenario_DT!Q$11*(IF(Scenario_DT!Q$18=1,1,1+$M472/Scenario_DT!$C$19)*(1+$N472)^MAX(0,Scenario_DT!Q$18-3))*(Scenario_DT!Q$12+$O472)-Scenario_DT!Q$13)*(1-Scenario_DT!Q$14)+Scenario_DT!Q$13-Scenario_DT!Q$15)*Scenario_DT!Q$16</f>
        <v>3280.652027032801</v>
      </c>
      <c r="AA472" s="28">
        <f>((Scenario_DT!R$11*(IF(Scenario_DT!R$18=1,1,1+$M472/Scenario_DT!$C$19)*(1+$N472)^MAX(0,Scenario_DT!R$18-3))*(Scenario_DT!R$12+$O472)-Scenario_DT!R$13)*(1-Scenario_DT!R$14)+Scenario_DT!R$13-Scenario_DT!R$15)*Scenario_DT!R$16</f>
        <v>3464.1549966740895</v>
      </c>
      <c r="AB472" s="17">
        <f>(Scenario_DT!$R$11*(1+$M472/Scenario_DT!$C$19)*(1+$N472)^7*(Scenario_DT!$R$12+$O472)*(1+MIN(DCF_FCFF!$C$26+$Q472,(DCF_FCFF!$C$25+$P472)-0.02))*(1-DCF_FCFF!$C$27)*(1-DCF_FCFF!$C$28)/((DCF_FCFF!$C$25+$P472)-MIN(DCF_FCFF!$C$26+$Q472,(DCF_FCFF!$C$25+$P472)-0.02)))*(1+(DCF_FCFF!$C$25+$P472))^(-(Inputs!$C$9+9))</f>
        <v>32848.591999631964</v>
      </c>
      <c r="AC472" s="17">
        <f>SUMPRODUCT(R472:AA472*(1+(DCF_FCFF!$C$25+$P472))^(-Scenario_DT!$I$17:$R$17))+AB472</f>
        <v>49889.481976850446</v>
      </c>
      <c r="AD472" s="68">
        <f>((AC472-DCF_FCFF!$C$48)*(1-DCF_FCFF!$C$50)+DCF_FCFF!$C$57+DCF_FCFF!$C$58)/DCF_FCFF!$C$60</f>
        <v>382.43315892230044</v>
      </c>
      <c r="AE472" s="6"/>
      <c r="AF472" s="6"/>
      <c r="AG472" s="6"/>
    </row>
    <row r="473" spans="1:33" x14ac:dyDescent="0.3">
      <c r="A473" s="6"/>
      <c r="B473" s="72">
        <v>442</v>
      </c>
      <c r="C473" s="73">
        <v>0.58763497465304304</v>
      </c>
      <c r="D473" s="73">
        <v>0.71806233663425101</v>
      </c>
      <c r="E473" s="73">
        <v>0.44265601516025799</v>
      </c>
      <c r="F473" s="73">
        <v>0.156291321960975</v>
      </c>
      <c r="G473" s="73">
        <v>0.104151493802872</v>
      </c>
      <c r="H473" s="15">
        <f t="shared" si="61"/>
        <v>0.2214654306039191</v>
      </c>
      <c r="I473" s="15">
        <f t="shared" si="62"/>
        <v>0.57709493350095042</v>
      </c>
      <c r="J473" s="15">
        <f t="shared" si="63"/>
        <v>-0.14423863914748977</v>
      </c>
      <c r="K473" s="15">
        <f t="shared" si="64"/>
        <v>-1.0098176885045327</v>
      </c>
      <c r="L473" s="15">
        <f t="shared" si="65"/>
        <v>-1.2582454912332426</v>
      </c>
      <c r="M473" s="18">
        <f t="shared" si="66"/>
        <v>4.4293086120783818E-3</v>
      </c>
      <c r="N473" s="18">
        <f t="shared" si="67"/>
        <v>4.8840927048725913E-3</v>
      </c>
      <c r="O473" s="18">
        <f t="shared" si="68"/>
        <v>-1.7308636697698774E-3</v>
      </c>
      <c r="P473" s="18">
        <f t="shared" si="69"/>
        <v>-6.0589061310271962E-3</v>
      </c>
      <c r="Q473" s="18">
        <f t="shared" si="70"/>
        <v>-5.0329819649329701E-3</v>
      </c>
      <c r="R473" s="28">
        <f>((Scenario_DT!I$11*(IF(Scenario_DT!I$18=1,1,1+$M473/Scenario_DT!$C$19)*(1+$N473)^MAX(0,Scenario_DT!I$18-3))*(Scenario_DT!I$12+$O473)-Scenario_DT!I$13)*(1-Scenario_DT!I$14)+Scenario_DT!I$13-Scenario_DT!I$15)*Scenario_DT!I$16</f>
        <v>908.5442060293235</v>
      </c>
      <c r="S473" s="28">
        <f>((Scenario_DT!J$11*(IF(Scenario_DT!J$18=1,1,1+$M473/Scenario_DT!$C$19)*(1+$N473)^MAX(0,Scenario_DT!J$18-3))*(Scenario_DT!J$12+$O473)-Scenario_DT!J$13)*(1-Scenario_DT!J$14)+Scenario_DT!J$13-Scenario_DT!J$15)*Scenario_DT!J$16</f>
        <v>1837.118171014105</v>
      </c>
      <c r="T473" s="28">
        <f>((Scenario_DT!K$11*(IF(Scenario_DT!K$18=1,1,1+$M473/Scenario_DT!$C$19)*(1+$N473)^MAX(0,Scenario_DT!K$18-3))*(Scenario_DT!K$12+$O473)-Scenario_DT!K$13)*(1-Scenario_DT!K$14)+Scenario_DT!K$13-Scenario_DT!K$15)*Scenario_DT!K$16</f>
        <v>2102.0427046334758</v>
      </c>
      <c r="U473" s="28">
        <f>((Scenario_DT!L$11*(IF(Scenario_DT!L$18=1,1,1+$M473/Scenario_DT!$C$19)*(1+$N473)^MAX(0,Scenario_DT!L$18-3))*(Scenario_DT!L$12+$O473)-Scenario_DT!L$13)*(1-Scenario_DT!L$14)+Scenario_DT!L$13-Scenario_DT!L$15)*Scenario_DT!L$16</f>
        <v>2515.7240424307461</v>
      </c>
      <c r="V473" s="28">
        <f>((Scenario_DT!M$11*(IF(Scenario_DT!M$18=1,1,1+$M473/Scenario_DT!$C$19)*(1+$N473)^MAX(0,Scenario_DT!M$18-3))*(Scenario_DT!M$12+$O473)-Scenario_DT!M$13)*(1-Scenario_DT!M$14)+Scenario_DT!M$13-Scenario_DT!M$15)*Scenario_DT!M$16</f>
        <v>2653.7767350768545</v>
      </c>
      <c r="W473" s="28">
        <f>((Scenario_DT!N$11*(IF(Scenario_DT!N$18=1,1,1+$M473/Scenario_DT!$C$19)*(1+$N473)^MAX(0,Scenario_DT!N$18-3))*(Scenario_DT!N$12+$O473)-Scenario_DT!N$13)*(1-Scenario_DT!N$14)+Scenario_DT!N$13-Scenario_DT!N$15)*Scenario_DT!N$16</f>
        <v>2799.4050082101689</v>
      </c>
      <c r="X473" s="28">
        <f>((Scenario_DT!O$11*(IF(Scenario_DT!O$18=1,1,1+$M473/Scenario_DT!$C$19)*(1+$N473)^MAX(0,Scenario_DT!O$18-3))*(Scenario_DT!O$12+$O473)-Scenario_DT!O$13)*(1-Scenario_DT!O$14)+Scenario_DT!O$13-Scenario_DT!O$15)*Scenario_DT!O$16</f>
        <v>2953.0273193816224</v>
      </c>
      <c r="Y473" s="28">
        <f>((Scenario_DT!P$11*(IF(Scenario_DT!P$18=1,1,1+$M473/Scenario_DT!$C$19)*(1+$N473)^MAX(0,Scenario_DT!P$18-3))*(Scenario_DT!P$12+$O473)-Scenario_DT!P$13)*(1-Scenario_DT!P$14)+Scenario_DT!P$13-Scenario_DT!P$15)*Scenario_DT!P$16</f>
        <v>3115.0852557780313</v>
      </c>
      <c r="Z473" s="28">
        <f>((Scenario_DT!Q$11*(IF(Scenario_DT!Q$18=1,1,1+$M473/Scenario_DT!$C$19)*(1+$N473)^MAX(0,Scenario_DT!Q$18-3))*(Scenario_DT!Q$12+$O473)-Scenario_DT!Q$13)*(1-Scenario_DT!Q$14)+Scenario_DT!Q$13-Scenario_DT!Q$15)*Scenario_DT!Q$16</f>
        <v>3286.0448122618395</v>
      </c>
      <c r="AA473" s="28">
        <f>((Scenario_DT!R$11*(IF(Scenario_DT!R$18=1,1,1+$M473/Scenario_DT!$C$19)*(1+$N473)^MAX(0,Scenario_DT!R$18-3))*(Scenario_DT!R$12+$O473)-Scenario_DT!R$13)*(1-Scenario_DT!R$14)+Scenario_DT!R$13-Scenario_DT!R$15)*Scenario_DT!R$16</f>
        <v>3466.3977400000713</v>
      </c>
      <c r="AB473" s="17">
        <f>(Scenario_DT!$R$11*(1+$M473/Scenario_DT!$C$19)*(1+$N473)^7*(Scenario_DT!$R$12+$O473)*(1+MIN(DCF_FCFF!$C$26+$Q473,(DCF_FCFF!$C$25+$P473)-0.02))*(1-DCF_FCFF!$C$27)*(1-DCF_FCFF!$C$28)/((DCF_FCFF!$C$25+$P473)-MIN(DCF_FCFF!$C$26+$Q473,(DCF_FCFF!$C$25+$P473)-0.02)))*(1+(DCF_FCFF!$C$25+$P473))^(-(Inputs!$C$9+9))</f>
        <v>31302.594368551654</v>
      </c>
      <c r="AC473" s="17">
        <f>SUMPRODUCT(R473:AA473*(1+(DCF_FCFF!$C$25+$P473))^(-Scenario_DT!$I$17:$R$17))+AB473</f>
        <v>48449.884060496246</v>
      </c>
      <c r="AD473" s="68">
        <f>((AC473-DCF_FCFF!$C$48)*(1-DCF_FCFF!$C$50)+DCF_FCFF!$C$57+DCF_FCFF!$C$58)/DCF_FCFF!$C$60</f>
        <v>368.61479182912484</v>
      </c>
      <c r="AE473" s="6"/>
      <c r="AF473" s="6"/>
      <c r="AG473" s="6"/>
    </row>
    <row r="474" spans="1:33" x14ac:dyDescent="0.3">
      <c r="A474" s="6"/>
      <c r="B474" s="72">
        <v>443</v>
      </c>
      <c r="C474" s="73">
        <v>0.999</v>
      </c>
      <c r="D474" s="73">
        <v>0.45535212144348702</v>
      </c>
      <c r="E474" s="73">
        <v>0.87253174914849796</v>
      </c>
      <c r="F474" s="73">
        <v>0.48237600462911501</v>
      </c>
      <c r="G474" s="73">
        <v>0.92235763854600294</v>
      </c>
      <c r="H474" s="15">
        <f t="shared" si="61"/>
        <v>3.0902323061678132</v>
      </c>
      <c r="I474" s="15">
        <f t="shared" si="62"/>
        <v>-0.11215029045983557</v>
      </c>
      <c r="J474" s="15">
        <f t="shared" si="63"/>
        <v>1.1384407133361352</v>
      </c>
      <c r="K474" s="15">
        <f t="shared" si="64"/>
        <v>-4.4191184101183972E-2</v>
      </c>
      <c r="L474" s="15">
        <f t="shared" si="65"/>
        <v>1.4211102077456321</v>
      </c>
      <c r="M474" s="18">
        <f t="shared" si="66"/>
        <v>6.1804646123356267E-2</v>
      </c>
      <c r="N474" s="18">
        <f t="shared" si="67"/>
        <v>1.1583929220031083E-2</v>
      </c>
      <c r="O474" s="18">
        <f t="shared" si="68"/>
        <v>1.3661288560033623E-2</v>
      </c>
      <c r="P474" s="18">
        <f t="shared" si="69"/>
        <v>-2.6514710460710382E-4</v>
      </c>
      <c r="Q474" s="18">
        <f t="shared" si="70"/>
        <v>5.6844408309825283E-3</v>
      </c>
      <c r="R474" s="28">
        <f>((Scenario_DT!I$11*(IF(Scenario_DT!I$18=1,1,1+$M474/Scenario_DT!$C$19)*(1+$N474)^MAX(0,Scenario_DT!I$18-3))*(Scenario_DT!I$12+$O474)-Scenario_DT!I$13)*(1-Scenario_DT!I$14)+Scenario_DT!I$13-Scenario_DT!I$15)*Scenario_DT!I$16</f>
        <v>930.24548422466478</v>
      </c>
      <c r="S474" s="28">
        <f>((Scenario_DT!J$11*(IF(Scenario_DT!J$18=1,1,1+$M474/Scenario_DT!$C$19)*(1+$N474)^MAX(0,Scenario_DT!J$18-3))*(Scenario_DT!J$12+$O474)-Scenario_DT!J$13)*(1-Scenario_DT!J$14)+Scenario_DT!J$13-Scenario_DT!J$15)*Scenario_DT!J$16</f>
        <v>2025.2534915828533</v>
      </c>
      <c r="T474" s="28">
        <f>((Scenario_DT!K$11*(IF(Scenario_DT!K$18=1,1,1+$M474/Scenario_DT!$C$19)*(1+$N474)^MAX(0,Scenario_DT!K$18-3))*(Scenario_DT!K$12+$O474)-Scenario_DT!K$13)*(1-Scenario_DT!K$14)+Scenario_DT!K$13-Scenario_DT!K$15)*Scenario_DT!K$16</f>
        <v>2298.9634032277777</v>
      </c>
      <c r="U474" s="28">
        <f>((Scenario_DT!L$11*(IF(Scenario_DT!L$18=1,1,1+$M474/Scenario_DT!$C$19)*(1+$N474)^MAX(0,Scenario_DT!L$18-3))*(Scenario_DT!L$12+$O474)-Scenario_DT!L$13)*(1-Scenario_DT!L$14)+Scenario_DT!L$13-Scenario_DT!L$15)*Scenario_DT!L$16</f>
        <v>2744.1174805579785</v>
      </c>
      <c r="V474" s="28">
        <f>((Scenario_DT!M$11*(IF(Scenario_DT!M$18=1,1,1+$M474/Scenario_DT!$C$19)*(1+$N474)^MAX(0,Scenario_DT!M$18-3))*(Scenario_DT!M$12+$O474)-Scenario_DT!M$13)*(1-Scenario_DT!M$14)+Scenario_DT!M$13-Scenario_DT!M$15)*Scenario_DT!M$16</f>
        <v>2914.1842218745542</v>
      </c>
      <c r="W474" s="28">
        <f>((Scenario_DT!N$11*(IF(Scenario_DT!N$18=1,1,1+$M474/Scenario_DT!$C$19)*(1+$N474)^MAX(0,Scenario_DT!N$18-3))*(Scenario_DT!N$12+$O474)-Scenario_DT!N$13)*(1-Scenario_DT!N$14)+Scenario_DT!N$13-Scenario_DT!N$15)*Scenario_DT!N$16</f>
        <v>3094.7988247328876</v>
      </c>
      <c r="X474" s="28">
        <f>((Scenario_DT!O$11*(IF(Scenario_DT!O$18=1,1,1+$M474/Scenario_DT!$C$19)*(1+$N474)^MAX(0,Scenario_DT!O$18-3))*(Scenario_DT!O$12+$O474)-Scenario_DT!O$13)*(1-Scenario_DT!O$14)+Scenario_DT!O$13-Scenario_DT!O$15)*Scenario_DT!O$16</f>
        <v>3286.6186593015273</v>
      </c>
      <c r="Y474" s="28">
        <f>((Scenario_DT!P$11*(IF(Scenario_DT!P$18=1,1,1+$M474/Scenario_DT!$C$19)*(1+$N474)^MAX(0,Scenario_DT!P$18-3))*(Scenario_DT!P$12+$O474)-Scenario_DT!P$13)*(1-Scenario_DT!P$14)+Scenario_DT!P$13-Scenario_DT!P$15)*Scenario_DT!P$16</f>
        <v>3490.3420619353424</v>
      </c>
      <c r="Z474" s="28">
        <f>((Scenario_DT!Q$11*(IF(Scenario_DT!Q$18=1,1,1+$M474/Scenario_DT!$C$19)*(1+$N474)^MAX(0,Scenario_DT!Q$18-3))*(Scenario_DT!Q$12+$O474)-Scenario_DT!Q$13)*(1-Scenario_DT!Q$14)+Scenario_DT!Q$13-Scenario_DT!Q$15)*Scenario_DT!Q$16</f>
        <v>3706.7108865487016</v>
      </c>
      <c r="AA474" s="28">
        <f>((Scenario_DT!R$11*(IF(Scenario_DT!R$18=1,1,1+$M474/Scenario_DT!$C$19)*(1+$N474)^MAX(0,Scenario_DT!R$18-3))*(Scenario_DT!R$12+$O474)-Scenario_DT!R$13)*(1-Scenario_DT!R$14)+Scenario_DT!R$13-Scenario_DT!R$15)*Scenario_DT!R$16</f>
        <v>3936.513214804037</v>
      </c>
      <c r="AB474" s="17">
        <f>(Scenario_DT!$R$11*(1+$M474/Scenario_DT!$C$19)*(1+$N474)^7*(Scenario_DT!$R$12+$O474)*(1+MIN(DCF_FCFF!$C$26+$Q474,(DCF_FCFF!$C$25+$P474)-0.02))*(1-DCF_FCFF!$C$27)*(1-DCF_FCFF!$C$28)/((DCF_FCFF!$C$25+$P474)-MIN(DCF_FCFF!$C$26+$Q474,(DCF_FCFF!$C$25+$P474)-0.02)))*(1+(DCF_FCFF!$C$25+$P474))^(-(Inputs!$C$9+9))</f>
        <v>37894.412918753456</v>
      </c>
      <c r="AC474" s="17">
        <f>SUMPRODUCT(R474:AA474*(1+(DCF_FCFF!$C$25+$P474))^(-Scenario_DT!$I$17:$R$17))+AB474</f>
        <v>56368.622241802244</v>
      </c>
      <c r="AD474" s="68">
        <f>((AC474-DCF_FCFF!$C$48)*(1-DCF_FCFF!$C$50)+DCF_FCFF!$C$57+DCF_FCFF!$C$58)/DCF_FCFF!$C$60</f>
        <v>444.62492622911765</v>
      </c>
      <c r="AE474" s="6"/>
      <c r="AF474" s="6"/>
      <c r="AG474" s="6"/>
    </row>
    <row r="475" spans="1:33" x14ac:dyDescent="0.3">
      <c r="A475" s="6"/>
      <c r="B475" s="72">
        <v>444</v>
      </c>
      <c r="C475" s="73">
        <v>8.7759382771550598E-2</v>
      </c>
      <c r="D475" s="73">
        <v>0.114019191334551</v>
      </c>
      <c r="E475" s="73">
        <v>0.92963218772422396</v>
      </c>
      <c r="F475" s="73">
        <v>0.94749304504478504</v>
      </c>
      <c r="G475" s="73">
        <v>0.31471744746536301</v>
      </c>
      <c r="H475" s="15">
        <f t="shared" si="61"/>
        <v>-1.354682406717824</v>
      </c>
      <c r="I475" s="15">
        <f t="shared" si="62"/>
        <v>-1.2054273131641271</v>
      </c>
      <c r="J475" s="15">
        <f t="shared" si="63"/>
        <v>1.4730571565640838</v>
      </c>
      <c r="K475" s="15">
        <f t="shared" si="64"/>
        <v>1.6210173867611912</v>
      </c>
      <c r="L475" s="15">
        <f t="shared" si="65"/>
        <v>-0.48252239276361591</v>
      </c>
      <c r="M475" s="18">
        <f t="shared" si="66"/>
        <v>-2.7093648134356482E-2</v>
      </c>
      <c r="N475" s="18">
        <f t="shared" si="67"/>
        <v>-1.3770175031797329E-2</v>
      </c>
      <c r="O475" s="18">
        <f t="shared" si="68"/>
        <v>1.7676685878769006E-2</v>
      </c>
      <c r="P475" s="18">
        <f t="shared" si="69"/>
        <v>9.7261043205671468E-3</v>
      </c>
      <c r="Q475" s="18">
        <f t="shared" si="70"/>
        <v>-1.9300895710544638E-3</v>
      </c>
      <c r="R475" s="28">
        <f>((Scenario_DT!I$11*(IF(Scenario_DT!I$18=1,1,1+$M475/Scenario_DT!$C$19)*(1+$N475)^MAX(0,Scenario_DT!I$18-3))*(Scenario_DT!I$12+$O475)-Scenario_DT!I$13)*(1-Scenario_DT!I$14)+Scenario_DT!I$13-Scenario_DT!I$15)*Scenario_DT!I$16</f>
        <v>935.90676232130318</v>
      </c>
      <c r="S475" s="28">
        <f>((Scenario_DT!J$11*(IF(Scenario_DT!J$18=1,1,1+$M475/Scenario_DT!$C$19)*(1+$N475)^MAX(0,Scenario_DT!J$18-3))*(Scenario_DT!J$12+$O475)-Scenario_DT!J$13)*(1-Scenario_DT!J$14)+Scenario_DT!J$13-Scenario_DT!J$15)*Scenario_DT!J$16</f>
        <v>1820.3375081884406</v>
      </c>
      <c r="T475" s="28">
        <f>((Scenario_DT!K$11*(IF(Scenario_DT!K$18=1,1,1+$M475/Scenario_DT!$C$19)*(1+$N475)^MAX(0,Scenario_DT!K$18-3))*(Scenario_DT!K$12+$O475)-Scenario_DT!K$13)*(1-Scenario_DT!K$14)+Scenario_DT!K$13-Scenario_DT!K$15)*Scenario_DT!K$16</f>
        <v>2083.5805996110016</v>
      </c>
      <c r="U475" s="28">
        <f>((Scenario_DT!L$11*(IF(Scenario_DT!L$18=1,1,1+$M475/Scenario_DT!$C$19)*(1+$N475)^MAX(0,Scenario_DT!L$18-3))*(Scenario_DT!L$12+$O475)-Scenario_DT!L$13)*(1-Scenario_DT!L$14)+Scenario_DT!L$13-Scenario_DT!L$15)*Scenario_DT!L$16</f>
        <v>2449.3771783603797</v>
      </c>
      <c r="V475" s="28">
        <f>((Scenario_DT!M$11*(IF(Scenario_DT!M$18=1,1,1+$M475/Scenario_DT!$C$19)*(1+$N475)^MAX(0,Scenario_DT!M$18-3))*(Scenario_DT!M$12+$O475)-Scenario_DT!M$13)*(1-Scenario_DT!M$14)+Scenario_DT!M$13-Scenario_DT!M$15)*Scenario_DT!M$16</f>
        <v>2535.4658488553541</v>
      </c>
      <c r="W475" s="28">
        <f>((Scenario_DT!N$11*(IF(Scenario_DT!N$18=1,1,1+$M475/Scenario_DT!$C$19)*(1+$N475)^MAX(0,Scenario_DT!N$18-3))*(Scenario_DT!N$12+$O475)-Scenario_DT!N$13)*(1-Scenario_DT!N$14)+Scenario_DT!N$13-Scenario_DT!N$15)*Scenario_DT!N$16</f>
        <v>2624.5485375805824</v>
      </c>
      <c r="X475" s="28">
        <f>((Scenario_DT!O$11*(IF(Scenario_DT!O$18=1,1,1+$M475/Scenario_DT!$C$19)*(1+$N475)^MAX(0,Scenario_DT!O$18-3))*(Scenario_DT!O$12+$O475)-Scenario_DT!O$13)*(1-Scenario_DT!O$14)+Scenario_DT!O$13-Scenario_DT!O$15)*Scenario_DT!O$16</f>
        <v>2716.7301083920206</v>
      </c>
      <c r="Y475" s="28">
        <f>((Scenario_DT!P$11*(IF(Scenario_DT!P$18=1,1,1+$M475/Scenario_DT!$C$19)*(1+$N475)^MAX(0,Scenario_DT!P$18-3))*(Scenario_DT!P$12+$O475)-Scenario_DT!P$13)*(1-Scenario_DT!P$14)+Scenario_DT!P$13-Scenario_DT!P$15)*Scenario_DT!P$16</f>
        <v>2812.119098165052</v>
      </c>
      <c r="Z475" s="28">
        <f>((Scenario_DT!Q$11*(IF(Scenario_DT!Q$18=1,1,1+$M475/Scenario_DT!$C$19)*(1+$N475)^MAX(0,Scenario_DT!Q$18-3))*(Scenario_DT!Q$12+$O475)-Scenario_DT!Q$13)*(1-Scenario_DT!Q$14)+Scenario_DT!Q$13-Scenario_DT!Q$15)*Scenario_DT!Q$16</f>
        <v>2910.8278451445708</v>
      </c>
      <c r="AA475" s="28">
        <f>((Scenario_DT!R$11*(IF(Scenario_DT!R$18=1,1,1+$M475/Scenario_DT!$C$19)*(1+$N475)^MAX(0,Scenario_DT!R$18-3))*(Scenario_DT!R$12+$O475)-Scenario_DT!R$13)*(1-Scenario_DT!R$14)+Scenario_DT!R$13-Scenario_DT!R$15)*Scenario_DT!R$16</f>
        <v>3012.9726217643365</v>
      </c>
      <c r="AB475" s="17">
        <f>(Scenario_DT!$R$11*(1+$M475/Scenario_DT!$C$19)*(1+$N475)^7*(Scenario_DT!$R$12+$O475)*(1+MIN(DCF_FCFF!$C$26+$Q475,(DCF_FCFF!$C$25+$P475)-0.02))*(1-DCF_FCFF!$C$27)*(1-DCF_FCFF!$C$28)/((DCF_FCFF!$C$25+$P475)-MIN(DCF_FCFF!$C$26+$Q475,(DCF_FCFF!$C$25+$P475)-0.02)))*(1+(DCF_FCFF!$C$25+$P475))^(-(Inputs!$C$9+9))</f>
        <v>18957.756613246886</v>
      </c>
      <c r="AC475" s="17">
        <f>SUMPRODUCT(R475:AA475*(1+(DCF_FCFF!$C$25+$P475))^(-Scenario_DT!$I$17:$R$17))+AB475</f>
        <v>34095.047698946466</v>
      </c>
      <c r="AD475" s="68">
        <f>((AC475-DCF_FCFF!$C$48)*(1-DCF_FCFF!$C$50)+DCF_FCFF!$C$57+DCF_FCFF!$C$58)/DCF_FCFF!$C$60</f>
        <v>230.82604112801866</v>
      </c>
      <c r="AE475" s="6"/>
      <c r="AF475" s="6"/>
      <c r="AG475" s="6"/>
    </row>
    <row r="476" spans="1:33" x14ac:dyDescent="0.3">
      <c r="A476" s="6"/>
      <c r="B476" s="72">
        <v>445</v>
      </c>
      <c r="C476" s="73">
        <v>0.355164886993872</v>
      </c>
      <c r="D476" s="73">
        <v>0.45245023483475799</v>
      </c>
      <c r="E476" s="73">
        <v>0.41616168006729098</v>
      </c>
      <c r="F476" s="73">
        <v>0.190045215959597</v>
      </c>
      <c r="G476" s="73">
        <v>0.89837538393937499</v>
      </c>
      <c r="H476" s="15">
        <f t="shared" si="61"/>
        <v>-0.37141322878243516</v>
      </c>
      <c r="I476" s="15">
        <f t="shared" si="62"/>
        <v>-0.1194732019840377</v>
      </c>
      <c r="J476" s="15">
        <f t="shared" si="63"/>
        <v>-0.21172272227128661</v>
      </c>
      <c r="K476" s="15">
        <f t="shared" si="64"/>
        <v>-0.87772968326575251</v>
      </c>
      <c r="L476" s="15">
        <f t="shared" si="65"/>
        <v>1.2723487572876864</v>
      </c>
      <c r="M476" s="18">
        <f t="shared" si="66"/>
        <v>-7.4282645756487036E-3</v>
      </c>
      <c r="N476" s="18">
        <f t="shared" si="67"/>
        <v>-2.3133875390469092E-3</v>
      </c>
      <c r="O476" s="18">
        <f t="shared" si="68"/>
        <v>-2.5406726672554392E-3</v>
      </c>
      <c r="P476" s="18">
        <f t="shared" si="69"/>
        <v>-5.2663780995945153E-3</v>
      </c>
      <c r="Q476" s="18">
        <f t="shared" si="70"/>
        <v>5.0893950291507452E-3</v>
      </c>
      <c r="R476" s="28">
        <f>((Scenario_DT!I$11*(IF(Scenario_DT!I$18=1,1,1+$M476/Scenario_DT!$C$19)*(1+$N476)^MAX(0,Scenario_DT!I$18-3))*(Scenario_DT!I$12+$O476)-Scenario_DT!I$13)*(1-Scenario_DT!I$14)+Scenario_DT!I$13-Scenario_DT!I$15)*Scenario_DT!I$16</f>
        <v>907.40246249163317</v>
      </c>
      <c r="S476" s="28">
        <f>((Scenario_DT!J$11*(IF(Scenario_DT!J$18=1,1,1+$M476/Scenario_DT!$C$19)*(1+$N476)^MAX(0,Scenario_DT!J$18-3))*(Scenario_DT!J$12+$O476)-Scenario_DT!J$13)*(1-Scenario_DT!J$14)+Scenario_DT!J$13-Scenario_DT!J$15)*Scenario_DT!J$16</f>
        <v>1806.2753688488333</v>
      </c>
      <c r="T476" s="28">
        <f>((Scenario_DT!K$11*(IF(Scenario_DT!K$18=1,1,1+$M476/Scenario_DT!$C$19)*(1+$N476)^MAX(0,Scenario_DT!K$18-3))*(Scenario_DT!K$12+$O476)-Scenario_DT!K$13)*(1-Scenario_DT!K$14)+Scenario_DT!K$13-Scenario_DT!K$15)*Scenario_DT!K$16</f>
        <v>2069.6762769718121</v>
      </c>
      <c r="U476" s="28">
        <f>((Scenario_DT!L$11*(IF(Scenario_DT!L$18=1,1,1+$M476/Scenario_DT!$C$19)*(1+$N476)^MAX(0,Scenario_DT!L$18-3))*(Scenario_DT!L$12+$O476)-Scenario_DT!L$13)*(1-Scenario_DT!L$14)+Scenario_DT!L$13-Scenario_DT!L$15)*Scenario_DT!L$16</f>
        <v>2463.2978802449725</v>
      </c>
      <c r="V476" s="28">
        <f>((Scenario_DT!M$11*(IF(Scenario_DT!M$18=1,1,1+$M476/Scenario_DT!$C$19)*(1+$N476)^MAX(0,Scenario_DT!M$18-3))*(Scenario_DT!M$12+$O476)-Scenario_DT!M$13)*(1-Scenario_DT!M$14)+Scenario_DT!M$13-Scenario_DT!M$15)*Scenario_DT!M$16</f>
        <v>2579.7168636727265</v>
      </c>
      <c r="W476" s="28">
        <f>((Scenario_DT!N$11*(IF(Scenario_DT!N$18=1,1,1+$M476/Scenario_DT!$C$19)*(1+$N476)^MAX(0,Scenario_DT!N$18-3))*(Scenario_DT!N$12+$O476)-Scenario_DT!N$13)*(1-Scenario_DT!N$14)+Scenario_DT!N$13-Scenario_DT!N$15)*Scenario_DT!N$16</f>
        <v>2701.6271499608542</v>
      </c>
      <c r="X476" s="28">
        <f>((Scenario_DT!O$11*(IF(Scenario_DT!O$18=1,1,1+$M476/Scenario_DT!$C$19)*(1+$N476)^MAX(0,Scenario_DT!O$18-3))*(Scenario_DT!O$12+$O476)-Scenario_DT!O$13)*(1-Scenario_DT!O$14)+Scenario_DT!O$13-Scenario_DT!O$15)*Scenario_DT!O$16</f>
        <v>2829.2898774438295</v>
      </c>
      <c r="Y476" s="28">
        <f>((Scenario_DT!P$11*(IF(Scenario_DT!P$18=1,1,1+$M476/Scenario_DT!$C$19)*(1+$N476)^MAX(0,Scenario_DT!P$18-3))*(Scenario_DT!P$12+$O476)-Scenario_DT!P$13)*(1-Scenario_DT!P$14)+Scenario_DT!P$13-Scenario_DT!P$15)*Scenario_DT!P$16</f>
        <v>2962.978623556673</v>
      </c>
      <c r="Z476" s="28">
        <f>((Scenario_DT!Q$11*(IF(Scenario_DT!Q$18=1,1,1+$M476/Scenario_DT!$C$19)*(1+$N476)^MAX(0,Scenario_DT!Q$18-3))*(Scenario_DT!Q$12+$O476)-Scenario_DT!Q$13)*(1-Scenario_DT!Q$14)+Scenario_DT!Q$13-Scenario_DT!Q$15)*Scenario_DT!Q$16</f>
        <v>3102.9799975352798</v>
      </c>
      <c r="AA476" s="28">
        <f>((Scenario_DT!R$11*(IF(Scenario_DT!R$18=1,1,1+$M476/Scenario_DT!$C$19)*(1+$N476)^MAX(0,Scenario_DT!R$18-3))*(Scenario_DT!R$12+$O476)-Scenario_DT!R$13)*(1-Scenario_DT!R$14)+Scenario_DT!R$13-Scenario_DT!R$15)*Scenario_DT!R$16</f>
        <v>3249.5942613581128</v>
      </c>
      <c r="AB476" s="17">
        <f>(Scenario_DT!$R$11*(1+$M476/Scenario_DT!$C$19)*(1+$N476)^7*(Scenario_DT!$R$12+$O476)*(1+MIN(DCF_FCFF!$C$26+$Q476,(DCF_FCFF!$C$25+$P476)-0.02))*(1-DCF_FCFF!$C$27)*(1-DCF_FCFF!$C$28)/((DCF_FCFF!$C$25+$P476)-MIN(DCF_FCFF!$C$26+$Q476,(DCF_FCFF!$C$25+$P476)-0.02)))*(1+(DCF_FCFF!$C$25+$P476))^(-(Inputs!$C$9+9))</f>
        <v>36303.689031513859</v>
      </c>
      <c r="AC476" s="17">
        <f>SUMPRODUCT(R476:AA476*(1+(DCF_FCFF!$C$25+$P476))^(-Scenario_DT!$I$17:$R$17))+AB476</f>
        <v>52813.892264323702</v>
      </c>
      <c r="AD476" s="68">
        <f>((AC476-DCF_FCFF!$C$48)*(1-DCF_FCFF!$C$50)+DCF_FCFF!$C$57+DCF_FCFF!$C$58)/DCF_FCFF!$C$60</f>
        <v>410.50389619156869</v>
      </c>
      <c r="AE476" s="6"/>
      <c r="AF476" s="6"/>
      <c r="AG476" s="6"/>
    </row>
    <row r="477" spans="1:33" x14ac:dyDescent="0.3">
      <c r="A477" s="6"/>
      <c r="B477" s="72">
        <v>446</v>
      </c>
      <c r="C477" s="73">
        <v>0.25330760070564401</v>
      </c>
      <c r="D477" s="73">
        <v>0.70527240947765202</v>
      </c>
      <c r="E477" s="73">
        <v>6.7155677734972899E-2</v>
      </c>
      <c r="F477" s="73">
        <v>3.8751331528429502E-2</v>
      </c>
      <c r="G477" s="73">
        <v>0.65373047257692096</v>
      </c>
      <c r="H477" s="15">
        <f t="shared" si="61"/>
        <v>-0.66411735783581172</v>
      </c>
      <c r="I477" s="15">
        <f t="shared" si="62"/>
        <v>0.53962571192454789</v>
      </c>
      <c r="J477" s="15">
        <f t="shared" si="63"/>
        <v>-1.4973148392134783</v>
      </c>
      <c r="K477" s="15">
        <f t="shared" si="64"/>
        <v>-1.7653636821042547</v>
      </c>
      <c r="L477" s="15">
        <f t="shared" si="65"/>
        <v>0.39541172836374328</v>
      </c>
      <c r="M477" s="18">
        <f t="shared" si="66"/>
        <v>-1.3282347156716235E-2</v>
      </c>
      <c r="N477" s="18">
        <f t="shared" si="67"/>
        <v>1.0821671691521272E-3</v>
      </c>
      <c r="O477" s="18">
        <f t="shared" si="68"/>
        <v>-1.7967778070561741E-2</v>
      </c>
      <c r="P477" s="18">
        <f t="shared" si="69"/>
        <v>-1.0592182092625527E-2</v>
      </c>
      <c r="Q477" s="18">
        <f t="shared" si="70"/>
        <v>1.581646913454973E-3</v>
      </c>
      <c r="R477" s="28">
        <f>((Scenario_DT!I$11*(IF(Scenario_DT!I$18=1,1,1+$M477/Scenario_DT!$C$19)*(1+$N477)^MAX(0,Scenario_DT!I$18-3))*(Scenario_DT!I$12+$O477)-Scenario_DT!I$13)*(1-Scenario_DT!I$14)+Scenario_DT!I$13-Scenario_DT!I$15)*Scenario_DT!I$16</f>
        <v>885.6519040831887</v>
      </c>
      <c r="S477" s="28">
        <f>((Scenario_DT!J$11*(IF(Scenario_DT!J$18=1,1,1+$M477/Scenario_DT!$C$19)*(1+$N477)^MAX(0,Scenario_DT!J$18-3))*(Scenario_DT!J$12+$O477)-Scenario_DT!J$13)*(1-Scenario_DT!J$14)+Scenario_DT!J$13-Scenario_DT!J$15)*Scenario_DT!J$16</f>
        <v>1745.0303353487143</v>
      </c>
      <c r="T477" s="28">
        <f>((Scenario_DT!K$11*(IF(Scenario_DT!K$18=1,1,1+$M477/Scenario_DT!$C$19)*(1+$N477)^MAX(0,Scenario_DT!K$18-3))*(Scenario_DT!K$12+$O477)-Scenario_DT!K$13)*(1-Scenario_DT!K$14)+Scenario_DT!K$13-Scenario_DT!K$15)*Scenario_DT!K$16</f>
        <v>2006.007307680572</v>
      </c>
      <c r="U477" s="28">
        <f>((Scenario_DT!L$11*(IF(Scenario_DT!L$18=1,1,1+$M477/Scenario_DT!$C$19)*(1+$N477)^MAX(0,Scenario_DT!L$18-3))*(Scenario_DT!L$12+$O477)-Scenario_DT!L$13)*(1-Scenario_DT!L$14)+Scenario_DT!L$13-Scenario_DT!L$15)*Scenario_DT!L$16</f>
        <v>2404.0635641858066</v>
      </c>
      <c r="V477" s="28">
        <f>((Scenario_DT!M$11*(IF(Scenario_DT!M$18=1,1,1+$M477/Scenario_DT!$C$19)*(1+$N477)^MAX(0,Scenario_DT!M$18-3))*(Scenario_DT!M$12+$O477)-Scenario_DT!M$13)*(1-Scenario_DT!M$14)+Scenario_DT!M$13-Scenario_DT!M$15)*Scenario_DT!M$16</f>
        <v>2526.2961657125729</v>
      </c>
      <c r="W477" s="28">
        <f>((Scenario_DT!N$11*(IF(Scenario_DT!N$18=1,1,1+$M477/Scenario_DT!$C$19)*(1+$N477)^MAX(0,Scenario_DT!N$18-3))*(Scenario_DT!N$12+$O477)-Scenario_DT!N$13)*(1-Scenario_DT!N$14)+Scenario_DT!N$13-Scenario_DT!N$15)*Scenario_DT!N$16</f>
        <v>2654.7380096200882</v>
      </c>
      <c r="X477" s="28">
        <f>((Scenario_DT!O$11*(IF(Scenario_DT!O$18=1,1,1+$M477/Scenario_DT!$C$19)*(1+$N477)^MAX(0,Scenario_DT!O$18-3))*(Scenario_DT!O$12+$O477)-Scenario_DT!O$13)*(1-Scenario_DT!O$14)+Scenario_DT!O$13-Scenario_DT!O$15)*Scenario_DT!O$16</f>
        <v>2789.7069578436694</v>
      </c>
      <c r="Y477" s="28">
        <f>((Scenario_DT!P$11*(IF(Scenario_DT!P$18=1,1,1+$M477/Scenario_DT!$C$19)*(1+$N477)^MAX(0,Scenario_DT!P$18-3))*(Scenario_DT!P$12+$O477)-Scenario_DT!P$13)*(1-Scenario_DT!P$14)+Scenario_DT!P$13-Scenario_DT!P$15)*Scenario_DT!P$16</f>
        <v>2931.5371639877599</v>
      </c>
      <c r="Z477" s="28">
        <f>((Scenario_DT!Q$11*(IF(Scenario_DT!Q$18=1,1,1+$M477/Scenario_DT!$C$19)*(1+$N477)^MAX(0,Scenario_DT!Q$18-3))*(Scenario_DT!Q$12+$O477)-Scenario_DT!Q$13)*(1-Scenario_DT!Q$14)+Scenario_DT!Q$13-Scenario_DT!Q$15)*Scenario_DT!Q$16</f>
        <v>3080.5799083167058</v>
      </c>
      <c r="AA477" s="28">
        <f>((Scenario_DT!R$11*(IF(Scenario_DT!R$18=1,1,1+$M477/Scenario_DT!$C$19)*(1+$N477)^MAX(0,Scenario_DT!R$18-3))*(Scenario_DT!R$12+$O477)-Scenario_DT!R$13)*(1-Scenario_DT!R$14)+Scenario_DT!R$13-Scenario_DT!R$15)*Scenario_DT!R$16</f>
        <v>3237.2044755309516</v>
      </c>
      <c r="AB477" s="17">
        <f>(Scenario_DT!$R$11*(1+$M477/Scenario_DT!$C$19)*(1+$N477)^7*(Scenario_DT!$R$12+$O477)*(1+MIN(DCF_FCFF!$C$26+$Q477,(DCF_FCFF!$C$25+$P477)-0.02))*(1-DCF_FCFF!$C$27)*(1-DCF_FCFF!$C$28)/((DCF_FCFF!$C$25+$P477)-MIN(DCF_FCFF!$C$26+$Q477,(DCF_FCFF!$C$25+$P477)-0.02)))*(1+(DCF_FCFF!$C$25+$P477))^(-(Inputs!$C$9+9))</f>
        <v>39560.709014907392</v>
      </c>
      <c r="AC477" s="17">
        <f>SUMPRODUCT(R477:AA477*(1+(DCF_FCFF!$C$25+$P477))^(-Scenario_DT!$I$17:$R$17))+AB477</f>
        <v>56139.103557557959</v>
      </c>
      <c r="AD477" s="68">
        <f>((AC477-DCF_FCFF!$C$48)*(1-DCF_FCFF!$C$50)+DCF_FCFF!$C$57+DCF_FCFF!$C$58)/DCF_FCFF!$C$60</f>
        <v>442.4218295188486</v>
      </c>
      <c r="AE477" s="6"/>
      <c r="AF477" s="6"/>
      <c r="AG477" s="6"/>
    </row>
    <row r="478" spans="1:33" x14ac:dyDescent="0.3">
      <c r="A478" s="6"/>
      <c r="B478" s="72">
        <v>447</v>
      </c>
      <c r="C478" s="73">
        <v>0.33901585757326003</v>
      </c>
      <c r="D478" s="73">
        <v>0.65545939272000098</v>
      </c>
      <c r="E478" s="73">
        <v>9.4021202168830406E-2</v>
      </c>
      <c r="F478" s="73">
        <v>0.94985137991586299</v>
      </c>
      <c r="G478" s="73">
        <v>0.74851446689309498</v>
      </c>
      <c r="H478" s="15">
        <f t="shared" si="61"/>
        <v>-0.41515052405125502</v>
      </c>
      <c r="I478" s="15">
        <f t="shared" si="62"/>
        <v>0.40010223983841137</v>
      </c>
      <c r="J478" s="15">
        <f t="shared" si="63"/>
        <v>-1.3163923034911911</v>
      </c>
      <c r="K478" s="15">
        <f t="shared" si="64"/>
        <v>1.6434143157829288</v>
      </c>
      <c r="L478" s="15">
        <f t="shared" si="65"/>
        <v>0.66982231552654103</v>
      </c>
      <c r="M478" s="18">
        <f t="shared" si="66"/>
        <v>-8.3030104810251013E-3</v>
      </c>
      <c r="N478" s="18">
        <f t="shared" si="67"/>
        <v>1.1113875342839282E-3</v>
      </c>
      <c r="O478" s="18">
        <f t="shared" si="68"/>
        <v>-1.5796707641894295E-2</v>
      </c>
      <c r="P478" s="18">
        <f t="shared" si="69"/>
        <v>9.8604858946975734E-3</v>
      </c>
      <c r="Q478" s="18">
        <f t="shared" si="70"/>
        <v>2.6792892621061641E-3</v>
      </c>
      <c r="R478" s="28">
        <f>((Scenario_DT!I$11*(IF(Scenario_DT!I$18=1,1,1+$M478/Scenario_DT!$C$19)*(1+$N478)^MAX(0,Scenario_DT!I$18-3))*(Scenario_DT!I$12+$O478)-Scenario_DT!I$13)*(1-Scenario_DT!I$14)+Scenario_DT!I$13-Scenario_DT!I$15)*Scenario_DT!I$16</f>
        <v>888.71287974473171</v>
      </c>
      <c r="S478" s="28">
        <f>((Scenario_DT!J$11*(IF(Scenario_DT!J$18=1,1,1+$M478/Scenario_DT!$C$19)*(1+$N478)^MAX(0,Scenario_DT!J$18-3))*(Scenario_DT!J$12+$O478)-Scenario_DT!J$13)*(1-Scenario_DT!J$14)+Scenario_DT!J$13-Scenario_DT!J$15)*Scenario_DT!J$16</f>
        <v>1763.3540925022344</v>
      </c>
      <c r="T478" s="28">
        <f>((Scenario_DT!K$11*(IF(Scenario_DT!K$18=1,1,1+$M478/Scenario_DT!$C$19)*(1+$N478)^MAX(0,Scenario_DT!K$18-3))*(Scenario_DT!K$12+$O478)-Scenario_DT!K$13)*(1-Scenario_DT!K$14)+Scenario_DT!K$13-Scenario_DT!K$15)*Scenario_DT!K$16</f>
        <v>2025.1660301340903</v>
      </c>
      <c r="U478" s="28">
        <f>((Scenario_DT!L$11*(IF(Scenario_DT!L$18=1,1,1+$M478/Scenario_DT!$C$19)*(1+$N478)^MAX(0,Scenario_DT!L$18-3))*(Scenario_DT!L$12+$O478)-Scenario_DT!L$13)*(1-Scenario_DT!L$14)+Scenario_DT!L$13-Scenario_DT!L$15)*Scenario_DT!L$16</f>
        <v>2424.4991279579531</v>
      </c>
      <c r="V478" s="28">
        <f>((Scenario_DT!M$11*(IF(Scenario_DT!M$18=1,1,1+$M478/Scenario_DT!$C$19)*(1+$N478)^MAX(0,Scenario_DT!M$18-3))*(Scenario_DT!M$12+$O478)-Scenario_DT!M$13)*(1-Scenario_DT!M$14)+Scenario_DT!M$13-Scenario_DT!M$15)*Scenario_DT!M$16</f>
        <v>2547.8516328362489</v>
      </c>
      <c r="W478" s="28">
        <f>((Scenario_DT!N$11*(IF(Scenario_DT!N$18=1,1,1+$M478/Scenario_DT!$C$19)*(1+$N478)^MAX(0,Scenario_DT!N$18-3))*(Scenario_DT!N$12+$O478)-Scenario_DT!N$13)*(1-Scenario_DT!N$14)+Scenario_DT!N$13-Scenario_DT!N$15)*Scenario_DT!N$16</f>
        <v>2677.4744804288302</v>
      </c>
      <c r="X478" s="28">
        <f>((Scenario_DT!O$11*(IF(Scenario_DT!O$18=1,1,1+$M478/Scenario_DT!$C$19)*(1+$N478)^MAX(0,Scenario_DT!O$18-3))*(Scenario_DT!O$12+$O478)-Scenario_DT!O$13)*(1-Scenario_DT!O$14)+Scenario_DT!O$13-Scenario_DT!O$15)*Scenario_DT!O$16</f>
        <v>2813.6888532194025</v>
      </c>
      <c r="Y478" s="28">
        <f>((Scenario_DT!P$11*(IF(Scenario_DT!P$18=1,1,1+$M478/Scenario_DT!$C$19)*(1+$N478)^MAX(0,Scenario_DT!P$18-3))*(Scenario_DT!P$12+$O478)-Scenario_DT!P$13)*(1-Scenario_DT!P$14)+Scenario_DT!P$13-Scenario_DT!P$15)*Scenario_DT!P$16</f>
        <v>2956.8324051953555</v>
      </c>
      <c r="Z478" s="28">
        <f>((Scenario_DT!Q$11*(IF(Scenario_DT!Q$18=1,1,1+$M478/Scenario_DT!$C$19)*(1+$N478)^MAX(0,Scenario_DT!Q$18-3))*(Scenario_DT!Q$12+$O478)-Scenario_DT!Q$13)*(1-Scenario_DT!Q$14)+Scenario_DT!Q$13-Scenario_DT!Q$15)*Scenario_DT!Q$16</f>
        <v>3107.2601065480449</v>
      </c>
      <c r="AA478" s="28">
        <f>((Scenario_DT!R$11*(IF(Scenario_DT!R$18=1,1,1+$M478/Scenario_DT!$C$19)*(1+$N478)^MAX(0,Scenario_DT!R$18-3))*(Scenario_DT!R$12+$O478)-Scenario_DT!R$13)*(1-Scenario_DT!R$14)+Scenario_DT!R$13-Scenario_DT!R$15)*Scenario_DT!R$16</f>
        <v>3265.3451316812279</v>
      </c>
      <c r="AB478" s="17">
        <f>(Scenario_DT!$R$11*(1+$M478/Scenario_DT!$C$19)*(1+$N478)^7*(Scenario_DT!$R$12+$O478)*(1+MIN(DCF_FCFF!$C$26+$Q478,(DCF_FCFF!$C$25+$P478)-0.02))*(1-DCF_FCFF!$C$27)*(1-DCF_FCFF!$C$28)/((DCF_FCFF!$C$25+$P478)-MIN(DCF_FCFF!$C$26+$Q478,(DCF_FCFF!$C$25+$P478)-0.02)))*(1+(DCF_FCFF!$C$25+$P478))^(-(Inputs!$C$9+9))</f>
        <v>22199.181209693314</v>
      </c>
      <c r="AC478" s="17">
        <f>SUMPRODUCT(R478:AA478*(1+(DCF_FCFF!$C$25+$P478))^(-Scenario_DT!$I$17:$R$17))+AB478</f>
        <v>37532.414118643312</v>
      </c>
      <c r="AD478" s="68">
        <f>((AC478-DCF_FCFF!$C$48)*(1-DCF_FCFF!$C$50)+DCF_FCFF!$C$57+DCF_FCFF!$C$58)/DCF_FCFF!$C$60</f>
        <v>263.8205255472634</v>
      </c>
      <c r="AE478" s="6"/>
      <c r="AF478" s="6"/>
      <c r="AG478" s="6"/>
    </row>
    <row r="479" spans="1:33" x14ac:dyDescent="0.3">
      <c r="A479" s="6"/>
      <c r="B479" s="72">
        <v>448</v>
      </c>
      <c r="C479" s="73">
        <v>0.87626723302579901</v>
      </c>
      <c r="D479" s="73">
        <v>0.136470554044511</v>
      </c>
      <c r="E479" s="73">
        <v>0.32016096889286899</v>
      </c>
      <c r="F479" s="73">
        <v>0.36834416420634403</v>
      </c>
      <c r="G479" s="73">
        <v>0.53717264832681899</v>
      </c>
      <c r="H479" s="15">
        <f t="shared" ref="H479:H531" si="71">NORMSINV(C479)</f>
        <v>1.1565273138225785</v>
      </c>
      <c r="I479" s="15">
        <f t="shared" ref="I479:I531" si="72">NORMSINV(D479)</f>
        <v>-1.096314632421642</v>
      </c>
      <c r="J479" s="15">
        <f t="shared" ref="J479:J531" si="73">NORMSINV(E479)</f>
        <v>-0.46724872353060659</v>
      </c>
      <c r="K479" s="15">
        <f t="shared" ref="K479:K531" si="74">NORMSINV(F479)</f>
        <v>-0.33624207285382041</v>
      </c>
      <c r="L479" s="15">
        <f t="shared" ref="L479:L531" si="75">NORMSINV(G479)</f>
        <v>9.3313253383409817E-2</v>
      </c>
      <c r="M479" s="18">
        <f t="shared" ref="M479:M531" si="76">H479*$C$5</f>
        <v>2.3130546276451568E-2</v>
      </c>
      <c r="N479" s="18">
        <f t="shared" ref="N479:N531" si="77">($C$10*H479+SQRT(1-$C$10^2)*I479)*$C$6</f>
        <v>-2.9693813224516133E-3</v>
      </c>
      <c r="O479" s="18">
        <f t="shared" ref="O479:O531" si="78">J479*$C$7</f>
        <v>-5.6069846823672796E-3</v>
      </c>
      <c r="P479" s="18">
        <f t="shared" ref="P479:P531" si="79">K479*$C$8</f>
        <v>-2.0174524371229224E-3</v>
      </c>
      <c r="Q479" s="18">
        <f t="shared" ref="Q479:Q531" si="80">L479*$C$9</f>
        <v>3.7325301353363926E-4</v>
      </c>
      <c r="R479" s="28">
        <f>((Scenario_DT!I$11*(IF(Scenario_DT!I$18=1,1,1+$M479/Scenario_DT!$C$19)*(1+$N479)^MAX(0,Scenario_DT!I$18-3))*(Scenario_DT!I$12+$O479)-Scenario_DT!I$13)*(1-Scenario_DT!I$14)+Scenario_DT!I$13-Scenario_DT!I$15)*Scenario_DT!I$16</f>
        <v>903.07929253591908</v>
      </c>
      <c r="S479" s="28">
        <f>((Scenario_DT!J$11*(IF(Scenario_DT!J$18=1,1,1+$M479/Scenario_DT!$C$19)*(1+$N479)^MAX(0,Scenario_DT!J$18-3))*(Scenario_DT!J$12+$O479)-Scenario_DT!J$13)*(1-Scenario_DT!J$14)+Scenario_DT!J$13-Scenario_DT!J$15)*Scenario_DT!J$16</f>
        <v>1869.482140339082</v>
      </c>
      <c r="T479" s="28">
        <f>((Scenario_DT!K$11*(IF(Scenario_DT!K$18=1,1,1+$M479/Scenario_DT!$C$19)*(1+$N479)^MAX(0,Scenario_DT!K$18-3))*(Scenario_DT!K$12+$O479)-Scenario_DT!K$13)*(1-Scenario_DT!K$14)+Scenario_DT!K$13-Scenario_DT!K$15)*Scenario_DT!K$16</f>
        <v>2136.2182575005186</v>
      </c>
      <c r="U479" s="28">
        <f>((Scenario_DT!L$11*(IF(Scenario_DT!L$18=1,1,1+$M479/Scenario_DT!$C$19)*(1+$N479)^MAX(0,Scenario_DT!L$18-3))*(Scenario_DT!L$12+$O479)-Scenario_DT!L$13)*(1-Scenario_DT!L$14)+Scenario_DT!L$13-Scenario_DT!L$15)*Scenario_DT!L$16</f>
        <v>2532.1100810882031</v>
      </c>
      <c r="V479" s="28">
        <f>((Scenario_DT!M$11*(IF(Scenario_DT!M$18=1,1,1+$M479/Scenario_DT!$C$19)*(1+$N479)^MAX(0,Scenario_DT!M$18-3))*(Scenario_DT!M$12+$O479)-Scenario_DT!M$13)*(1-Scenario_DT!M$14)+Scenario_DT!M$13-Scenario_DT!M$15)*Scenario_DT!M$16</f>
        <v>2650.0468016032823</v>
      </c>
      <c r="W479" s="28">
        <f>((Scenario_DT!N$11*(IF(Scenario_DT!N$18=1,1,1+$M479/Scenario_DT!$C$19)*(1+$N479)^MAX(0,Scenario_DT!N$18-3))*(Scenario_DT!N$12+$O479)-Scenario_DT!N$13)*(1-Scenario_DT!N$14)+Scenario_DT!N$13-Scenario_DT!N$15)*Scenario_DT!N$16</f>
        <v>2773.4647130385956</v>
      </c>
      <c r="X479" s="28">
        <f>((Scenario_DT!O$11*(IF(Scenario_DT!O$18=1,1,1+$M479/Scenario_DT!$C$19)*(1+$N479)^MAX(0,Scenario_DT!O$18-3))*(Scenario_DT!O$12+$O479)-Scenario_DT!O$13)*(1-Scenario_DT!O$14)+Scenario_DT!O$13-Scenario_DT!O$15)*Scenario_DT!O$16</f>
        <v>2902.6206137247409</v>
      </c>
      <c r="Y479" s="28">
        <f>((Scenario_DT!P$11*(IF(Scenario_DT!P$18=1,1,1+$M479/Scenario_DT!$C$19)*(1+$N479)^MAX(0,Scenario_DT!P$18-3))*(Scenario_DT!P$12+$O479)-Scenario_DT!P$13)*(1-Scenario_DT!P$14)+Scenario_DT!P$13-Scenario_DT!P$15)*Scenario_DT!P$16</f>
        <v>3037.783353718009</v>
      </c>
      <c r="Z479" s="28">
        <f>((Scenario_DT!Q$11*(IF(Scenario_DT!Q$18=1,1,1+$M479/Scenario_DT!$C$19)*(1+$N479)^MAX(0,Scenario_DT!Q$18-3))*(Scenario_DT!Q$12+$O479)-Scenario_DT!Q$13)*(1-Scenario_DT!Q$14)+Scenario_DT!Q$13-Scenario_DT!Q$15)*Scenario_DT!Q$16</f>
        <v>3179.2344005911546</v>
      </c>
      <c r="AA479" s="28">
        <f>((Scenario_DT!R$11*(IF(Scenario_DT!R$18=1,1,1+$M479/Scenario_DT!$C$19)*(1+$N479)^MAX(0,Scenario_DT!R$18-3))*(Scenario_DT!R$12+$O479)-Scenario_DT!R$13)*(1-Scenario_DT!R$14)+Scenario_DT!R$13-Scenario_DT!R$15)*Scenario_DT!R$16</f>
        <v>3327.2684317877743</v>
      </c>
      <c r="AB479" s="17">
        <f>(Scenario_DT!$R$11*(1+$M479/Scenario_DT!$C$19)*(1+$N479)^7*(Scenario_DT!$R$12+$O479)*(1+MIN(DCF_FCFF!$C$26+$Q479,(DCF_FCFF!$C$25+$P479)-0.02))*(1-DCF_FCFF!$C$27)*(1-DCF_FCFF!$C$28)/((DCF_FCFF!$C$25+$P479)-MIN(DCF_FCFF!$C$26+$Q479,(DCF_FCFF!$C$25+$P479)-0.02)))*(1+(DCF_FCFF!$C$25+$P479))^(-(Inputs!$C$9+9))</f>
        <v>29996.530716092457</v>
      </c>
      <c r="AC479" s="17">
        <f>SUMPRODUCT(R479:AA479*(1+(DCF_FCFF!$C$25+$P479))^(-Scenario_DT!$I$17:$R$17))+AB479</f>
        <v>46702.558021547389</v>
      </c>
      <c r="AD479" s="68">
        <f>((AC479-DCF_FCFF!$C$48)*(1-DCF_FCFF!$C$50)+DCF_FCFF!$C$57+DCF_FCFF!$C$58)/DCF_FCFF!$C$60</f>
        <v>351.84261373455809</v>
      </c>
      <c r="AE479" s="6"/>
      <c r="AF479" s="6"/>
      <c r="AG479" s="6"/>
    </row>
    <row r="480" spans="1:33" x14ac:dyDescent="0.3">
      <c r="A480" s="6"/>
      <c r="B480" s="72">
        <v>449</v>
      </c>
      <c r="C480" s="73">
        <v>0.29686848550741401</v>
      </c>
      <c r="D480" s="73">
        <v>6.0630742189405097E-2</v>
      </c>
      <c r="E480" s="73">
        <v>0.36887838073747098</v>
      </c>
      <c r="F480" s="73">
        <v>0.25454931462728198</v>
      </c>
      <c r="G480" s="73">
        <v>0.38592129146321502</v>
      </c>
      <c r="H480" s="15">
        <f t="shared" si="71"/>
        <v>-0.53342853218371156</v>
      </c>
      <c r="I480" s="15">
        <f t="shared" si="72"/>
        <v>-1.5495003627604398</v>
      </c>
      <c r="J480" s="15">
        <f t="shared" si="73"/>
        <v>-0.33482544963225652</v>
      </c>
      <c r="K480" s="15">
        <f t="shared" si="74"/>
        <v>-0.66024186660441919</v>
      </c>
      <c r="L480" s="15">
        <f t="shared" si="75"/>
        <v>-0.28996556315149874</v>
      </c>
      <c r="M480" s="18">
        <f t="shared" si="76"/>
        <v>-1.0668570643674231E-2</v>
      </c>
      <c r="N480" s="18">
        <f t="shared" si="77"/>
        <v>-1.2868967547324799E-2</v>
      </c>
      <c r="O480" s="18">
        <f t="shared" si="78"/>
        <v>-4.0179053955870783E-3</v>
      </c>
      <c r="P480" s="18">
        <f t="shared" si="79"/>
        <v>-3.9614511996265154E-3</v>
      </c>
      <c r="Q480" s="18">
        <f t="shared" si="80"/>
        <v>-1.1598622526059949E-3</v>
      </c>
      <c r="R480" s="28">
        <f>((Scenario_DT!I$11*(IF(Scenario_DT!I$18=1,1,1+$M480/Scenario_DT!$C$19)*(1+$N480)^MAX(0,Scenario_DT!I$18-3))*(Scenario_DT!I$12+$O480)-Scenario_DT!I$13)*(1-Scenario_DT!I$14)+Scenario_DT!I$13-Scenario_DT!I$15)*Scenario_DT!I$16</f>
        <v>905.31972331921793</v>
      </c>
      <c r="S480" s="28">
        <f>((Scenario_DT!J$11*(IF(Scenario_DT!J$18=1,1,1+$M480/Scenario_DT!$C$19)*(1+$N480)^MAX(0,Scenario_DT!J$18-3))*(Scenario_DT!J$12+$O480)-Scenario_DT!J$13)*(1-Scenario_DT!J$14)+Scenario_DT!J$13-Scenario_DT!J$15)*Scenario_DT!J$16</f>
        <v>1793.9991851660857</v>
      </c>
      <c r="T480" s="28">
        <f>((Scenario_DT!K$11*(IF(Scenario_DT!K$18=1,1,1+$M480/Scenario_DT!$C$19)*(1+$N480)^MAX(0,Scenario_DT!K$18-3))*(Scenario_DT!K$12+$O480)-Scenario_DT!K$13)*(1-Scenario_DT!K$14)+Scenario_DT!K$13-Scenario_DT!K$15)*Scenario_DT!K$16</f>
        <v>2056.8439522547728</v>
      </c>
      <c r="U480" s="28">
        <f>((Scenario_DT!L$11*(IF(Scenario_DT!L$18=1,1,1+$M480/Scenario_DT!$C$19)*(1+$N480)^MAX(0,Scenario_DT!L$18-3))*(Scenario_DT!L$12+$O480)-Scenario_DT!L$13)*(1-Scenario_DT!L$14)+Scenario_DT!L$13-Scenario_DT!L$15)*Scenario_DT!L$16</f>
        <v>2423.6077870749082</v>
      </c>
      <c r="V480" s="28">
        <f>((Scenario_DT!M$11*(IF(Scenario_DT!M$18=1,1,1+$M480/Scenario_DT!$C$19)*(1+$N480)^MAX(0,Scenario_DT!M$18-3))*(Scenario_DT!M$12+$O480)-Scenario_DT!M$13)*(1-Scenario_DT!M$14)+Scenario_DT!M$13-Scenario_DT!M$15)*Scenario_DT!M$16</f>
        <v>2511.089929792483</v>
      </c>
      <c r="W480" s="28">
        <f>((Scenario_DT!N$11*(IF(Scenario_DT!N$18=1,1,1+$M480/Scenario_DT!$C$19)*(1+$N480)^MAX(0,Scenario_DT!N$18-3))*(Scenario_DT!N$12+$O480)-Scenario_DT!N$13)*(1-Scenario_DT!N$14)+Scenario_DT!N$13-Scenario_DT!N$15)*Scenario_DT!N$16</f>
        <v>2601.6998791906981</v>
      </c>
      <c r="X480" s="28">
        <f>((Scenario_DT!O$11*(IF(Scenario_DT!O$18=1,1,1+$M480/Scenario_DT!$C$19)*(1+$N480)^MAX(0,Scenario_DT!O$18-3))*(Scenario_DT!O$12+$O480)-Scenario_DT!O$13)*(1-Scenario_DT!O$14)+Scenario_DT!O$13-Scenario_DT!O$15)*Scenario_DT!O$16</f>
        <v>2695.5503286823282</v>
      </c>
      <c r="Y480" s="28">
        <f>((Scenario_DT!P$11*(IF(Scenario_DT!P$18=1,1,1+$M480/Scenario_DT!$C$19)*(1+$N480)^MAX(0,Scenario_DT!P$18-3))*(Scenario_DT!P$12+$O480)-Scenario_DT!P$13)*(1-Scenario_DT!P$14)+Scenario_DT!P$13-Scenario_DT!P$15)*Scenario_DT!P$16</f>
        <v>2792.7580351548318</v>
      </c>
      <c r="Z480" s="28">
        <f>((Scenario_DT!Q$11*(IF(Scenario_DT!Q$18=1,1,1+$M480/Scenario_DT!$C$19)*(1+$N480)^MAX(0,Scenario_DT!Q$18-3))*(Scenario_DT!Q$12+$O480)-Scenario_DT!Q$13)*(1-Scenario_DT!Q$14)+Scenario_DT!Q$13-Scenario_DT!Q$15)*Scenario_DT!Q$16</f>
        <v>2893.4439652910046</v>
      </c>
      <c r="AA480" s="28">
        <f>((Scenario_DT!R$11*(IF(Scenario_DT!R$18=1,1,1+$M480/Scenario_DT!$C$19)*(1+$N480)^MAX(0,Scenario_DT!R$18-3))*(Scenario_DT!R$12+$O480)-Scenario_DT!R$13)*(1-Scenario_DT!R$14)+Scenario_DT!R$13-Scenario_DT!R$15)*Scenario_DT!R$16</f>
        <v>2997.7334471469471</v>
      </c>
      <c r="AB480" s="17">
        <f>(Scenario_DT!$R$11*(1+$M480/Scenario_DT!$C$19)*(1+$N480)^7*(Scenario_DT!$R$12+$O480)*(1+MIN(DCF_FCFF!$C$26+$Q480,(DCF_FCFF!$C$25+$P480)-0.02))*(1-DCF_FCFF!$C$27)*(1-DCF_FCFF!$C$28)/((DCF_FCFF!$C$25+$P480)-MIN(DCF_FCFF!$C$26+$Q480,(DCF_FCFF!$C$25+$P480)-0.02)))*(1+(DCF_FCFF!$C$25+$P480))^(-(Inputs!$C$9+9))</f>
        <v>27709.165847180935</v>
      </c>
      <c r="AC480" s="17">
        <f>SUMPRODUCT(R480:AA480*(1+(DCF_FCFF!$C$25+$P480))^(-Scenario_DT!$I$17:$R$17))+AB480</f>
        <v>43552.142403816179</v>
      </c>
      <c r="AD480" s="68">
        <f>((AC480-DCF_FCFF!$C$48)*(1-DCF_FCFF!$C$50)+DCF_FCFF!$C$57+DCF_FCFF!$C$58)/DCF_FCFF!$C$60</f>
        <v>321.6025036264989</v>
      </c>
      <c r="AE480" s="6"/>
      <c r="AF480" s="6"/>
      <c r="AG480" s="6"/>
    </row>
    <row r="481" spans="1:33" x14ac:dyDescent="0.3">
      <c r="A481" s="6"/>
      <c r="B481" s="72">
        <v>450</v>
      </c>
      <c r="C481" s="73">
        <v>0.19695954262002599</v>
      </c>
      <c r="D481" s="73">
        <v>0.26189637456473602</v>
      </c>
      <c r="E481" s="73">
        <v>0.626952340432269</v>
      </c>
      <c r="F481" s="73">
        <v>0.38815383457806502</v>
      </c>
      <c r="G481" s="73">
        <v>0.34538339316949201</v>
      </c>
      <c r="H481" s="15">
        <f t="shared" si="71"/>
        <v>-0.85253164093433742</v>
      </c>
      <c r="I481" s="15">
        <f t="shared" si="72"/>
        <v>-0.63750992200052936</v>
      </c>
      <c r="J481" s="15">
        <f t="shared" si="73"/>
        <v>0.32379225641708931</v>
      </c>
      <c r="K481" s="15">
        <f t="shared" si="74"/>
        <v>-0.28413402982421915</v>
      </c>
      <c r="L481" s="15">
        <f t="shared" si="75"/>
        <v>-0.39781469228631933</v>
      </c>
      <c r="M481" s="18">
        <f t="shared" si="76"/>
        <v>-1.705063281868675E-2</v>
      </c>
      <c r="N481" s="18">
        <f t="shared" si="77"/>
        <v>-7.8269248646741056E-3</v>
      </c>
      <c r="O481" s="18">
        <f t="shared" si="78"/>
        <v>3.8855070770050719E-3</v>
      </c>
      <c r="P481" s="18">
        <f t="shared" si="79"/>
        <v>-1.7048041789453148E-3</v>
      </c>
      <c r="Q481" s="18">
        <f t="shared" si="80"/>
        <v>-1.5912587691452773E-3</v>
      </c>
      <c r="R481" s="28">
        <f>((Scenario_DT!I$11*(IF(Scenario_DT!I$18=1,1,1+$M481/Scenario_DT!$C$19)*(1+$N481)^MAX(0,Scenario_DT!I$18-3))*(Scenario_DT!I$12+$O481)-Scenario_DT!I$13)*(1-Scenario_DT!I$14)+Scenario_DT!I$13-Scenario_DT!I$15)*Scenario_DT!I$16</f>
        <v>916.46268436843059</v>
      </c>
      <c r="S481" s="28">
        <f>((Scenario_DT!J$11*(IF(Scenario_DT!J$18=1,1,1+$M481/Scenario_DT!$C$19)*(1+$N481)^MAX(0,Scenario_DT!J$18-3))*(Scenario_DT!J$12+$O481)-Scenario_DT!J$13)*(1-Scenario_DT!J$14)+Scenario_DT!J$13-Scenario_DT!J$15)*Scenario_DT!J$16</f>
        <v>1802.9072744476057</v>
      </c>
      <c r="T481" s="28">
        <f>((Scenario_DT!K$11*(IF(Scenario_DT!K$18=1,1,1+$M481/Scenario_DT!$C$19)*(1+$N481)^MAX(0,Scenario_DT!K$18-3))*(Scenario_DT!K$12+$O481)-Scenario_DT!K$13)*(1-Scenario_DT!K$14)+Scenario_DT!K$13-Scenario_DT!K$15)*Scenario_DT!K$16</f>
        <v>2065.8586488290016</v>
      </c>
      <c r="U481" s="28">
        <f>((Scenario_DT!L$11*(IF(Scenario_DT!L$18=1,1,1+$M481/Scenario_DT!$C$19)*(1+$N481)^MAX(0,Scenario_DT!L$18-3))*(Scenario_DT!L$12+$O481)-Scenario_DT!L$13)*(1-Scenario_DT!L$14)+Scenario_DT!L$13-Scenario_DT!L$15)*Scenario_DT!L$16</f>
        <v>2445.5699036765254</v>
      </c>
      <c r="V481" s="28">
        <f>((Scenario_DT!M$11*(IF(Scenario_DT!M$18=1,1,1+$M481/Scenario_DT!$C$19)*(1+$N481)^MAX(0,Scenario_DT!M$18-3))*(Scenario_DT!M$12+$O481)-Scenario_DT!M$13)*(1-Scenario_DT!M$14)+Scenario_DT!M$13-Scenario_DT!M$15)*Scenario_DT!M$16</f>
        <v>2546.8899302549926</v>
      </c>
      <c r="W481" s="28">
        <f>((Scenario_DT!N$11*(IF(Scenario_DT!N$18=1,1,1+$M481/Scenario_DT!$C$19)*(1+$N481)^MAX(0,Scenario_DT!N$18-3))*(Scenario_DT!N$12+$O481)-Scenario_DT!N$13)*(1-Scenario_DT!N$14)+Scenario_DT!N$13-Scenario_DT!N$15)*Scenario_DT!N$16</f>
        <v>2652.3873636149929</v>
      </c>
      <c r="X481" s="28">
        <f>((Scenario_DT!O$11*(IF(Scenario_DT!O$18=1,1,1+$M481/Scenario_DT!$C$19)*(1+$N481)^MAX(0,Scenario_DT!O$18-3))*(Scenario_DT!O$12+$O481)-Scenario_DT!O$13)*(1-Scenario_DT!O$14)+Scenario_DT!O$13-Scenario_DT!O$15)*Scenario_DT!O$16</f>
        <v>2762.2359525956258</v>
      </c>
      <c r="Y481" s="28">
        <f>((Scenario_DT!P$11*(IF(Scenario_DT!P$18=1,1,1+$M481/Scenario_DT!$C$19)*(1+$N481)^MAX(0,Scenario_DT!P$18-3))*(Scenario_DT!P$12+$O481)-Scenario_DT!P$13)*(1-Scenario_DT!P$14)+Scenario_DT!P$13-Scenario_DT!P$15)*Scenario_DT!P$16</f>
        <v>2876.6166881465383</v>
      </c>
      <c r="Z481" s="28">
        <f>((Scenario_DT!Q$11*(IF(Scenario_DT!Q$18=1,1,1+$M481/Scenario_DT!$C$19)*(1+$N481)^MAX(0,Scenario_DT!Q$18-3))*(Scenario_DT!Q$12+$O481)-Scenario_DT!Q$13)*(1-Scenario_DT!Q$14)+Scenario_DT!Q$13-Scenario_DT!Q$15)*Scenario_DT!Q$16</f>
        <v>2995.7181053583445</v>
      </c>
      <c r="AA481" s="28">
        <f>((Scenario_DT!R$11*(IF(Scenario_DT!R$18=1,1,1+$M481/Scenario_DT!$C$19)*(1+$N481)^MAX(0,Scenario_DT!R$18-3))*(Scenario_DT!R$12+$O481)-Scenario_DT!R$13)*(1-Scenario_DT!R$14)+Scenario_DT!R$13-Scenario_DT!R$15)*Scenario_DT!R$16</f>
        <v>3119.7365980917875</v>
      </c>
      <c r="AB481" s="17">
        <f>(Scenario_DT!$R$11*(1+$M481/Scenario_DT!$C$19)*(1+$N481)^7*(Scenario_DT!$R$12+$O481)*(1+MIN(DCF_FCFF!$C$26+$Q481,(DCF_FCFF!$C$25+$P481)-0.02))*(1-DCF_FCFF!$C$27)*(1-DCF_FCFF!$C$28)/((DCF_FCFF!$C$25+$P481)-MIN(DCF_FCFF!$C$26+$Q481,(DCF_FCFF!$C$25+$P481)-0.02)))*(1+(DCF_FCFF!$C$25+$P481))^(-(Inputs!$C$9+9))</f>
        <v>26743.295692723215</v>
      </c>
      <c r="AC481" s="17">
        <f>SUMPRODUCT(R481:AA481*(1+(DCF_FCFF!$C$25+$P481))^(-Scenario_DT!$I$17:$R$17))+AB481</f>
        <v>42735.673621114445</v>
      </c>
      <c r="AD481" s="68">
        <f>((AC481-DCF_FCFF!$C$48)*(1-DCF_FCFF!$C$50)+DCF_FCFF!$C$57+DCF_FCFF!$C$58)/DCF_FCFF!$C$60</f>
        <v>313.76540881598174</v>
      </c>
      <c r="AE481" s="6"/>
      <c r="AF481" s="6"/>
      <c r="AG481" s="6"/>
    </row>
    <row r="482" spans="1:33" x14ac:dyDescent="0.3">
      <c r="A482" s="6"/>
      <c r="B482" s="72">
        <v>451</v>
      </c>
      <c r="C482" s="73">
        <v>0.53390563272237301</v>
      </c>
      <c r="D482" s="73">
        <v>0.77186054084392597</v>
      </c>
      <c r="E482" s="73">
        <v>0.378867956347957</v>
      </c>
      <c r="F482" s="73">
        <v>0.58751949255584102</v>
      </c>
      <c r="G482" s="73">
        <v>0.96620262536817603</v>
      </c>
      <c r="H482" s="15">
        <f t="shared" si="71"/>
        <v>8.509139089464568E-2</v>
      </c>
      <c r="I482" s="15">
        <f t="shared" si="72"/>
        <v>0.74498809257554366</v>
      </c>
      <c r="J482" s="15">
        <f t="shared" si="73"/>
        <v>-0.30845529446355957</v>
      </c>
      <c r="K482" s="15">
        <f t="shared" si="74"/>
        <v>0.22116878306899793</v>
      </c>
      <c r="L482" s="15">
        <f t="shared" si="75"/>
        <v>1.8276989270641961</v>
      </c>
      <c r="M482" s="18">
        <f t="shared" si="76"/>
        <v>1.7018278178929137E-3</v>
      </c>
      <c r="N482" s="18">
        <f t="shared" si="77"/>
        <v>5.5017944730772544E-3</v>
      </c>
      <c r="O482" s="18">
        <f t="shared" si="78"/>
        <v>-3.7014635335627147E-3</v>
      </c>
      <c r="P482" s="18">
        <f t="shared" si="79"/>
        <v>1.3270126984139875E-3</v>
      </c>
      <c r="Q482" s="18">
        <f t="shared" si="80"/>
        <v>7.310795708256785E-3</v>
      </c>
      <c r="R482" s="28">
        <f>((Scenario_DT!I$11*(IF(Scenario_DT!I$18=1,1,1+$M482/Scenario_DT!$C$19)*(1+$N482)^MAX(0,Scenario_DT!I$18-3))*(Scenario_DT!I$12+$O482)-Scenario_DT!I$13)*(1-Scenario_DT!I$14)+Scenario_DT!I$13-Scenario_DT!I$15)*Scenario_DT!I$16</f>
        <v>905.76587229032452</v>
      </c>
      <c r="S482" s="28">
        <f>((Scenario_DT!J$11*(IF(Scenario_DT!J$18=1,1,1+$M482/Scenario_DT!$C$19)*(1+$N482)^MAX(0,Scenario_DT!J$18-3))*(Scenario_DT!J$12+$O482)-Scenario_DT!J$13)*(1-Scenario_DT!J$14)+Scenario_DT!J$13-Scenario_DT!J$15)*Scenario_DT!J$16</f>
        <v>1824.4628569627034</v>
      </c>
      <c r="T482" s="28">
        <f>((Scenario_DT!K$11*(IF(Scenario_DT!K$18=1,1,1+$M482/Scenario_DT!$C$19)*(1+$N482)^MAX(0,Scenario_DT!K$18-3))*(Scenario_DT!K$12+$O482)-Scenario_DT!K$13)*(1-Scenario_DT!K$14)+Scenario_DT!K$13-Scenario_DT!K$15)*Scenario_DT!K$16</f>
        <v>2088.8349136867159</v>
      </c>
      <c r="U482" s="28">
        <f>((Scenario_DT!L$11*(IF(Scenario_DT!L$18=1,1,1+$M482/Scenario_DT!$C$19)*(1+$N482)^MAX(0,Scenario_DT!L$18-3))*(Scenario_DT!L$12+$O482)-Scenario_DT!L$13)*(1-Scenario_DT!L$14)+Scenario_DT!L$13-Scenario_DT!L$15)*Scenario_DT!L$16</f>
        <v>2503.1799450894528</v>
      </c>
      <c r="V482" s="28">
        <f>((Scenario_DT!M$11*(IF(Scenario_DT!M$18=1,1,1+$M482/Scenario_DT!$C$19)*(1+$N482)^MAX(0,Scenario_DT!M$18-3))*(Scenario_DT!M$12+$O482)-Scenario_DT!M$13)*(1-Scenario_DT!M$14)+Scenario_DT!M$13-Scenario_DT!M$15)*Scenario_DT!M$16</f>
        <v>2642.175577444576</v>
      </c>
      <c r="W482" s="28">
        <f>((Scenario_DT!N$11*(IF(Scenario_DT!N$18=1,1,1+$M482/Scenario_DT!$C$19)*(1+$N482)^MAX(0,Scenario_DT!N$18-3))*(Scenario_DT!N$12+$O482)-Scenario_DT!N$13)*(1-Scenario_DT!N$14)+Scenario_DT!N$13-Scenario_DT!N$15)*Scenario_DT!N$16</f>
        <v>2788.8899388389609</v>
      </c>
      <c r="X482" s="28">
        <f>((Scenario_DT!O$11*(IF(Scenario_DT!O$18=1,1,1+$M482/Scenario_DT!$C$19)*(1+$N482)^MAX(0,Scenario_DT!O$18-3))*(Scenario_DT!O$12+$O482)-Scenario_DT!O$13)*(1-Scenario_DT!O$14)+Scenario_DT!O$13-Scenario_DT!O$15)*Scenario_DT!O$16</f>
        <v>2943.7544633088469</v>
      </c>
      <c r="Y482" s="28">
        <f>((Scenario_DT!P$11*(IF(Scenario_DT!P$18=1,1,1+$M482/Scenario_DT!$C$19)*(1+$N482)^MAX(0,Scenario_DT!P$18-3))*(Scenario_DT!P$12+$O482)-Scenario_DT!P$13)*(1-Scenario_DT!P$14)+Scenario_DT!P$13-Scenario_DT!P$15)*Scenario_DT!P$16</f>
        <v>3107.2247135205321</v>
      </c>
      <c r="Z482" s="28">
        <f>((Scenario_DT!Q$11*(IF(Scenario_DT!Q$18=1,1,1+$M482/Scenario_DT!$C$19)*(1+$N482)^MAX(0,Scenario_DT!Q$18-3))*(Scenario_DT!Q$12+$O482)-Scenario_DT!Q$13)*(1-Scenario_DT!Q$14)+Scenario_DT!Q$13-Scenario_DT!Q$15)*Scenario_DT!Q$16</f>
        <v>3279.7817297025485</v>
      </c>
      <c r="AA482" s="28">
        <f>((Scenario_DT!R$11*(IF(Scenario_DT!R$18=1,1,1+$M482/Scenario_DT!$C$19)*(1+$N482)^MAX(0,Scenario_DT!R$18-3))*(Scenario_DT!R$12+$O482)-Scenario_DT!R$13)*(1-Scenario_DT!R$14)+Scenario_DT!R$13-Scenario_DT!R$15)*Scenario_DT!R$16</f>
        <v>3461.9334539575975</v>
      </c>
      <c r="AB482" s="17">
        <f>(Scenario_DT!$R$11*(1+$M482/Scenario_DT!$C$19)*(1+$N482)^7*(Scenario_DT!$R$12+$O482)*(1+MIN(DCF_FCFF!$C$26+$Q482,(DCF_FCFF!$C$25+$P482)-0.02))*(1-DCF_FCFF!$C$27)*(1-DCF_FCFF!$C$28)/((DCF_FCFF!$C$25+$P482)-MIN(DCF_FCFF!$C$26+$Q482,(DCF_FCFF!$C$25+$P482)-0.02)))*(1+(DCF_FCFF!$C$25+$P482))^(-(Inputs!$C$9+9))</f>
        <v>32977.029997003461</v>
      </c>
      <c r="AC482" s="17">
        <f>SUMPRODUCT(R482:AA482*(1+(DCF_FCFF!$C$25+$P482))^(-Scenario_DT!$I$17:$R$17))+AB482</f>
        <v>49526.099300086615</v>
      </c>
      <c r="AD482" s="68">
        <f>((AC482-DCF_FCFF!$C$48)*(1-DCF_FCFF!$C$50)+DCF_FCFF!$C$57+DCF_FCFF!$C$58)/DCF_FCFF!$C$60</f>
        <v>378.94513274097613</v>
      </c>
      <c r="AE482" s="6"/>
      <c r="AF482" s="6"/>
      <c r="AG482" s="6"/>
    </row>
    <row r="483" spans="1:33" x14ac:dyDescent="0.3">
      <c r="A483" s="6"/>
      <c r="B483" s="72">
        <v>452</v>
      </c>
      <c r="C483" s="73">
        <v>0.52198011411805101</v>
      </c>
      <c r="D483" s="73">
        <v>0.909797576517544</v>
      </c>
      <c r="E483" s="73">
        <v>0.79367262425642704</v>
      </c>
      <c r="F483" s="73">
        <v>5.87186816501497E-2</v>
      </c>
      <c r="G483" s="73">
        <v>0.42909887146925701</v>
      </c>
      <c r="H483" s="15">
        <f t="shared" si="71"/>
        <v>5.5123879765226855E-2</v>
      </c>
      <c r="I483" s="15">
        <f t="shared" si="72"/>
        <v>1.3395095519006932</v>
      </c>
      <c r="J483" s="15">
        <f t="shared" si="73"/>
        <v>0.81923078929723747</v>
      </c>
      <c r="K483" s="15">
        <f t="shared" si="74"/>
        <v>-1.5656210316771122</v>
      </c>
      <c r="L483" s="15">
        <f t="shared" si="75"/>
        <v>-0.17866883309781442</v>
      </c>
      <c r="M483" s="18">
        <f t="shared" si="76"/>
        <v>1.1024775953045371E-3</v>
      </c>
      <c r="N483" s="18">
        <f t="shared" si="77"/>
        <v>9.5008899235241896E-3</v>
      </c>
      <c r="O483" s="18">
        <f t="shared" si="78"/>
        <v>9.8307694715668494E-3</v>
      </c>
      <c r="P483" s="18">
        <f t="shared" si="79"/>
        <v>-9.3937261900626737E-3</v>
      </c>
      <c r="Q483" s="18">
        <f t="shared" si="80"/>
        <v>-7.1467533239125776E-4</v>
      </c>
      <c r="R483" s="28">
        <f>((Scenario_DT!I$11*(IF(Scenario_DT!I$18=1,1,1+$M483/Scenario_DT!$C$19)*(1+$N483)^MAX(0,Scenario_DT!I$18-3))*(Scenario_DT!I$12+$O483)-Scenario_DT!I$13)*(1-Scenario_DT!I$14)+Scenario_DT!I$13-Scenario_DT!I$15)*Scenario_DT!I$16</f>
        <v>924.844864536768</v>
      </c>
      <c r="S483" s="28">
        <f>((Scenario_DT!J$11*(IF(Scenario_DT!J$18=1,1,1+$M483/Scenario_DT!$C$19)*(1+$N483)^MAX(0,Scenario_DT!J$18-3))*(Scenario_DT!J$12+$O483)-Scenario_DT!J$13)*(1-Scenario_DT!J$14)+Scenario_DT!J$13-Scenario_DT!J$15)*Scenario_DT!J$16</f>
        <v>1865.1377245897015</v>
      </c>
      <c r="T483" s="28">
        <f>((Scenario_DT!K$11*(IF(Scenario_DT!K$18=1,1,1+$M483/Scenario_DT!$C$19)*(1+$N483)^MAX(0,Scenario_DT!K$18-3))*(Scenario_DT!K$12+$O483)-Scenario_DT!K$13)*(1-Scenario_DT!K$14)+Scenario_DT!K$13-Scenario_DT!K$15)*Scenario_DT!K$16</f>
        <v>2130.9670230547817</v>
      </c>
      <c r="U483" s="28">
        <f>((Scenario_DT!L$11*(IF(Scenario_DT!L$18=1,1,1+$M483/Scenario_DT!$C$19)*(1+$N483)^MAX(0,Scenario_DT!L$18-3))*(Scenario_DT!L$12+$O483)-Scenario_DT!L$13)*(1-Scenario_DT!L$14)+Scenario_DT!L$13-Scenario_DT!L$15)*Scenario_DT!L$16</f>
        <v>2558.362668750201</v>
      </c>
      <c r="V483" s="28">
        <f>((Scenario_DT!M$11*(IF(Scenario_DT!M$18=1,1,1+$M483/Scenario_DT!$C$19)*(1+$N483)^MAX(0,Scenario_DT!M$18-3))*(Scenario_DT!M$12+$O483)-Scenario_DT!M$13)*(1-Scenario_DT!M$14)+Scenario_DT!M$13-Scenario_DT!M$15)*Scenario_DT!M$16</f>
        <v>2711.2497732933539</v>
      </c>
      <c r="W483" s="28">
        <f>((Scenario_DT!N$11*(IF(Scenario_DT!N$18=1,1,1+$M483/Scenario_DT!$C$19)*(1+$N483)^MAX(0,Scenario_DT!N$18-3))*(Scenario_DT!N$12+$O483)-Scenario_DT!N$13)*(1-Scenario_DT!N$14)+Scenario_DT!N$13-Scenario_DT!N$15)*Scenario_DT!N$16</f>
        <v>2873.2789827849665</v>
      </c>
      <c r="X483" s="28">
        <f>((Scenario_DT!O$11*(IF(Scenario_DT!O$18=1,1,1+$M483/Scenario_DT!$C$19)*(1+$N483)^MAX(0,Scenario_DT!O$18-3))*(Scenario_DT!O$12+$O483)-Scenario_DT!O$13)*(1-Scenario_DT!O$14)+Scenario_DT!O$13-Scenario_DT!O$15)*Scenario_DT!O$16</f>
        <v>3045.0000202991519</v>
      </c>
      <c r="Y483" s="28">
        <f>((Scenario_DT!P$11*(IF(Scenario_DT!P$18=1,1,1+$M483/Scenario_DT!$C$19)*(1+$N483)^MAX(0,Scenario_DT!P$18-3))*(Scenario_DT!P$12+$O483)-Scenario_DT!P$13)*(1-Scenario_DT!P$14)+Scenario_DT!P$13-Scenario_DT!P$15)*Scenario_DT!P$16</f>
        <v>3226.9956682518355</v>
      </c>
      <c r="Z483" s="28">
        <f>((Scenario_DT!Q$11*(IF(Scenario_DT!Q$18=1,1,1+$M483/Scenario_DT!$C$19)*(1+$N483)^MAX(0,Scenario_DT!Q$18-3))*(Scenario_DT!Q$12+$O483)-Scenario_DT!Q$13)*(1-Scenario_DT!Q$14)+Scenario_DT!Q$13-Scenario_DT!Q$15)*Scenario_DT!Q$16</f>
        <v>3419.8837553791236</v>
      </c>
      <c r="AA483" s="28">
        <f>((Scenario_DT!R$11*(IF(Scenario_DT!R$18=1,1,1+$M483/Scenario_DT!$C$19)*(1+$N483)^MAX(0,Scenario_DT!R$18-3))*(Scenario_DT!R$12+$O483)-Scenario_DT!R$13)*(1-Scenario_DT!R$14)+Scenario_DT!R$13-Scenario_DT!R$15)*Scenario_DT!R$16</f>
        <v>3624.3192630754406</v>
      </c>
      <c r="AB483" s="17">
        <f>(Scenario_DT!$R$11*(1+$M483/Scenario_DT!$C$19)*(1+$N483)^7*(Scenario_DT!$R$12+$O483)*(1+MIN(DCF_FCFF!$C$26+$Q483,(DCF_FCFF!$C$25+$P483)-0.02))*(1-DCF_FCFF!$C$27)*(1-DCF_FCFF!$C$28)/((DCF_FCFF!$C$25+$P483)-MIN(DCF_FCFF!$C$26+$Q483,(DCF_FCFF!$C$25+$P483)-0.02)))*(1+(DCF_FCFF!$C$25+$P483))^(-(Inputs!$C$9+9))</f>
        <v>40031.555368708752</v>
      </c>
      <c r="AC483" s="17">
        <f>SUMPRODUCT(R483:AA483*(1+(DCF_FCFF!$C$25+$P483))^(-Scenario_DT!$I$17:$R$17))+AB483</f>
        <v>57894.494536173195</v>
      </c>
      <c r="AD483" s="68">
        <f>((AC483-DCF_FCFF!$C$48)*(1-DCF_FCFF!$C$50)+DCF_FCFF!$C$57+DCF_FCFF!$C$58)/DCF_FCFF!$C$60</f>
        <v>459.27142110202089</v>
      </c>
      <c r="AE483" s="6"/>
      <c r="AF483" s="6"/>
      <c r="AG483" s="6"/>
    </row>
    <row r="484" spans="1:33" x14ac:dyDescent="0.3">
      <c r="A484" s="6"/>
      <c r="B484" s="72">
        <v>453</v>
      </c>
      <c r="C484" s="73">
        <v>0.69831840786858801</v>
      </c>
      <c r="D484" s="73">
        <v>0.9867119124482</v>
      </c>
      <c r="E484" s="73">
        <v>0.45837629116151302</v>
      </c>
      <c r="F484" s="73">
        <v>9.27854541267394E-2</v>
      </c>
      <c r="G484" s="73">
        <v>0.56200917471286804</v>
      </c>
      <c r="H484" s="15">
        <f t="shared" si="71"/>
        <v>0.51957018345246897</v>
      </c>
      <c r="I484" s="15">
        <f t="shared" si="72"/>
        <v>2.2176870900447452</v>
      </c>
      <c r="J484" s="15">
        <f t="shared" si="73"/>
        <v>-0.10452518585898465</v>
      </c>
      <c r="K484" s="15">
        <f t="shared" si="74"/>
        <v>-1.3237956890646079</v>
      </c>
      <c r="L484" s="15">
        <f t="shared" si="75"/>
        <v>0.15606517209434981</v>
      </c>
      <c r="M484" s="18">
        <f t="shared" si="76"/>
        <v>1.0391403669049379E-2</v>
      </c>
      <c r="N484" s="18">
        <f t="shared" si="77"/>
        <v>1.7442867594798173E-2</v>
      </c>
      <c r="O484" s="18">
        <f t="shared" si="78"/>
        <v>-1.2543022303078159E-3</v>
      </c>
      <c r="P484" s="18">
        <f t="shared" si="79"/>
        <v>-7.9427741343876482E-3</v>
      </c>
      <c r="Q484" s="18">
        <f t="shared" si="80"/>
        <v>6.2426068837739921E-4</v>
      </c>
      <c r="R484" s="28">
        <f>((Scenario_DT!I$11*(IF(Scenario_DT!I$18=1,1,1+$M484/Scenario_DT!$C$19)*(1+$N484)^MAX(0,Scenario_DT!I$18-3))*(Scenario_DT!I$12+$O484)-Scenario_DT!I$13)*(1-Scenario_DT!I$14)+Scenario_DT!I$13-Scenario_DT!I$15)*Scenario_DT!I$16</f>
        <v>909.21610637311767</v>
      </c>
      <c r="S484" s="28">
        <f>((Scenario_DT!J$11*(IF(Scenario_DT!J$18=1,1,1+$M484/Scenario_DT!$C$19)*(1+$N484)^MAX(0,Scenario_DT!J$18-3))*(Scenario_DT!J$12+$O484)-Scenario_DT!J$13)*(1-Scenario_DT!J$14)+Scenario_DT!J$13-Scenario_DT!J$15)*Scenario_DT!J$16</f>
        <v>1852.8681830938299</v>
      </c>
      <c r="T484" s="28">
        <f>((Scenario_DT!K$11*(IF(Scenario_DT!K$18=1,1,1+$M484/Scenario_DT!$C$19)*(1+$N484)^MAX(0,Scenario_DT!K$18-3))*(Scenario_DT!K$12+$O484)-Scenario_DT!K$13)*(1-Scenario_DT!K$14)+Scenario_DT!K$13-Scenario_DT!K$15)*Scenario_DT!K$16</f>
        <v>2118.5675996655023</v>
      </c>
      <c r="U484" s="28">
        <f>((Scenario_DT!L$11*(IF(Scenario_DT!L$18=1,1,1+$M484/Scenario_DT!$C$19)*(1+$N484)^MAX(0,Scenario_DT!L$18-3))*(Scenario_DT!L$12+$O484)-Scenario_DT!L$13)*(1-Scenario_DT!L$14)+Scenario_DT!L$13-Scenario_DT!L$15)*Scenario_DT!L$16</f>
        <v>2565.2275942782976</v>
      </c>
      <c r="V484" s="28">
        <f>((Scenario_DT!M$11*(IF(Scenario_DT!M$18=1,1,1+$M484/Scenario_DT!$C$19)*(1+$N484)^MAX(0,Scenario_DT!M$18-3))*(Scenario_DT!M$12+$O484)-Scenario_DT!M$13)*(1-Scenario_DT!M$14)+Scenario_DT!M$13-Scenario_DT!M$15)*Scenario_DT!M$16</f>
        <v>2740.0587793451259</v>
      </c>
      <c r="W484" s="28">
        <f>((Scenario_DT!N$11*(IF(Scenario_DT!N$18=1,1,1+$M484/Scenario_DT!$C$19)*(1+$N484)^MAX(0,Scenario_DT!N$18-3))*(Scenario_DT!N$12+$O484)-Scenario_DT!N$13)*(1-Scenario_DT!N$14)+Scenario_DT!N$13-Scenario_DT!N$15)*Scenario_DT!N$16</f>
        <v>2926.8191688350507</v>
      </c>
      <c r="X484" s="28">
        <f>((Scenario_DT!O$11*(IF(Scenario_DT!O$18=1,1,1+$M484/Scenario_DT!$C$19)*(1+$N484)^MAX(0,Scenario_DT!O$18-3))*(Scenario_DT!O$12+$O484)-Scenario_DT!O$13)*(1-Scenario_DT!O$14)+Scenario_DT!O$13-Scenario_DT!O$15)*Scenario_DT!O$16</f>
        <v>3126.3261349195427</v>
      </c>
      <c r="Y484" s="28">
        <f>((Scenario_DT!P$11*(IF(Scenario_DT!P$18=1,1,1+$M484/Scenario_DT!$C$19)*(1+$N484)^MAX(0,Scenario_DT!P$18-3))*(Scenario_DT!P$12+$O484)-Scenario_DT!P$13)*(1-Scenario_DT!P$14)+Scenario_DT!P$13-Scenario_DT!P$15)*Scenario_DT!P$16</f>
        <v>3339.453026605845</v>
      </c>
      <c r="Z484" s="28">
        <f>((Scenario_DT!Q$11*(IF(Scenario_DT!Q$18=1,1,1+$M484/Scenario_DT!$C$19)*(1+$N484)^MAX(0,Scenario_DT!Q$18-3))*(Scenario_DT!Q$12+$O484)-Scenario_DT!Q$13)*(1-Scenario_DT!Q$14)+Scenario_DT!Q$13-Scenario_DT!Q$15)*Scenario_DT!Q$16</f>
        <v>3567.1330001952842</v>
      </c>
      <c r="AA484" s="28">
        <f>((Scenario_DT!R$11*(IF(Scenario_DT!R$18=1,1,1+$M484/Scenario_DT!$C$19)*(1+$N484)^MAX(0,Scenario_DT!R$18-3))*(Scenario_DT!R$12+$O484)-Scenario_DT!R$13)*(1-Scenario_DT!R$14)+Scenario_DT!R$13-Scenario_DT!R$15)*Scenario_DT!R$16</f>
        <v>3810.3631117042614</v>
      </c>
      <c r="AB484" s="17">
        <f>(Scenario_DT!$R$11*(1+$M484/Scenario_DT!$C$19)*(1+$N484)^7*(Scenario_DT!$R$12+$O484)*(1+MIN(DCF_FCFF!$C$26+$Q484,(DCF_FCFF!$C$25+$P484)-0.02))*(1-DCF_FCFF!$C$27)*(1-DCF_FCFF!$C$28)/((DCF_FCFF!$C$25+$P484)-MIN(DCF_FCFF!$C$26+$Q484,(DCF_FCFF!$C$25+$P484)-0.02)))*(1+(DCF_FCFF!$C$25+$P484))^(-(Inputs!$C$9+9))</f>
        <v>41481.640537762607</v>
      </c>
      <c r="AC484" s="17">
        <f>SUMPRODUCT(R484:AA484*(1+(DCF_FCFF!$C$25+$P484))^(-Scenario_DT!$I$17:$R$17))+AB484</f>
        <v>59542.152360362568</v>
      </c>
      <c r="AD484" s="68">
        <f>((AC484-DCF_FCFF!$C$48)*(1-DCF_FCFF!$C$50)+DCF_FCFF!$C$57+DCF_FCFF!$C$58)/DCF_FCFF!$C$60</f>
        <v>475.08690707900251</v>
      </c>
      <c r="AE484" s="6"/>
      <c r="AF484" s="6"/>
      <c r="AG484" s="6"/>
    </row>
    <row r="485" spans="1:33" x14ac:dyDescent="0.3">
      <c r="A485" s="6"/>
      <c r="B485" s="72">
        <v>454</v>
      </c>
      <c r="C485" s="73">
        <v>0.12656379212395999</v>
      </c>
      <c r="D485" s="73">
        <v>0.75151956027939304</v>
      </c>
      <c r="E485" s="73">
        <v>0.50767699746177797</v>
      </c>
      <c r="F485" s="73">
        <v>0.72343136837728705</v>
      </c>
      <c r="G485" s="73">
        <v>0.86936182687852404</v>
      </c>
      <c r="H485" s="15">
        <f t="shared" si="71"/>
        <v>-1.1427856836454608</v>
      </c>
      <c r="I485" s="15">
        <f t="shared" si="72"/>
        <v>0.67927934780102905</v>
      </c>
      <c r="J485" s="15">
        <f t="shared" si="73"/>
        <v>1.9244566717595186E-2</v>
      </c>
      <c r="K485" s="15">
        <f t="shared" si="74"/>
        <v>0.59306558186713731</v>
      </c>
      <c r="L485" s="15">
        <f t="shared" si="75"/>
        <v>1.1233795147473362</v>
      </c>
      <c r="M485" s="18">
        <f t="shared" si="76"/>
        <v>-2.2855713672909218E-2</v>
      </c>
      <c r="N485" s="18">
        <f t="shared" si="77"/>
        <v>1.3504263711268649E-4</v>
      </c>
      <c r="O485" s="18">
        <f t="shared" si="78"/>
        <v>2.3093480061114224E-4</v>
      </c>
      <c r="P485" s="18">
        <f t="shared" si="79"/>
        <v>3.558393491202824E-3</v>
      </c>
      <c r="Q485" s="18">
        <f t="shared" si="80"/>
        <v>4.4935180589893448E-3</v>
      </c>
      <c r="R485" s="28">
        <f>((Scenario_DT!I$11*(IF(Scenario_DT!I$18=1,1,1+$M485/Scenario_DT!$C$19)*(1+$N485)^MAX(0,Scenario_DT!I$18-3))*(Scenario_DT!I$12+$O485)-Scenario_DT!I$13)*(1-Scenario_DT!I$14)+Scenario_DT!I$13-Scenario_DT!I$15)*Scenario_DT!I$16</f>
        <v>911.31013075078636</v>
      </c>
      <c r="S485" s="28">
        <f>((Scenario_DT!J$11*(IF(Scenario_DT!J$18=1,1,1+$M485/Scenario_DT!$C$19)*(1+$N485)^MAX(0,Scenario_DT!J$18-3))*(Scenario_DT!J$12+$O485)-Scenario_DT!J$13)*(1-Scenario_DT!J$14)+Scenario_DT!J$13-Scenario_DT!J$15)*Scenario_DT!J$16</f>
        <v>1777.8408191200238</v>
      </c>
      <c r="T485" s="28">
        <f>((Scenario_DT!K$11*(IF(Scenario_DT!K$18=1,1,1+$M485/Scenario_DT!$C$19)*(1+$N485)^MAX(0,Scenario_DT!K$18-3))*(Scenario_DT!K$12+$O485)-Scenario_DT!K$13)*(1-Scenario_DT!K$14)+Scenario_DT!K$13-Scenario_DT!K$15)*Scenario_DT!K$16</f>
        <v>2039.6842052000598</v>
      </c>
      <c r="U485" s="28">
        <f>((Scenario_DT!L$11*(IF(Scenario_DT!L$18=1,1,1+$M485/Scenario_DT!$C$19)*(1+$N485)^MAX(0,Scenario_DT!L$18-3))*(Scenario_DT!L$12+$O485)-Scenario_DT!L$13)*(1-Scenario_DT!L$14)+Scenario_DT!L$13-Scenario_DT!L$15)*Scenario_DT!L$16</f>
        <v>2437.5352975421943</v>
      </c>
      <c r="V485" s="28">
        <f>((Scenario_DT!M$11*(IF(Scenario_DT!M$18=1,1,1+$M485/Scenario_DT!$C$19)*(1+$N485)^MAX(0,Scenario_DT!M$18-3))*(Scenario_DT!M$12+$O485)-Scenario_DT!M$13)*(1-Scenario_DT!M$14)+Scenario_DT!M$13-Scenario_DT!M$15)*Scenario_DT!M$16</f>
        <v>2559.0386551534816</v>
      </c>
      <c r="W485" s="28">
        <f>((Scenario_DT!N$11*(IF(Scenario_DT!N$18=1,1,1+$M485/Scenario_DT!$C$19)*(1+$N485)^MAX(0,Scenario_DT!N$18-3))*(Scenario_DT!N$12+$O485)-Scenario_DT!N$13)*(1-Scenario_DT!N$14)+Scenario_DT!N$13-Scenario_DT!N$15)*Scenario_DT!N$16</f>
        <v>2686.5915750412855</v>
      </c>
      <c r="X485" s="28">
        <f>((Scenario_DT!O$11*(IF(Scenario_DT!O$18=1,1,1+$M485/Scenario_DT!$C$19)*(1+$N485)^MAX(0,Scenario_DT!O$18-3))*(Scenario_DT!O$12+$O485)-Scenario_DT!O$13)*(1-Scenario_DT!O$14)+Scenario_DT!O$13-Scenario_DT!O$15)*Scenario_DT!O$16</f>
        <v>2820.4976168766357</v>
      </c>
      <c r="Y485" s="28">
        <f>((Scenario_DT!P$11*(IF(Scenario_DT!P$18=1,1,1+$M485/Scenario_DT!$C$19)*(1+$N485)^MAX(0,Scenario_DT!P$18-3))*(Scenario_DT!P$12+$O485)-Scenario_DT!P$13)*(1-Scenario_DT!P$14)+Scenario_DT!P$13-Scenario_DT!P$15)*Scenario_DT!P$16</f>
        <v>2961.0755929240645</v>
      </c>
      <c r="Z485" s="28">
        <f>((Scenario_DT!Q$11*(IF(Scenario_DT!Q$18=1,1,1+$M485/Scenario_DT!$C$19)*(1+$N485)^MAX(0,Scenario_DT!Q$18-3))*(Scenario_DT!Q$12+$O485)-Scenario_DT!Q$13)*(1-Scenario_DT!Q$14)+Scenario_DT!Q$13-Scenario_DT!Q$15)*Scenario_DT!Q$16</f>
        <v>3108.6603344687464</v>
      </c>
      <c r="AA485" s="28">
        <f>((Scenario_DT!R$11*(IF(Scenario_DT!R$18=1,1,1+$M485/Scenario_DT!$C$19)*(1+$N485)^MAX(0,Scenario_DT!R$18-3))*(Scenario_DT!R$12+$O485)-Scenario_DT!R$13)*(1-Scenario_DT!R$14)+Scenario_DT!R$13-Scenario_DT!R$15)*Scenario_DT!R$16</f>
        <v>3263.6034967493088</v>
      </c>
      <c r="AB485" s="17">
        <f>(Scenario_DT!$R$11*(1+$M485/Scenario_DT!$C$19)*(1+$N485)^7*(Scenario_DT!$R$12+$O485)*(1+MIN(DCF_FCFF!$C$26+$Q485,(DCF_FCFF!$C$25+$P485)-0.02))*(1-DCF_FCFF!$C$27)*(1-DCF_FCFF!$C$28)/((DCF_FCFF!$C$25+$P485)-MIN(DCF_FCFF!$C$26+$Q485,(DCF_FCFF!$C$25+$P485)-0.02)))*(1+(DCF_FCFF!$C$25+$P485))^(-(Inputs!$C$9+9))</f>
        <v>27319.777252573869</v>
      </c>
      <c r="AC485" s="17">
        <f>SUMPRODUCT(R485:AA485*(1+(DCF_FCFF!$C$25+$P485))^(-Scenario_DT!$I$17:$R$17))+AB485</f>
        <v>43138.353110345881</v>
      </c>
      <c r="AD485" s="68">
        <f>((AC485-DCF_FCFF!$C$48)*(1-DCF_FCFF!$C$50)+DCF_FCFF!$C$57+DCF_FCFF!$C$58)/DCF_FCFF!$C$60</f>
        <v>317.63063600190623</v>
      </c>
      <c r="AE485" s="6"/>
      <c r="AF485" s="6"/>
      <c r="AG485" s="6"/>
    </row>
    <row r="486" spans="1:33" x14ac:dyDescent="0.3">
      <c r="A486" s="6"/>
      <c r="B486" s="72">
        <v>455</v>
      </c>
      <c r="C486" s="73">
        <v>0.62894801716277704</v>
      </c>
      <c r="D486" s="73">
        <v>0.61243932925318201</v>
      </c>
      <c r="E486" s="73">
        <v>0.75457029543963094</v>
      </c>
      <c r="F486" s="73">
        <v>0.84245500145266705</v>
      </c>
      <c r="G486" s="73">
        <v>0.86905378627700303</v>
      </c>
      <c r="H486" s="15">
        <f t="shared" si="71"/>
        <v>0.32906843013374704</v>
      </c>
      <c r="I486" s="15">
        <f t="shared" si="72"/>
        <v>0.28568245799939174</v>
      </c>
      <c r="J486" s="15">
        <f t="shared" si="73"/>
        <v>0.68894256950784061</v>
      </c>
      <c r="K486" s="15">
        <f t="shared" si="74"/>
        <v>1.0045989624275136</v>
      </c>
      <c r="L486" s="15">
        <f t="shared" si="75"/>
        <v>1.121929474394034</v>
      </c>
      <c r="M486" s="18">
        <f t="shared" si="76"/>
        <v>6.581368602674941E-3</v>
      </c>
      <c r="N486" s="18">
        <f t="shared" si="77"/>
        <v>3.2955398488794217E-3</v>
      </c>
      <c r="O486" s="18">
        <f t="shared" si="78"/>
        <v>8.2673108340940871E-3</v>
      </c>
      <c r="P486" s="18">
        <f t="shared" si="79"/>
        <v>6.0275937745650817E-3</v>
      </c>
      <c r="Q486" s="18">
        <f t="shared" si="80"/>
        <v>4.4877178975761363E-3</v>
      </c>
      <c r="R486" s="28">
        <f>((Scenario_DT!I$11*(IF(Scenario_DT!I$18=1,1,1+$M486/Scenario_DT!$C$19)*(1+$N486)^MAX(0,Scenario_DT!I$18-3))*(Scenario_DT!I$12+$O486)-Scenario_DT!I$13)*(1-Scenario_DT!I$14)+Scenario_DT!I$13-Scenario_DT!I$15)*Scenario_DT!I$16</f>
        <v>922.64055611178958</v>
      </c>
      <c r="S486" s="28">
        <f>((Scenario_DT!J$11*(IF(Scenario_DT!J$18=1,1,1+$M486/Scenario_DT!$C$19)*(1+$N486)^MAX(0,Scenario_DT!J$18-3))*(Scenario_DT!J$12+$O486)-Scenario_DT!J$13)*(1-Scenario_DT!J$14)+Scenario_DT!J$13-Scenario_DT!J$15)*Scenario_DT!J$16</f>
        <v>1873.5517075910889</v>
      </c>
      <c r="T486" s="28">
        <f>((Scenario_DT!K$11*(IF(Scenario_DT!K$18=1,1,1+$M486/Scenario_DT!$C$19)*(1+$N486)^MAX(0,Scenario_DT!K$18-3))*(Scenario_DT!K$12+$O486)-Scenario_DT!K$13)*(1-Scenario_DT!K$14)+Scenario_DT!K$13-Scenario_DT!K$15)*Scenario_DT!K$16</f>
        <v>2139.8729587316966</v>
      </c>
      <c r="U486" s="28">
        <f>((Scenario_DT!L$11*(IF(Scenario_DT!L$18=1,1,1+$M486/Scenario_DT!$C$19)*(1+$N486)^MAX(0,Scenario_DT!L$18-3))*(Scenario_DT!L$12+$O486)-Scenario_DT!L$13)*(1-Scenario_DT!L$14)+Scenario_DT!L$13-Scenario_DT!L$15)*Scenario_DT!L$16</f>
        <v>2552.0200968470572</v>
      </c>
      <c r="V486" s="28">
        <f>((Scenario_DT!M$11*(IF(Scenario_DT!M$18=1,1,1+$M486/Scenario_DT!$C$19)*(1+$N486)^MAX(0,Scenario_DT!M$18-3))*(Scenario_DT!M$12+$O486)-Scenario_DT!M$13)*(1-Scenario_DT!M$14)+Scenario_DT!M$13-Scenario_DT!M$15)*Scenario_DT!M$16</f>
        <v>2687.7888624494799</v>
      </c>
      <c r="W486" s="28">
        <f>((Scenario_DT!N$11*(IF(Scenario_DT!N$18=1,1,1+$M486/Scenario_DT!$C$19)*(1+$N486)^MAX(0,Scenario_DT!N$18-3))*(Scenario_DT!N$12+$O486)-Scenario_DT!N$13)*(1-Scenario_DT!N$14)+Scenario_DT!N$13-Scenario_DT!N$15)*Scenario_DT!N$16</f>
        <v>2830.778229197264</v>
      </c>
      <c r="X486" s="28">
        <f>((Scenario_DT!O$11*(IF(Scenario_DT!O$18=1,1,1+$M486/Scenario_DT!$C$19)*(1+$N486)^MAX(0,Scenario_DT!O$18-3))*(Scenario_DT!O$12+$O486)-Scenario_DT!O$13)*(1-Scenario_DT!O$14)+Scenario_DT!O$13-Scenario_DT!O$15)*Scenario_DT!O$16</f>
        <v>2981.3748390620704</v>
      </c>
      <c r="Y486" s="28">
        <f>((Scenario_DT!P$11*(IF(Scenario_DT!P$18=1,1,1+$M486/Scenario_DT!$C$19)*(1+$N486)^MAX(0,Scenario_DT!P$18-3))*(Scenario_DT!P$12+$O486)-Scenario_DT!P$13)*(1-Scenario_DT!P$14)+Scenario_DT!P$13-Scenario_DT!P$15)*Scenario_DT!P$16</f>
        <v>3139.9860550284643</v>
      </c>
      <c r="Z486" s="28">
        <f>((Scenario_DT!Q$11*(IF(Scenario_DT!Q$18=1,1,1+$M486/Scenario_DT!$C$19)*(1+$N486)^MAX(0,Scenario_DT!Q$18-3))*(Scenario_DT!Q$12+$O486)-Scenario_DT!Q$13)*(1-Scenario_DT!Q$14)+Scenario_DT!Q$13-Scenario_DT!Q$15)*Scenario_DT!Q$16</f>
        <v>3307.0410713507504</v>
      </c>
      <c r="AA486" s="28">
        <f>((Scenario_DT!R$11*(IF(Scenario_DT!R$18=1,1,1+$M486/Scenario_DT!$C$19)*(1+$N486)^MAX(0,Scenario_DT!R$18-3))*(Scenario_DT!R$12+$O486)-Scenario_DT!R$13)*(1-Scenario_DT!R$14)+Scenario_DT!R$13-Scenario_DT!R$15)*Scenario_DT!R$16</f>
        <v>3482.9920832783287</v>
      </c>
      <c r="AB486" s="17">
        <f>(Scenario_DT!$R$11*(1+$M486/Scenario_DT!$C$19)*(1+$N486)^7*(Scenario_DT!$R$12+$O486)*(1+MIN(DCF_FCFF!$C$26+$Q486,(DCF_FCFF!$C$25+$P486)-0.02))*(1-DCF_FCFF!$C$27)*(1-DCF_FCFF!$C$28)/((DCF_FCFF!$C$25+$P486)-MIN(DCF_FCFF!$C$26+$Q486,(DCF_FCFF!$C$25+$P486)-0.02)))*(1+(DCF_FCFF!$C$25+$P486))^(-(Inputs!$C$9+9))</f>
        <v>27165.42716270766</v>
      </c>
      <c r="AC486" s="17">
        <f>SUMPRODUCT(R486:AA486*(1+(DCF_FCFF!$C$25+$P486))^(-Scenario_DT!$I$17:$R$17))+AB486</f>
        <v>43649.932866907606</v>
      </c>
      <c r="AD486" s="68">
        <f>((AC486-DCF_FCFF!$C$48)*(1-DCF_FCFF!$C$50)+DCF_FCFF!$C$57+DCF_FCFF!$C$58)/DCF_FCFF!$C$60</f>
        <v>322.54117164057271</v>
      </c>
      <c r="AE486" s="6"/>
      <c r="AF486" s="6"/>
      <c r="AG486" s="6"/>
    </row>
    <row r="487" spans="1:33" x14ac:dyDescent="0.3">
      <c r="A487" s="6"/>
      <c r="B487" s="72">
        <v>456</v>
      </c>
      <c r="C487" s="73">
        <v>3.6430195682883297E-2</v>
      </c>
      <c r="D487" s="73">
        <v>0.55619029679778897</v>
      </c>
      <c r="E487" s="73">
        <v>0.21626930979755099</v>
      </c>
      <c r="F487" s="73">
        <v>0.86034589078178303</v>
      </c>
      <c r="G487" s="73">
        <v>0.64839768520336105</v>
      </c>
      <c r="H487" s="15">
        <f t="shared" si="71"/>
        <v>-1.7937042202111046</v>
      </c>
      <c r="I487" s="15">
        <f t="shared" si="72"/>
        <v>0.14131714421426242</v>
      </c>
      <c r="J487" s="15">
        <f t="shared" si="73"/>
        <v>-0.78485494717326731</v>
      </c>
      <c r="K487" s="15">
        <f t="shared" si="74"/>
        <v>1.0818746769311218</v>
      </c>
      <c r="L487" s="15">
        <f t="shared" si="75"/>
        <v>0.38099813880278854</v>
      </c>
      <c r="M487" s="18">
        <f t="shared" si="76"/>
        <v>-3.5874084404222094E-2</v>
      </c>
      <c r="N487" s="18">
        <f t="shared" si="77"/>
        <v>-6.195742985805856E-3</v>
      </c>
      <c r="O487" s="18">
        <f t="shared" si="78"/>
        <v>-9.4182593660792086E-3</v>
      </c>
      <c r="P487" s="18">
        <f t="shared" si="79"/>
        <v>6.4912480615867312E-3</v>
      </c>
      <c r="Q487" s="18">
        <f t="shared" si="80"/>
        <v>1.5239925552111542E-3</v>
      </c>
      <c r="R487" s="28">
        <f>((Scenario_DT!I$11*(IF(Scenario_DT!I$18=1,1,1+$M487/Scenario_DT!$C$19)*(1+$N487)^MAX(0,Scenario_DT!I$18-3))*(Scenario_DT!I$12+$O487)-Scenario_DT!I$13)*(1-Scenario_DT!I$14)+Scenario_DT!I$13-Scenario_DT!I$15)*Scenario_DT!I$16</f>
        <v>897.70580538771208</v>
      </c>
      <c r="S487" s="28">
        <f>((Scenario_DT!J$11*(IF(Scenario_DT!J$18=1,1,1+$M487/Scenario_DT!$C$19)*(1+$N487)^MAX(0,Scenario_DT!J$18-3))*(Scenario_DT!J$12+$O487)-Scenario_DT!J$13)*(1-Scenario_DT!J$14)+Scenario_DT!J$13-Scenario_DT!J$15)*Scenario_DT!J$16</f>
        <v>1717.7920050052744</v>
      </c>
      <c r="T487" s="28">
        <f>((Scenario_DT!K$11*(IF(Scenario_DT!K$18=1,1,1+$M487/Scenario_DT!$C$19)*(1+$N487)^MAX(0,Scenario_DT!K$18-3))*(Scenario_DT!K$12+$O487)-Scenario_DT!K$13)*(1-Scenario_DT!K$14)+Scenario_DT!K$13-Scenario_DT!K$15)*Scenario_DT!K$16</f>
        <v>1977.0113115937193</v>
      </c>
      <c r="U487" s="28">
        <f>((Scenario_DT!L$11*(IF(Scenario_DT!L$18=1,1,1+$M487/Scenario_DT!$C$19)*(1+$N487)^MAX(0,Scenario_DT!L$18-3))*(Scenario_DT!L$12+$O487)-Scenario_DT!L$13)*(1-Scenario_DT!L$14)+Scenario_DT!L$13-Scenario_DT!L$15)*Scenario_DT!L$16</f>
        <v>2355.8667057666285</v>
      </c>
      <c r="V487" s="28">
        <f>((Scenario_DT!M$11*(IF(Scenario_DT!M$18=1,1,1+$M487/Scenario_DT!$C$19)*(1+$N487)^MAX(0,Scenario_DT!M$18-3))*(Scenario_DT!M$12+$O487)-Scenario_DT!M$13)*(1-Scenario_DT!M$14)+Scenario_DT!M$13-Scenario_DT!M$15)*Scenario_DT!M$16</f>
        <v>2457.5026693800723</v>
      </c>
      <c r="W487" s="28">
        <f>((Scenario_DT!N$11*(IF(Scenario_DT!N$18=1,1,1+$M487/Scenario_DT!$C$19)*(1+$N487)^MAX(0,Scenario_DT!N$18-3))*(Scenario_DT!N$12+$O487)-Scenario_DT!N$13)*(1-Scenario_DT!N$14)+Scenario_DT!N$13-Scenario_DT!N$15)*Scenario_DT!N$16</f>
        <v>2563.5059969870122</v>
      </c>
      <c r="X487" s="28">
        <f>((Scenario_DT!O$11*(IF(Scenario_DT!O$18=1,1,1+$M487/Scenario_DT!$C$19)*(1+$N487)^MAX(0,Scenario_DT!O$18-3))*(Scenario_DT!O$12+$O487)-Scenario_DT!O$13)*(1-Scenario_DT!O$14)+Scenario_DT!O$13-Scenario_DT!O$15)*Scenario_DT!O$16</f>
        <v>2674.0660621113034</v>
      </c>
      <c r="Y487" s="28">
        <f>((Scenario_DT!P$11*(IF(Scenario_DT!P$18=1,1,1+$M487/Scenario_DT!$C$19)*(1+$N487)^MAX(0,Scenario_DT!P$18-3))*(Scenario_DT!P$12+$O487)-Scenario_DT!P$13)*(1-Scenario_DT!P$14)+Scenario_DT!P$13-Scenario_DT!P$15)*Scenario_DT!P$16</f>
        <v>2789.3804675967399</v>
      </c>
      <c r="Z487" s="28">
        <f>((Scenario_DT!Q$11*(IF(Scenario_DT!Q$18=1,1,1+$M487/Scenario_DT!$C$19)*(1+$N487)^MAX(0,Scenario_DT!Q$18-3))*(Scenario_DT!Q$12+$O487)-Scenario_DT!Q$13)*(1-Scenario_DT!Q$14)+Scenario_DT!Q$13-Scenario_DT!Q$15)*Scenario_DT!Q$16</f>
        <v>2909.6554034286078</v>
      </c>
      <c r="AA487" s="28">
        <f>((Scenario_DT!R$11*(IF(Scenario_DT!R$18=1,1,1+$M487/Scenario_DT!$C$19)*(1+$N487)^MAX(0,Scenario_DT!R$18-3))*(Scenario_DT!R$12+$O487)-Scenario_DT!R$13)*(1-Scenario_DT!R$14)+Scenario_DT!R$13-Scenario_DT!R$15)*Scenario_DT!R$16</f>
        <v>3035.1060201175947</v>
      </c>
      <c r="AB487" s="17">
        <f>(Scenario_DT!$R$11*(1+$M487/Scenario_DT!$C$19)*(1+$N487)^7*(Scenario_DT!$R$12+$O487)*(1+MIN(DCF_FCFF!$C$26+$Q487,(DCF_FCFF!$C$25+$P487)-0.02))*(1-DCF_FCFF!$C$27)*(1-DCF_FCFF!$C$28)/((DCF_FCFF!$C$25+$P487)-MIN(DCF_FCFF!$C$26+$Q487,(DCF_FCFF!$C$25+$P487)-0.02)))*(1+(DCF_FCFF!$C$25+$P487))^(-(Inputs!$C$9+9))</f>
        <v>22081.366946838352</v>
      </c>
      <c r="AC487" s="17">
        <f>SUMPRODUCT(R487:AA487*(1+(DCF_FCFF!$C$25+$P487))^(-Scenario_DT!$I$17:$R$17))+AB487</f>
        <v>37007.721510223717</v>
      </c>
      <c r="AD487" s="68">
        <f>((AC487-DCF_FCFF!$C$48)*(1-DCF_FCFF!$C$50)+DCF_FCFF!$C$57+DCF_FCFF!$C$58)/DCF_FCFF!$C$60</f>
        <v>258.78412267959357</v>
      </c>
      <c r="AE487" s="6"/>
      <c r="AF487" s="6"/>
      <c r="AG487" s="6"/>
    </row>
    <row r="488" spans="1:33" x14ac:dyDescent="0.3">
      <c r="A488" s="6"/>
      <c r="B488" s="72">
        <v>457</v>
      </c>
      <c r="C488" s="73">
        <v>0.42022247903243798</v>
      </c>
      <c r="D488" s="73">
        <v>0.188104228121351</v>
      </c>
      <c r="E488" s="73">
        <v>0.33902362591982699</v>
      </c>
      <c r="F488" s="73">
        <v>0.70377769454022499</v>
      </c>
      <c r="G488" s="73">
        <v>0.20435954521163899</v>
      </c>
      <c r="H488" s="15">
        <f t="shared" si="71"/>
        <v>-0.20132435733384466</v>
      </c>
      <c r="I488" s="15">
        <f t="shared" si="72"/>
        <v>-0.88490391514515354</v>
      </c>
      <c r="J488" s="15">
        <f t="shared" si="73"/>
        <v>-0.41512929933314546</v>
      </c>
      <c r="K488" s="15">
        <f t="shared" si="74"/>
        <v>0.53529684030773472</v>
      </c>
      <c r="L488" s="15">
        <f t="shared" si="75"/>
        <v>-0.82614985359543558</v>
      </c>
      <c r="M488" s="18">
        <f t="shared" si="76"/>
        <v>-4.0264871466768933E-3</v>
      </c>
      <c r="N488" s="18">
        <f t="shared" si="77"/>
        <v>-6.9360915927274757E-3</v>
      </c>
      <c r="O488" s="18">
        <f t="shared" si="78"/>
        <v>-4.9815515919977458E-3</v>
      </c>
      <c r="P488" s="18">
        <f t="shared" si="79"/>
        <v>3.2117810418464082E-3</v>
      </c>
      <c r="Q488" s="18">
        <f t="shared" si="80"/>
        <v>-3.3045994143817425E-3</v>
      </c>
      <c r="R488" s="28">
        <f>((Scenario_DT!I$11*(IF(Scenario_DT!I$18=1,1,1+$M488/Scenario_DT!$C$19)*(1+$N488)^MAX(0,Scenario_DT!I$18-3))*(Scenario_DT!I$12+$O488)-Scenario_DT!I$13)*(1-Scenario_DT!I$14)+Scenario_DT!I$13-Scenario_DT!I$15)*Scenario_DT!I$16</f>
        <v>903.96108588645541</v>
      </c>
      <c r="S488" s="28">
        <f>((Scenario_DT!J$11*(IF(Scenario_DT!J$18=1,1,1+$M488/Scenario_DT!$C$19)*(1+$N488)^MAX(0,Scenario_DT!J$18-3))*(Scenario_DT!J$12+$O488)-Scenario_DT!J$13)*(1-Scenario_DT!J$14)+Scenario_DT!J$13-Scenario_DT!J$15)*Scenario_DT!J$16</f>
        <v>1806.8452442129628</v>
      </c>
      <c r="T488" s="28">
        <f>((Scenario_DT!K$11*(IF(Scenario_DT!K$18=1,1,1+$M488/Scenario_DT!$C$19)*(1+$N488)^MAX(0,Scenario_DT!K$18-3))*(Scenario_DT!K$12+$O488)-Scenario_DT!K$13)*(1-Scenario_DT!K$14)+Scenario_DT!K$13-Scenario_DT!K$15)*Scenario_DT!K$16</f>
        <v>2070.382521482923</v>
      </c>
      <c r="U488" s="28">
        <f>((Scenario_DT!L$11*(IF(Scenario_DT!L$18=1,1,1+$M488/Scenario_DT!$C$19)*(1+$N488)^MAX(0,Scenario_DT!L$18-3))*(Scenario_DT!L$12+$O488)-Scenario_DT!L$13)*(1-Scenario_DT!L$14)+Scenario_DT!L$13-Scenario_DT!L$15)*Scenario_DT!L$16</f>
        <v>2452.5508638453348</v>
      </c>
      <c r="V488" s="28">
        <f>((Scenario_DT!M$11*(IF(Scenario_DT!M$18=1,1,1+$M488/Scenario_DT!$C$19)*(1+$N488)^MAX(0,Scenario_DT!M$18-3))*(Scenario_DT!M$12+$O488)-Scenario_DT!M$13)*(1-Scenario_DT!M$14)+Scenario_DT!M$13-Scenario_DT!M$15)*Scenario_DT!M$16</f>
        <v>2556.4724059543969</v>
      </c>
      <c r="W488" s="28">
        <f>((Scenario_DT!N$11*(IF(Scenario_DT!N$18=1,1,1+$M488/Scenario_DT!$C$19)*(1+$N488)^MAX(0,Scenario_DT!N$18-3))*(Scenario_DT!N$12+$O488)-Scenario_DT!N$13)*(1-Scenario_DT!N$14)+Scenario_DT!N$13-Scenario_DT!N$15)*Scenario_DT!N$16</f>
        <v>2664.7787202916556</v>
      </c>
      <c r="X488" s="28">
        <f>((Scenario_DT!O$11*(IF(Scenario_DT!O$18=1,1,1+$M488/Scenario_DT!$C$19)*(1+$N488)^MAX(0,Scenario_DT!O$18-3))*(Scenario_DT!O$12+$O488)-Scenario_DT!O$13)*(1-Scenario_DT!O$14)+Scenario_DT!O$13-Scenario_DT!O$15)*Scenario_DT!O$16</f>
        <v>2777.6564346639179</v>
      </c>
      <c r="Y488" s="28">
        <f>((Scenario_DT!P$11*(IF(Scenario_DT!P$18=1,1,1+$M488/Scenario_DT!$C$19)*(1+$N488)^MAX(0,Scenario_DT!P$18-3))*(Scenario_DT!P$12+$O488)-Scenario_DT!P$13)*(1-Scenario_DT!P$14)+Scenario_DT!P$13-Scenario_DT!P$15)*Scenario_DT!P$16</f>
        <v>2895.3001371415744</v>
      </c>
      <c r="Z488" s="28">
        <f>((Scenario_DT!Q$11*(IF(Scenario_DT!Q$18=1,1,1+$M488/Scenario_DT!$C$19)*(1+$N488)^MAX(0,Scenario_DT!Q$18-3))*(Scenario_DT!Q$12+$O488)-Scenario_DT!Q$13)*(1-Scenario_DT!Q$14)+Scenario_DT!Q$13-Scenario_DT!Q$15)*Scenario_DT!Q$16</f>
        <v>3017.9127157858084</v>
      </c>
      <c r="AA488" s="28">
        <f>((Scenario_DT!R$11*(IF(Scenario_DT!R$18=1,1,1+$M488/Scenario_DT!$C$19)*(1+$N488)^MAX(0,Scenario_DT!R$18-3))*(Scenario_DT!R$12+$O488)-Scenario_DT!R$13)*(1-Scenario_DT!R$14)+Scenario_DT!R$13-Scenario_DT!R$15)*Scenario_DT!R$16</f>
        <v>3145.7057128781148</v>
      </c>
      <c r="AB488" s="17">
        <f>(Scenario_DT!$R$11*(1+$M488/Scenario_DT!$C$19)*(1+$N488)^7*(Scenario_DT!$R$12+$O488)*(1+MIN(DCF_FCFF!$C$26+$Q488,(DCF_FCFF!$C$25+$P488)-0.02))*(1-DCF_FCFF!$C$27)*(1-DCF_FCFF!$C$28)/((DCF_FCFF!$C$25+$P488)-MIN(DCF_FCFF!$C$26+$Q488,(DCF_FCFF!$C$25+$P488)-0.02)))*(1+(DCF_FCFF!$C$25+$P488))^(-(Inputs!$C$9+9))</f>
        <v>22789.929176068275</v>
      </c>
      <c r="AC488" s="17">
        <f>SUMPRODUCT(R488:AA488*(1+(DCF_FCFF!$C$25+$P488))^(-Scenario_DT!$I$17:$R$17))+AB488</f>
        <v>38514.692709066396</v>
      </c>
      <c r="AD488" s="68">
        <f>((AC488-DCF_FCFF!$C$48)*(1-DCF_FCFF!$C$50)+DCF_FCFF!$C$57+DCF_FCFF!$C$58)/DCF_FCFF!$C$60</f>
        <v>273.24919031263647</v>
      </c>
      <c r="AE488" s="6"/>
      <c r="AF488" s="6"/>
      <c r="AG488" s="6"/>
    </row>
    <row r="489" spans="1:33" x14ac:dyDescent="0.3">
      <c r="A489" s="6"/>
      <c r="B489" s="72">
        <v>458</v>
      </c>
      <c r="C489" s="73">
        <v>9.3582945338372803E-2</v>
      </c>
      <c r="D489" s="73">
        <v>0.88802875822755101</v>
      </c>
      <c r="E489" s="73">
        <v>0.76421034958011702</v>
      </c>
      <c r="F489" s="73">
        <v>0.199794930658133</v>
      </c>
      <c r="G489" s="73">
        <v>0.29231154342999199</v>
      </c>
      <c r="H489" s="15">
        <f t="shared" si="71"/>
        <v>-1.3190096370581703</v>
      </c>
      <c r="I489" s="15">
        <f t="shared" si="72"/>
        <v>1.2161114128026604</v>
      </c>
      <c r="J489" s="15">
        <f t="shared" si="73"/>
        <v>0.71991180228235441</v>
      </c>
      <c r="K489" s="15">
        <f t="shared" si="74"/>
        <v>-0.84235394963805843</v>
      </c>
      <c r="L489" s="15">
        <f t="shared" si="75"/>
        <v>-0.54664435977509229</v>
      </c>
      <c r="M489" s="18">
        <f t="shared" si="76"/>
        <v>-2.6380192741163405E-2</v>
      </c>
      <c r="N489" s="18">
        <f t="shared" si="77"/>
        <v>3.1494284703216229E-3</v>
      </c>
      <c r="O489" s="18">
        <f t="shared" si="78"/>
        <v>8.6389416273882531E-3</v>
      </c>
      <c r="P489" s="18">
        <f t="shared" si="79"/>
        <v>-5.0541236978283504E-3</v>
      </c>
      <c r="Q489" s="18">
        <f t="shared" si="80"/>
        <v>-2.1865774391003692E-3</v>
      </c>
      <c r="R489" s="28">
        <f>((Scenario_DT!I$11*(IF(Scenario_DT!I$18=1,1,1+$M489/Scenario_DT!$C$19)*(1+$N489)^MAX(0,Scenario_DT!I$18-3))*(Scenario_DT!I$12+$O489)-Scenario_DT!I$13)*(1-Scenario_DT!I$14)+Scenario_DT!I$13-Scenario_DT!I$15)*Scenario_DT!I$16</f>
        <v>923.16451553674995</v>
      </c>
      <c r="S489" s="28">
        <f>((Scenario_DT!J$11*(IF(Scenario_DT!J$18=1,1,1+$M489/Scenario_DT!$C$19)*(1+$N489)^MAX(0,Scenario_DT!J$18-3))*(Scenario_DT!J$12+$O489)-Scenario_DT!J$13)*(1-Scenario_DT!J$14)+Scenario_DT!J$13-Scenario_DT!J$15)*Scenario_DT!J$16</f>
        <v>1794.7895955593181</v>
      </c>
      <c r="T489" s="28">
        <f>((Scenario_DT!K$11*(IF(Scenario_DT!K$18=1,1,1+$M489/Scenario_DT!$C$19)*(1+$N489)^MAX(0,Scenario_DT!K$18-3))*(Scenario_DT!K$12+$O489)-Scenario_DT!K$13)*(1-Scenario_DT!K$14)+Scenario_DT!K$13-Scenario_DT!K$15)*Scenario_DT!K$16</f>
        <v>2057.1288511811435</v>
      </c>
      <c r="U489" s="28">
        <f>((Scenario_DT!L$11*(IF(Scenario_DT!L$18=1,1,1+$M489/Scenario_DT!$C$19)*(1+$N489)^MAX(0,Scenario_DT!L$18-3))*(Scenario_DT!L$12+$O489)-Scenario_DT!L$13)*(1-Scenario_DT!L$14)+Scenario_DT!L$13-Scenario_DT!L$15)*Scenario_DT!L$16</f>
        <v>2463.5134969080632</v>
      </c>
      <c r="V489" s="28">
        <f>((Scenario_DT!M$11*(IF(Scenario_DT!M$18=1,1,1+$M489/Scenario_DT!$C$19)*(1+$N489)^MAX(0,Scenario_DT!M$18-3))*(Scenario_DT!M$12+$O489)-Scenario_DT!M$13)*(1-Scenario_DT!M$14)+Scenario_DT!M$13-Scenario_DT!M$15)*Scenario_DT!M$16</f>
        <v>2594.1701380219265</v>
      </c>
      <c r="W489" s="28">
        <f>((Scenario_DT!N$11*(IF(Scenario_DT!N$18=1,1,1+$M489/Scenario_DT!$C$19)*(1+$N489)^MAX(0,Scenario_DT!N$18-3))*(Scenario_DT!N$12+$O489)-Scenario_DT!N$13)*(1-Scenario_DT!N$14)+Scenario_DT!N$13-Scenario_DT!N$15)*Scenario_DT!N$16</f>
        <v>2731.7537994190329</v>
      </c>
      <c r="X489" s="28">
        <f>((Scenario_DT!O$11*(IF(Scenario_DT!O$18=1,1,1+$M489/Scenario_DT!$C$19)*(1+$N489)^MAX(0,Scenario_DT!O$18-3))*(Scenario_DT!O$12+$O489)-Scenario_DT!O$13)*(1-Scenario_DT!O$14)+Scenario_DT!O$13-Scenario_DT!O$15)*Scenario_DT!O$16</f>
        <v>2876.6343468110849</v>
      </c>
      <c r="Y489" s="28">
        <f>((Scenario_DT!P$11*(IF(Scenario_DT!P$18=1,1,1+$M489/Scenario_DT!$C$19)*(1+$N489)^MAX(0,Scenario_DT!P$18-3))*(Scenario_DT!P$12+$O489)-Scenario_DT!P$13)*(1-Scenario_DT!P$14)+Scenario_DT!P$13-Scenario_DT!P$15)*Scenario_DT!P$16</f>
        <v>3029.2014124159573</v>
      </c>
      <c r="Z489" s="28">
        <f>((Scenario_DT!Q$11*(IF(Scenario_DT!Q$18=1,1,1+$M489/Scenario_DT!$C$19)*(1+$N489)^MAX(0,Scenario_DT!Q$18-3))*(Scenario_DT!Q$12+$O489)-Scenario_DT!Q$13)*(1-Scenario_DT!Q$14)+Scenario_DT!Q$13-Scenario_DT!Q$15)*Scenario_DT!Q$16</f>
        <v>3189.8654511135401</v>
      </c>
      <c r="AA489" s="28">
        <f>((Scenario_DT!R$11*(IF(Scenario_DT!R$18=1,1,1+$M489/Scenario_DT!$C$19)*(1+$N489)^MAX(0,Scenario_DT!R$18-3))*(Scenario_DT!R$12+$O489)-Scenario_DT!R$13)*(1-Scenario_DT!R$14)+Scenario_DT!R$13-Scenario_DT!R$15)*Scenario_DT!R$16</f>
        <v>3359.0588530140703</v>
      </c>
      <c r="AB489" s="17">
        <f>(Scenario_DT!$R$11*(1+$M489/Scenario_DT!$C$19)*(1+$N489)^7*(Scenario_DT!$R$12+$O489)*(1+MIN(DCF_FCFF!$C$26+$Q489,(DCF_FCFF!$C$25+$P489)-0.02))*(1-DCF_FCFF!$C$27)*(1-DCF_FCFF!$C$28)/((DCF_FCFF!$C$25+$P489)-MIN(DCF_FCFF!$C$26+$Q489,(DCF_FCFF!$C$25+$P489)-0.02)))*(1+(DCF_FCFF!$C$25+$P489))^(-(Inputs!$C$9+9))</f>
        <v>31327.387168406069</v>
      </c>
      <c r="AC489" s="17">
        <f>SUMPRODUCT(R489:AA489*(1+(DCF_FCFF!$C$25+$P489))^(-Scenario_DT!$I$17:$R$17))+AB489</f>
        <v>48011.685307475433</v>
      </c>
      <c r="AD489" s="68">
        <f>((AC489-DCF_FCFF!$C$48)*(1-DCF_FCFF!$C$50)+DCF_FCFF!$C$57+DCF_FCFF!$C$58)/DCF_FCFF!$C$60</f>
        <v>364.40862345375768</v>
      </c>
      <c r="AE489" s="6"/>
      <c r="AF489" s="6"/>
      <c r="AG489" s="6"/>
    </row>
    <row r="490" spans="1:33" x14ac:dyDescent="0.3">
      <c r="A490" s="6"/>
      <c r="B490" s="72">
        <v>459</v>
      </c>
      <c r="C490" s="73">
        <v>0.97207017713088595</v>
      </c>
      <c r="D490" s="73">
        <v>0.70818448675911705</v>
      </c>
      <c r="E490" s="73">
        <v>0.61052200421382496</v>
      </c>
      <c r="F490" s="73">
        <v>0.30762848542413002</v>
      </c>
      <c r="G490" s="73">
        <v>0.29912514416652197</v>
      </c>
      <c r="H490" s="15">
        <f t="shared" si="71"/>
        <v>1.9121290333610399</v>
      </c>
      <c r="I490" s="15">
        <f t="shared" si="72"/>
        <v>0.54808866032124903</v>
      </c>
      <c r="J490" s="15">
        <f t="shared" si="73"/>
        <v>0.2806798154814788</v>
      </c>
      <c r="K490" s="15">
        <f t="shared" si="74"/>
        <v>-0.50258372966002585</v>
      </c>
      <c r="L490" s="15">
        <f t="shared" si="75"/>
        <v>-0.52691835292197875</v>
      </c>
      <c r="M490" s="18">
        <f t="shared" si="76"/>
        <v>3.8242580667220798E-2</v>
      </c>
      <c r="N490" s="18">
        <f t="shared" si="77"/>
        <v>1.1445785760359213E-2</v>
      </c>
      <c r="O490" s="18">
        <f t="shared" si="78"/>
        <v>3.3681577857777455E-3</v>
      </c>
      <c r="P490" s="18">
        <f t="shared" si="79"/>
        <v>-3.0155023779601551E-3</v>
      </c>
      <c r="Q490" s="18">
        <f t="shared" si="80"/>
        <v>-2.1076734116879151E-3</v>
      </c>
      <c r="R490" s="28">
        <f>((Scenario_DT!I$11*(IF(Scenario_DT!I$18=1,1,1+$M490/Scenario_DT!$C$19)*(1+$N490)^MAX(0,Scenario_DT!I$18-3))*(Scenario_DT!I$12+$O490)-Scenario_DT!I$13)*(1-Scenario_DT!I$14)+Scenario_DT!I$13-Scenario_DT!I$15)*Scenario_DT!I$16</f>
        <v>915.73327754309094</v>
      </c>
      <c r="S490" s="28">
        <f>((Scenario_DT!J$11*(IF(Scenario_DT!J$18=1,1,1+$M490/Scenario_DT!$C$19)*(1+$N490)^MAX(0,Scenario_DT!J$18-3))*(Scenario_DT!J$12+$O490)-Scenario_DT!J$13)*(1-Scenario_DT!J$14)+Scenario_DT!J$13-Scenario_DT!J$15)*Scenario_DT!J$16</f>
        <v>1934.4407158778295</v>
      </c>
      <c r="T490" s="28">
        <f>((Scenario_DT!K$11*(IF(Scenario_DT!K$18=1,1,1+$M490/Scenario_DT!$C$19)*(1+$N490)^MAX(0,Scenario_DT!K$18-3))*(Scenario_DT!K$12+$O490)-Scenario_DT!K$13)*(1-Scenario_DT!K$14)+Scenario_DT!K$13-Scenario_DT!K$15)*Scenario_DT!K$16</f>
        <v>2204.0504610041603</v>
      </c>
      <c r="U490" s="28">
        <f>((Scenario_DT!L$11*(IF(Scenario_DT!L$18=1,1,1+$M490/Scenario_DT!$C$19)*(1+$N490)^MAX(0,Scenario_DT!L$18-3))*(Scenario_DT!L$12+$O490)-Scenario_DT!L$13)*(1-Scenario_DT!L$14)+Scenario_DT!L$13-Scenario_DT!L$15)*Scenario_DT!L$16</f>
        <v>2641.8105886938101</v>
      </c>
      <c r="V490" s="28">
        <f>((Scenario_DT!M$11*(IF(Scenario_DT!M$18=1,1,1+$M490/Scenario_DT!$C$19)*(1+$N490)^MAX(0,Scenario_DT!M$18-3))*(Scenario_DT!M$12+$O490)-Scenario_DT!M$13)*(1-Scenario_DT!M$14)+Scenario_DT!M$13-Scenario_DT!M$15)*Scenario_DT!M$16</f>
        <v>2805.1319698242191</v>
      </c>
      <c r="W490" s="28">
        <f>((Scenario_DT!N$11*(IF(Scenario_DT!N$18=1,1,1+$M490/Scenario_DT!$C$19)*(1+$N490)^MAX(0,Scenario_DT!N$18-3))*(Scenario_DT!N$12+$O490)-Scenario_DT!N$13)*(1-Scenario_DT!N$14)+Scenario_DT!N$13-Scenario_DT!N$15)*Scenario_DT!N$16</f>
        <v>2978.5579829242674</v>
      </c>
      <c r="X490" s="28">
        <f>((Scenario_DT!O$11*(IF(Scenario_DT!O$18=1,1,1+$M490/Scenario_DT!$C$19)*(1+$N490)^MAX(0,Scenario_DT!O$18-3))*(Scenario_DT!O$12+$O490)-Scenario_DT!O$13)*(1-Scenario_DT!O$14)+Scenario_DT!O$13-Scenario_DT!O$15)*Scenario_DT!O$16</f>
        <v>3162.7169623468599</v>
      </c>
      <c r="Y490" s="28">
        <f>((Scenario_DT!P$11*(IF(Scenario_DT!P$18=1,1,1+$M490/Scenario_DT!$C$19)*(1+$N490)^MAX(0,Scenario_DT!P$18-3))*(Scenario_DT!P$12+$O490)-Scenario_DT!P$13)*(1-Scenario_DT!P$14)+Scenario_DT!P$13-Scenario_DT!P$15)*Scenario_DT!P$16</f>
        <v>3358.2763116839965</v>
      </c>
      <c r="Z490" s="28">
        <f>((Scenario_DT!Q$11*(IF(Scenario_DT!Q$18=1,1,1+$M490/Scenario_DT!$C$19)*(1+$N490)^MAX(0,Scenario_DT!Q$18-3))*(Scenario_DT!Q$12+$O490)-Scenario_DT!Q$13)*(1-Scenario_DT!Q$14)+Scenario_DT!Q$13-Scenario_DT!Q$15)*Scenario_DT!Q$16</f>
        <v>3565.9449315147235</v>
      </c>
      <c r="AA490" s="28">
        <f>((Scenario_DT!R$11*(IF(Scenario_DT!R$18=1,1,1+$M490/Scenario_DT!$C$19)*(1+$N490)^MAX(0,Scenario_DT!R$18-3))*(Scenario_DT!R$12+$O490)-Scenario_DT!R$13)*(1-Scenario_DT!R$14)+Scenario_DT!R$13-Scenario_DT!R$15)*Scenario_DT!R$16</f>
        <v>3786.4757979297278</v>
      </c>
      <c r="AB490" s="17">
        <f>(Scenario_DT!$R$11*(1+$M490/Scenario_DT!$C$19)*(1+$N490)^7*(Scenario_DT!$R$12+$O490)*(1+MIN(DCF_FCFF!$C$26+$Q490,(DCF_FCFF!$C$25+$P490)-0.02))*(1-DCF_FCFF!$C$27)*(1-DCF_FCFF!$C$28)/((DCF_FCFF!$C$25+$P490)-MIN(DCF_FCFF!$C$26+$Q490,(DCF_FCFF!$C$25+$P490)-0.02)))*(1+(DCF_FCFF!$C$25+$P490))^(-(Inputs!$C$9+9))</f>
        <v>33288.966603812332</v>
      </c>
      <c r="AC490" s="17">
        <f>SUMPRODUCT(R490:AA490*(1+(DCF_FCFF!$C$25+$P490))^(-Scenario_DT!$I$17:$R$17))+AB490</f>
        <v>51278.861460773267</v>
      </c>
      <c r="AD490" s="68">
        <f>((AC490-DCF_FCFF!$C$48)*(1-DCF_FCFF!$C$50)+DCF_FCFF!$C$57+DCF_FCFF!$C$58)/DCF_FCFF!$C$60</f>
        <v>395.76949090949455</v>
      </c>
      <c r="AE490" s="6"/>
      <c r="AF490" s="6"/>
      <c r="AG490" s="6"/>
    </row>
    <row r="491" spans="1:33" x14ac:dyDescent="0.3">
      <c r="A491" s="6"/>
      <c r="B491" s="72">
        <v>460</v>
      </c>
      <c r="C491" s="73">
        <v>3.9523618690230501E-2</v>
      </c>
      <c r="D491" s="73">
        <v>0.72848186690193095</v>
      </c>
      <c r="E491" s="73">
        <v>4.3175225056884502E-2</v>
      </c>
      <c r="F491" s="73">
        <v>4.8573377772790404E-3</v>
      </c>
      <c r="G491" s="73">
        <v>0.72949508786097905</v>
      </c>
      <c r="H491" s="15">
        <f t="shared" si="71"/>
        <v>-1.7562411718213182</v>
      </c>
      <c r="I491" s="15">
        <f t="shared" si="72"/>
        <v>0.6082280003252416</v>
      </c>
      <c r="J491" s="15">
        <f t="shared" si="73"/>
        <v>-1.7149715118912707</v>
      </c>
      <c r="K491" s="15">
        <f t="shared" si="74"/>
        <v>-2.5858231693606606</v>
      </c>
      <c r="L491" s="15">
        <f t="shared" si="75"/>
        <v>0.6112866547912198</v>
      </c>
      <c r="M491" s="18">
        <f t="shared" si="76"/>
        <v>-3.5124823436426367E-2</v>
      </c>
      <c r="N491" s="18">
        <f t="shared" si="77"/>
        <v>-2.8110374906879215E-3</v>
      </c>
      <c r="O491" s="18">
        <f t="shared" si="78"/>
        <v>-2.0579658142695249E-2</v>
      </c>
      <c r="P491" s="18">
        <f t="shared" si="79"/>
        <v>-1.5514939016163964E-2</v>
      </c>
      <c r="Q491" s="18">
        <f t="shared" si="80"/>
        <v>2.4451466191648791E-3</v>
      </c>
      <c r="R491" s="28">
        <f>((Scenario_DT!I$11*(IF(Scenario_DT!I$18=1,1,1+$M491/Scenario_DT!$C$19)*(1+$N491)^MAX(0,Scenario_DT!I$18-3))*(Scenario_DT!I$12+$O491)-Scenario_DT!I$13)*(1-Scenario_DT!I$14)+Scenario_DT!I$13-Scenario_DT!I$15)*Scenario_DT!I$16</f>
        <v>881.9694342627248</v>
      </c>
      <c r="S491" s="28">
        <f>((Scenario_DT!J$11*(IF(Scenario_DT!J$18=1,1,1+$M491/Scenario_DT!$C$19)*(1+$N491)^MAX(0,Scenario_DT!J$18-3))*(Scenario_DT!J$12+$O491)-Scenario_DT!J$13)*(1-Scenario_DT!J$14)+Scenario_DT!J$13-Scenario_DT!J$15)*Scenario_DT!J$16</f>
        <v>1686.1726883701276</v>
      </c>
      <c r="T491" s="28">
        <f>((Scenario_DT!K$11*(IF(Scenario_DT!K$18=1,1,1+$M491/Scenario_DT!$C$19)*(1+$N491)^MAX(0,Scenario_DT!K$18-3))*(Scenario_DT!K$12+$O491)-Scenario_DT!K$13)*(1-Scenario_DT!K$14)+Scenario_DT!K$13-Scenario_DT!K$15)*Scenario_DT!K$16</f>
        <v>1944.268817009015</v>
      </c>
      <c r="U491" s="28">
        <f>((Scenario_DT!L$11*(IF(Scenario_DT!L$18=1,1,1+$M491/Scenario_DT!$C$19)*(1+$N491)^MAX(0,Scenario_DT!L$18-3))*(Scenario_DT!L$12+$O491)-Scenario_DT!L$13)*(1-Scenario_DT!L$14)+Scenario_DT!L$13-Scenario_DT!L$15)*Scenario_DT!L$16</f>
        <v>2329.2803034696976</v>
      </c>
      <c r="V491" s="28">
        <f>((Scenario_DT!M$11*(IF(Scenario_DT!M$18=1,1,1+$M491/Scenario_DT!$C$19)*(1+$N491)^MAX(0,Scenario_DT!M$18-3))*(Scenario_DT!M$12+$O491)-Scenario_DT!M$13)*(1-Scenario_DT!M$14)+Scenario_DT!M$13-Scenario_DT!M$15)*Scenario_DT!M$16</f>
        <v>2438.0980021664586</v>
      </c>
      <c r="W491" s="28">
        <f>((Scenario_DT!N$11*(IF(Scenario_DT!N$18=1,1,1+$M491/Scenario_DT!$C$19)*(1+$N491)^MAX(0,Scenario_DT!N$18-3))*(Scenario_DT!N$12+$O491)-Scenario_DT!N$13)*(1-Scenario_DT!N$14)+Scenario_DT!N$13-Scenario_DT!N$15)*Scenario_DT!N$16</f>
        <v>2551.9877248075936</v>
      </c>
      <c r="X491" s="28">
        <f>((Scenario_DT!O$11*(IF(Scenario_DT!O$18=1,1,1+$M491/Scenario_DT!$C$19)*(1+$N491)^MAX(0,Scenario_DT!O$18-3))*(Scenario_DT!O$12+$O491)-Scenario_DT!O$13)*(1-Scenario_DT!O$14)+Scenario_DT!O$13-Scenario_DT!O$15)*Scenario_DT!O$16</f>
        <v>2671.1879505461307</v>
      </c>
      <c r="Y491" s="28">
        <f>((Scenario_DT!P$11*(IF(Scenario_DT!P$18=1,1,1+$M491/Scenario_DT!$C$19)*(1+$N491)^MAX(0,Scenario_DT!P$18-3))*(Scenario_DT!P$12+$O491)-Scenario_DT!P$13)*(1-Scenario_DT!P$14)+Scenario_DT!P$13-Scenario_DT!P$15)*Scenario_DT!P$16</f>
        <v>2795.9483920423058</v>
      </c>
      <c r="Z491" s="28">
        <f>((Scenario_DT!Q$11*(IF(Scenario_DT!Q$18=1,1,1+$M491/Scenario_DT!$C$19)*(1+$N491)^MAX(0,Scenario_DT!Q$18-3))*(Scenario_DT!Q$12+$O491)-Scenario_DT!Q$13)*(1-Scenario_DT!Q$14)+Scenario_DT!Q$13-Scenario_DT!Q$15)*Scenario_DT!Q$16</f>
        <v>2926.5305248057921</v>
      </c>
      <c r="AA491" s="28">
        <f>((Scenario_DT!R$11*(IF(Scenario_DT!R$18=1,1,1+$M491/Scenario_DT!$C$19)*(1+$N491)^MAX(0,Scenario_DT!R$18-3))*(Scenario_DT!R$12+$O491)-Scenario_DT!R$13)*(1-Scenario_DT!R$14)+Scenario_DT!R$13-Scenario_DT!R$15)*Scenario_DT!R$16</f>
        <v>3063.2081414826562</v>
      </c>
      <c r="AB491" s="17">
        <f>(Scenario_DT!$R$11*(1+$M491/Scenario_DT!$C$19)*(1+$N491)^7*(Scenario_DT!$R$12+$O491)*(1+MIN(DCF_FCFF!$C$26+$Q491,(DCF_FCFF!$C$25+$P491)-0.02))*(1-DCF_FCFF!$C$27)*(1-DCF_FCFF!$C$28)/((DCF_FCFF!$C$25+$P491)-MIN(DCF_FCFF!$C$26+$Q491,(DCF_FCFF!$C$25+$P491)-0.02)))*(1+(DCF_FCFF!$C$25+$P491))^(-(Inputs!$C$9+9))</f>
        <v>46123.758360392763</v>
      </c>
      <c r="AC491" s="17">
        <f>SUMPRODUCT(R491:AA491*(1+(DCF_FCFF!$C$25+$P491))^(-Scenario_DT!$I$17:$R$17))+AB491</f>
        <v>62415.149095476881</v>
      </c>
      <c r="AD491" s="68">
        <f>((AC491-DCF_FCFF!$C$48)*(1-DCF_FCFF!$C$50)+DCF_FCFF!$C$57+DCF_FCFF!$C$58)/DCF_FCFF!$C$60</f>
        <v>502.66413756280713</v>
      </c>
      <c r="AE491" s="6"/>
      <c r="AF491" s="6"/>
      <c r="AG491" s="6"/>
    </row>
    <row r="492" spans="1:33" x14ac:dyDescent="0.3">
      <c r="A492" s="6"/>
      <c r="B492" s="72">
        <v>461</v>
      </c>
      <c r="C492" s="73">
        <v>0.94887375714912503</v>
      </c>
      <c r="D492" s="73">
        <v>0.75650304772731103</v>
      </c>
      <c r="E492" s="73">
        <v>0.47164019062437901</v>
      </c>
      <c r="F492" s="73">
        <v>0.48604524956087303</v>
      </c>
      <c r="G492" s="73">
        <v>0.43613642264910502</v>
      </c>
      <c r="H492" s="15">
        <f t="shared" si="71"/>
        <v>1.6340303134588987</v>
      </c>
      <c r="I492" s="15">
        <f t="shared" si="72"/>
        <v>0.69509797370309645</v>
      </c>
      <c r="J492" s="15">
        <f t="shared" si="73"/>
        <v>-7.1147478821746976E-2</v>
      </c>
      <c r="K492" s="15">
        <f t="shared" si="74"/>
        <v>-3.498650827864698E-2</v>
      </c>
      <c r="L492" s="15">
        <f t="shared" si="75"/>
        <v>-0.16077216985670395</v>
      </c>
      <c r="M492" s="18">
        <f t="shared" si="76"/>
        <v>3.2680606269177973E-2</v>
      </c>
      <c r="N492" s="18">
        <f t="shared" si="77"/>
        <v>1.1351901280603349E-2</v>
      </c>
      <c r="O492" s="18">
        <f t="shared" si="78"/>
        <v>-8.5376974586096369E-4</v>
      </c>
      <c r="P492" s="18">
        <f t="shared" si="79"/>
        <v>-2.0991904967188188E-4</v>
      </c>
      <c r="Q492" s="18">
        <f t="shared" si="80"/>
        <v>-6.430886794268158E-4</v>
      </c>
      <c r="R492" s="28">
        <f>((Scenario_DT!I$11*(IF(Scenario_DT!I$18=1,1,1+$M492/Scenario_DT!$C$19)*(1+$N492)^MAX(0,Scenario_DT!I$18-3))*(Scenario_DT!I$12+$O492)-Scenario_DT!I$13)*(1-Scenario_DT!I$14)+Scenario_DT!I$13-Scenario_DT!I$15)*Scenario_DT!I$16</f>
        <v>909.78081407230627</v>
      </c>
      <c r="S492" s="28">
        <f>((Scenario_DT!J$11*(IF(Scenario_DT!J$18=1,1,1+$M492/Scenario_DT!$C$19)*(1+$N492)^MAX(0,Scenario_DT!J$18-3))*(Scenario_DT!J$12+$O492)-Scenario_DT!J$13)*(1-Scenario_DT!J$14)+Scenario_DT!J$13-Scenario_DT!J$15)*Scenario_DT!J$16</f>
        <v>1907.4745063771556</v>
      </c>
      <c r="T492" s="28">
        <f>((Scenario_DT!K$11*(IF(Scenario_DT!K$18=1,1,1+$M492/Scenario_DT!$C$19)*(1+$N492)^MAX(0,Scenario_DT!K$18-3))*(Scenario_DT!K$12+$O492)-Scenario_DT!K$13)*(1-Scenario_DT!K$14)+Scenario_DT!K$13-Scenario_DT!K$15)*Scenario_DT!K$16</f>
        <v>2175.9155157546033</v>
      </c>
      <c r="U492" s="28">
        <f>((Scenario_DT!L$11*(IF(Scenario_DT!L$18=1,1,1+$M492/Scenario_DT!$C$19)*(1+$N492)^MAX(0,Scenario_DT!L$18-3))*(Scenario_DT!L$12+$O492)-Scenario_DT!L$13)*(1-Scenario_DT!L$14)+Scenario_DT!L$13-Scenario_DT!L$15)*Scenario_DT!L$16</f>
        <v>2611.3516497292212</v>
      </c>
      <c r="V492" s="28">
        <f>((Scenario_DT!M$11*(IF(Scenario_DT!M$18=1,1,1+$M492/Scenario_DT!$C$19)*(1+$N492)^MAX(0,Scenario_DT!M$18-3))*(Scenario_DT!M$12+$O492)-Scenario_DT!M$13)*(1-Scenario_DT!M$14)+Scenario_DT!M$13-Scenario_DT!M$15)*Scenario_DT!M$16</f>
        <v>2772.5249389326459</v>
      </c>
      <c r="W492" s="28">
        <f>((Scenario_DT!N$11*(IF(Scenario_DT!N$18=1,1,1+$M492/Scenario_DT!$C$19)*(1+$N492)^MAX(0,Scenario_DT!N$18-3))*(Scenario_DT!N$12+$O492)-Scenario_DT!N$13)*(1-Scenario_DT!N$14)+Scenario_DT!N$13-Scenario_DT!N$15)*Scenario_DT!N$16</f>
        <v>2943.6535970326408</v>
      </c>
      <c r="X492" s="28">
        <f>((Scenario_DT!O$11*(IF(Scenario_DT!O$18=1,1,1+$M492/Scenario_DT!$C$19)*(1+$N492)^MAX(0,Scenario_DT!O$18-3))*(Scenario_DT!O$12+$O492)-Scenario_DT!O$13)*(1-Scenario_DT!O$14)+Scenario_DT!O$13-Scenario_DT!O$15)*Scenario_DT!O$16</f>
        <v>3125.3557080272349</v>
      </c>
      <c r="Y492" s="28">
        <f>((Scenario_DT!P$11*(IF(Scenario_DT!P$18=1,1,1+$M492/Scenario_DT!$C$19)*(1+$N492)^MAX(0,Scenario_DT!P$18-3))*(Scenario_DT!P$12+$O492)-Scenario_DT!P$13)*(1-Scenario_DT!P$14)+Scenario_DT!P$13-Scenario_DT!P$15)*Scenario_DT!P$16</f>
        <v>3318.2877279387562</v>
      </c>
      <c r="Z492" s="28">
        <f>((Scenario_DT!Q$11*(IF(Scenario_DT!Q$18=1,1,1+$M492/Scenario_DT!$C$19)*(1+$N492)^MAX(0,Scenario_DT!Q$18-3))*(Scenario_DT!Q$12+$O492)-Scenario_DT!Q$13)*(1-Scenario_DT!Q$14)+Scenario_DT!Q$13-Scenario_DT!Q$15)*Scenario_DT!Q$16</f>
        <v>3523.1468655133608</v>
      </c>
      <c r="AA492" s="28">
        <f>((Scenario_DT!R$11*(IF(Scenario_DT!R$18=1,1,1+$M492/Scenario_DT!$C$19)*(1+$N492)^MAX(0,Scenario_DT!R$18-3))*(Scenario_DT!R$12+$O492)-Scenario_DT!R$13)*(1-Scenario_DT!R$14)+Scenario_DT!R$13-Scenario_DT!R$15)*Scenario_DT!R$16</f>
        <v>3740.673610543518</v>
      </c>
      <c r="AB492" s="17">
        <f>(Scenario_DT!$R$11*(1+$M492/Scenario_DT!$C$19)*(1+$N492)^7*(Scenario_DT!$R$12+$O492)*(1+MIN(DCF_FCFF!$C$26+$Q492,(DCF_FCFF!$C$25+$P492)-0.02))*(1-DCF_FCFF!$C$27)*(1-DCF_FCFF!$C$28)/((DCF_FCFF!$C$25+$P492)-MIN(DCF_FCFF!$C$26+$Q492,(DCF_FCFF!$C$25+$P492)-0.02)))*(1+(DCF_FCFF!$C$25+$P492))^(-(Inputs!$C$9+9))</f>
        <v>31293.650403832758</v>
      </c>
      <c r="AC492" s="17">
        <f>SUMPRODUCT(R492:AA492*(1+(DCF_FCFF!$C$25+$P492))^(-Scenario_DT!$I$17:$R$17))+AB492</f>
        <v>48856.661609661605</v>
      </c>
      <c r="AD492" s="68">
        <f>((AC492-DCF_FCFF!$C$48)*(1-DCF_FCFF!$C$50)+DCF_FCFF!$C$57+DCF_FCFF!$C$58)/DCF_FCFF!$C$60</f>
        <v>372.51935534354311</v>
      </c>
      <c r="AE492" s="6"/>
      <c r="AF492" s="6"/>
      <c r="AG492" s="6"/>
    </row>
    <row r="493" spans="1:33" x14ac:dyDescent="0.3">
      <c r="A493" s="6"/>
      <c r="B493" s="72">
        <v>462</v>
      </c>
      <c r="C493" s="73">
        <v>0.32464366711033399</v>
      </c>
      <c r="D493" s="73">
        <v>0.52171421418583996</v>
      </c>
      <c r="E493" s="73">
        <v>0.43115095714111501</v>
      </c>
      <c r="F493" s="73">
        <v>0.59816788004077504</v>
      </c>
      <c r="G493" s="73">
        <v>0.89812008050109504</v>
      </c>
      <c r="H493" s="15">
        <f t="shared" si="71"/>
        <v>-0.45475246132718755</v>
      </c>
      <c r="I493" s="15">
        <f t="shared" si="72"/>
        <v>5.4456366292579092E-2</v>
      </c>
      <c r="J493" s="15">
        <f t="shared" si="73"/>
        <v>-0.17344467162135116</v>
      </c>
      <c r="K493" s="15">
        <f t="shared" si="74"/>
        <v>0.24860771527460124</v>
      </c>
      <c r="L493" s="15">
        <f t="shared" si="75"/>
        <v>1.2709123312453423</v>
      </c>
      <c r="M493" s="18">
        <f t="shared" si="76"/>
        <v>-9.0950492265437517E-3</v>
      </c>
      <c r="N493" s="18">
        <f t="shared" si="77"/>
        <v>-1.4417250724514375E-3</v>
      </c>
      <c r="O493" s="18">
        <f t="shared" si="78"/>
        <v>-2.0813360594562139E-3</v>
      </c>
      <c r="P493" s="18">
        <f t="shared" si="79"/>
        <v>1.4916462916476074E-3</v>
      </c>
      <c r="Q493" s="18">
        <f t="shared" si="80"/>
        <v>5.0836493249813691E-3</v>
      </c>
      <c r="R493" s="28">
        <f>((Scenario_DT!I$11*(IF(Scenario_DT!I$18=1,1,1+$M493/Scenario_DT!$C$19)*(1+$N493)^MAX(0,Scenario_DT!I$18-3))*(Scenario_DT!I$12+$O493)-Scenario_DT!I$13)*(1-Scenario_DT!I$14)+Scenario_DT!I$13-Scenario_DT!I$15)*Scenario_DT!I$16</f>
        <v>908.05007767645782</v>
      </c>
      <c r="S493" s="28">
        <f>((Scenario_DT!J$11*(IF(Scenario_DT!J$18=1,1,1+$M493/Scenario_DT!$C$19)*(1+$N493)^MAX(0,Scenario_DT!J$18-3))*(Scenario_DT!J$12+$O493)-Scenario_DT!J$13)*(1-Scenario_DT!J$14)+Scenario_DT!J$13-Scenario_DT!J$15)*Scenario_DT!J$16</f>
        <v>1803.7090018231816</v>
      </c>
      <c r="T493" s="28">
        <f>((Scenario_DT!K$11*(IF(Scenario_DT!K$18=1,1,1+$M493/Scenario_DT!$C$19)*(1+$N493)^MAX(0,Scenario_DT!K$18-3))*(Scenario_DT!K$12+$O493)-Scenario_DT!K$13)*(1-Scenario_DT!K$14)+Scenario_DT!K$13-Scenario_DT!K$15)*Scenario_DT!K$16</f>
        <v>2066.9600060968642</v>
      </c>
      <c r="U493" s="28">
        <f>((Scenario_DT!L$11*(IF(Scenario_DT!L$18=1,1,1+$M493/Scenario_DT!$C$19)*(1+$N493)^MAX(0,Scenario_DT!L$18-3))*(Scenario_DT!L$12+$O493)-Scenario_DT!L$13)*(1-Scenario_DT!L$14)+Scenario_DT!L$13-Scenario_DT!L$15)*Scenario_DT!L$16</f>
        <v>2462.5848506257266</v>
      </c>
      <c r="V493" s="28">
        <f>((Scenario_DT!M$11*(IF(Scenario_DT!M$18=1,1,1+$M493/Scenario_DT!$C$19)*(1+$N493)^MAX(0,Scenario_DT!M$18-3))*(Scenario_DT!M$12+$O493)-Scenario_DT!M$13)*(1-Scenario_DT!M$14)+Scenario_DT!M$13-Scenario_DT!M$15)*Scenario_DT!M$16</f>
        <v>2581.2392291453457</v>
      </c>
      <c r="W493" s="28">
        <f>((Scenario_DT!N$11*(IF(Scenario_DT!N$18=1,1,1+$M493/Scenario_DT!$C$19)*(1+$N493)^MAX(0,Scenario_DT!N$18-3))*(Scenario_DT!N$12+$O493)-Scenario_DT!N$13)*(1-Scenario_DT!N$14)+Scenario_DT!N$13-Scenario_DT!N$15)*Scenario_DT!N$16</f>
        <v>2705.6012807930706</v>
      </c>
      <c r="X493" s="28">
        <f>((Scenario_DT!O$11*(IF(Scenario_DT!O$18=1,1,1+$M493/Scenario_DT!$C$19)*(1+$N493)^MAX(0,Scenario_DT!O$18-3))*(Scenario_DT!O$12+$O493)-Scenario_DT!O$13)*(1-Scenario_DT!O$14)+Scenario_DT!O$13-Scenario_DT!O$15)*Scenario_DT!O$16</f>
        <v>2835.9477717965297</v>
      </c>
      <c r="Y493" s="28">
        <f>((Scenario_DT!P$11*(IF(Scenario_DT!P$18=1,1,1+$M493/Scenario_DT!$C$19)*(1+$N493)^MAX(0,Scenario_DT!P$18-3))*(Scenario_DT!P$12+$O493)-Scenario_DT!P$13)*(1-Scenario_DT!P$14)+Scenario_DT!P$13-Scenario_DT!P$15)*Scenario_DT!P$16</f>
        <v>2972.5689095891707</v>
      </c>
      <c r="Z493" s="28">
        <f>((Scenario_DT!Q$11*(IF(Scenario_DT!Q$18=1,1,1+$M493/Scenario_DT!$C$19)*(1+$N493)^MAX(0,Scenario_DT!Q$18-3))*(Scenario_DT!Q$12+$O493)-Scenario_DT!Q$13)*(1-Scenario_DT!Q$14)+Scenario_DT!Q$13-Scenario_DT!Q$15)*Scenario_DT!Q$16</f>
        <v>3115.7689957236898</v>
      </c>
      <c r="AA493" s="28">
        <f>((Scenario_DT!R$11*(IF(Scenario_DT!R$18=1,1,1+$M493/Scenario_DT!$C$19)*(1+$N493)^MAX(0,Scenario_DT!R$18-3))*(Scenario_DT!R$12+$O493)-Scenario_DT!R$13)*(1-Scenario_DT!R$14)+Scenario_DT!R$13-Scenario_DT!R$15)*Scenario_DT!R$16</f>
        <v>3265.8671104993132</v>
      </c>
      <c r="AB493" s="17">
        <f>(Scenario_DT!$R$11*(1+$M493/Scenario_DT!$C$19)*(1+$N493)^7*(Scenario_DT!$R$12+$O493)*(1+MIN(DCF_FCFF!$C$26+$Q493,(DCF_FCFF!$C$25+$P493)-0.02))*(1-DCF_FCFF!$C$27)*(1-DCF_FCFF!$C$28)/((DCF_FCFF!$C$25+$P493)-MIN(DCF_FCFF!$C$26+$Q493,(DCF_FCFF!$C$25+$P493)-0.02)))*(1+(DCF_FCFF!$C$25+$P493))^(-(Inputs!$C$9+9))</f>
        <v>29429.134158773617</v>
      </c>
      <c r="AC493" s="17">
        <f>SUMPRODUCT(R493:AA493*(1+(DCF_FCFF!$C$25+$P493))^(-Scenario_DT!$I$17:$R$17))+AB493</f>
        <v>45496.164901835247</v>
      </c>
      <c r="AD493" s="68">
        <f>((AC493-DCF_FCFF!$C$48)*(1-DCF_FCFF!$C$50)+DCF_FCFF!$C$57+DCF_FCFF!$C$58)/DCF_FCFF!$C$60</f>
        <v>340.26272549112292</v>
      </c>
      <c r="AE493" s="6"/>
      <c r="AF493" s="6"/>
      <c r="AG493" s="6"/>
    </row>
    <row r="494" spans="1:33" x14ac:dyDescent="0.3">
      <c r="A494" s="6"/>
      <c r="B494" s="72">
        <v>463</v>
      </c>
      <c r="C494" s="73">
        <v>0.99500941732380999</v>
      </c>
      <c r="D494" s="73">
        <v>7.8743289882917095E-2</v>
      </c>
      <c r="E494" s="73">
        <v>0.38468347266134101</v>
      </c>
      <c r="F494" s="73">
        <v>0.18070619576680999</v>
      </c>
      <c r="G494" s="73">
        <v>0.35212047392553403</v>
      </c>
      <c r="H494" s="15">
        <f t="shared" si="71"/>
        <v>2.5764811292747551</v>
      </c>
      <c r="I494" s="15">
        <f t="shared" si="72"/>
        <v>-1.4135754974930315</v>
      </c>
      <c r="J494" s="15">
        <f t="shared" si="73"/>
        <v>-0.29320305994994511</v>
      </c>
      <c r="K494" s="15">
        <f t="shared" si="74"/>
        <v>-0.9126770995352832</v>
      </c>
      <c r="L494" s="15">
        <f t="shared" si="75"/>
        <v>-0.37960190318547393</v>
      </c>
      <c r="M494" s="18">
        <f t="shared" si="76"/>
        <v>5.1529622585495101E-2</v>
      </c>
      <c r="N494" s="18">
        <f t="shared" si="77"/>
        <v>5.1238618912949005E-4</v>
      </c>
      <c r="O494" s="18">
        <f t="shared" si="78"/>
        <v>-3.5184367193993415E-3</v>
      </c>
      <c r="P494" s="18">
        <f t="shared" si="79"/>
        <v>-5.4760625972116997E-3</v>
      </c>
      <c r="Q494" s="18">
        <f t="shared" si="80"/>
        <v>-1.5184076127418957E-3</v>
      </c>
      <c r="R494" s="28">
        <f>((Scenario_DT!I$11*(IF(Scenario_DT!I$18=1,1,1+$M494/Scenario_DT!$C$19)*(1+$N494)^MAX(0,Scenario_DT!I$18-3))*(Scenario_DT!I$12+$O494)-Scenario_DT!I$13)*(1-Scenario_DT!I$14)+Scenario_DT!I$13-Scenario_DT!I$15)*Scenario_DT!I$16</f>
        <v>906.02392040159998</v>
      </c>
      <c r="S494" s="28">
        <f>((Scenario_DT!J$11*(IF(Scenario_DT!J$18=1,1,1+$M494/Scenario_DT!$C$19)*(1+$N494)^MAX(0,Scenario_DT!J$18-3))*(Scenario_DT!J$12+$O494)-Scenario_DT!J$13)*(1-Scenario_DT!J$14)+Scenario_DT!J$13-Scenario_DT!J$15)*Scenario_DT!J$16</f>
        <v>1943.8538055448776</v>
      </c>
      <c r="T494" s="28">
        <f>((Scenario_DT!K$11*(IF(Scenario_DT!K$18=1,1,1+$M494/Scenario_DT!$C$19)*(1+$N494)^MAX(0,Scenario_DT!K$18-3))*(Scenario_DT!K$12+$O494)-Scenario_DT!K$13)*(1-Scenario_DT!K$14)+Scenario_DT!K$13-Scenario_DT!K$15)*Scenario_DT!K$16</f>
        <v>2214.2572905641946</v>
      </c>
      <c r="U494" s="28">
        <f>((Scenario_DT!L$11*(IF(Scenario_DT!L$18=1,1,1+$M494/Scenario_DT!$C$19)*(1+$N494)^MAX(0,Scenario_DT!L$18-3))*(Scenario_DT!L$12+$O494)-Scenario_DT!L$13)*(1-Scenario_DT!L$14)+Scenario_DT!L$13-Scenario_DT!L$15)*Scenario_DT!L$16</f>
        <v>2623.9139946409041</v>
      </c>
      <c r="V494" s="28">
        <f>((Scenario_DT!M$11*(IF(Scenario_DT!M$18=1,1,1+$M494/Scenario_DT!$C$19)*(1+$N494)^MAX(0,Scenario_DT!M$18-3))*(Scenario_DT!M$12+$O494)-Scenario_DT!M$13)*(1-Scenario_DT!M$14)+Scenario_DT!M$13-Scenario_DT!M$15)*Scenario_DT!M$16</f>
        <v>2755.8090235179698</v>
      </c>
      <c r="W494" s="28">
        <f>((Scenario_DT!N$11*(IF(Scenario_DT!N$18=1,1,1+$M494/Scenario_DT!$C$19)*(1+$N494)^MAX(0,Scenario_DT!N$18-3))*(Scenario_DT!N$12+$O494)-Scenario_DT!N$13)*(1-Scenario_DT!N$14)+Scenario_DT!N$13-Scenario_DT!N$15)*Scenario_DT!N$16</f>
        <v>2894.3275500837308</v>
      </c>
      <c r="X494" s="28">
        <f>((Scenario_DT!O$11*(IF(Scenario_DT!O$18=1,1,1+$M494/Scenario_DT!$C$19)*(1+$N494)^MAX(0,Scenario_DT!O$18-3))*(Scenario_DT!O$12+$O494)-Scenario_DT!O$13)*(1-Scenario_DT!O$14)+Scenario_DT!O$13-Scenario_DT!O$15)*Scenario_DT!O$16</f>
        <v>3039.8045845279253</v>
      </c>
      <c r="Y494" s="28">
        <f>((Scenario_DT!P$11*(IF(Scenario_DT!P$18=1,1,1+$M494/Scenario_DT!$C$19)*(1+$N494)^MAX(0,Scenario_DT!P$18-3))*(Scenario_DT!P$12+$O494)-Scenario_DT!P$13)*(1-Scenario_DT!P$14)+Scenario_DT!P$13-Scenario_DT!P$15)*Scenario_DT!P$16</f>
        <v>3192.592101675355</v>
      </c>
      <c r="Z494" s="28">
        <f>((Scenario_DT!Q$11*(IF(Scenario_DT!Q$18=1,1,1+$M494/Scenario_DT!$C$19)*(1+$N494)^MAX(0,Scenario_DT!Q$18-3))*(Scenario_DT!Q$12+$O494)-Scenario_DT!Q$13)*(1-Scenario_DT!Q$14)+Scenario_DT!Q$13-Scenario_DT!Q$15)*Scenario_DT!Q$16</f>
        <v>3353.0599000833208</v>
      </c>
      <c r="AA494" s="28">
        <f>((Scenario_DT!R$11*(IF(Scenario_DT!R$18=1,1,1+$M494/Scenario_DT!$C$19)*(1+$N494)^MAX(0,Scenario_DT!R$18-3))*(Scenario_DT!R$12+$O494)-Scenario_DT!R$13)*(1-Scenario_DT!R$14)+Scenario_DT!R$13-Scenario_DT!R$15)*Scenario_DT!R$16</f>
        <v>3521.5965046363381</v>
      </c>
      <c r="AB494" s="17">
        <f>(Scenario_DT!$R$11*(1+$M494/Scenario_DT!$C$19)*(1+$N494)^7*(Scenario_DT!$R$12+$O494)*(1+MIN(DCF_FCFF!$C$26+$Q494,(DCF_FCFF!$C$25+$P494)-0.02))*(1-DCF_FCFF!$C$27)*(1-DCF_FCFF!$C$28)/((DCF_FCFF!$C$25+$P494)-MIN(DCF_FCFF!$C$26+$Q494,(DCF_FCFF!$C$25+$P494)-0.02)))*(1+(DCF_FCFF!$C$25+$P494))^(-(Inputs!$C$9+9))</f>
        <v>33746.967841553553</v>
      </c>
      <c r="AC494" s="17">
        <f>SUMPRODUCT(R494:AA494*(1+(DCF_FCFF!$C$25+$P494))^(-Scenario_DT!$I$17:$R$17))+AB494</f>
        <v>51423.772391278864</v>
      </c>
      <c r="AD494" s="68">
        <f>((AC494-DCF_FCFF!$C$48)*(1-DCF_FCFF!$C$50)+DCF_FCFF!$C$57+DCF_FCFF!$C$58)/DCF_FCFF!$C$60</f>
        <v>397.16045738061257</v>
      </c>
      <c r="AE494" s="6"/>
      <c r="AF494" s="6"/>
      <c r="AG494" s="6"/>
    </row>
    <row r="495" spans="1:33" x14ac:dyDescent="0.3">
      <c r="A495" s="6"/>
      <c r="B495" s="72">
        <v>464</v>
      </c>
      <c r="C495" s="73">
        <v>0.287473018548423</v>
      </c>
      <c r="D495" s="73">
        <v>0.17453713162678799</v>
      </c>
      <c r="E495" s="73">
        <v>0.76407605342129103</v>
      </c>
      <c r="F495" s="73">
        <v>0.49628874282923602</v>
      </c>
      <c r="G495" s="73">
        <v>0.91924558221722596</v>
      </c>
      <c r="H495" s="15">
        <f t="shared" si="71"/>
        <v>-0.56078217867218816</v>
      </c>
      <c r="I495" s="15">
        <f t="shared" si="72"/>
        <v>-0.93638642792636684</v>
      </c>
      <c r="J495" s="15">
        <f t="shared" si="73"/>
        <v>0.71947566128805773</v>
      </c>
      <c r="K495" s="15">
        <f t="shared" si="74"/>
        <v>-9.3028763408479903E-3</v>
      </c>
      <c r="L495" s="15">
        <f t="shared" si="75"/>
        <v>1.4000149703628293</v>
      </c>
      <c r="M495" s="18">
        <f t="shared" si="76"/>
        <v>-1.1215643573443764E-2</v>
      </c>
      <c r="N495" s="18">
        <f t="shared" si="77"/>
        <v>-8.7306041894343531E-3</v>
      </c>
      <c r="O495" s="18">
        <f t="shared" si="78"/>
        <v>8.6337079354566922E-3</v>
      </c>
      <c r="P495" s="18">
        <f t="shared" si="79"/>
        <v>-5.581725804508794E-5</v>
      </c>
      <c r="Q495" s="18">
        <f t="shared" si="80"/>
        <v>5.6000598814513174E-3</v>
      </c>
      <c r="R495" s="28">
        <f>((Scenario_DT!I$11*(IF(Scenario_DT!I$18=1,1,1+$M495/Scenario_DT!$C$19)*(1+$N495)^MAX(0,Scenario_DT!I$18-3))*(Scenario_DT!I$12+$O495)-Scenario_DT!I$13)*(1-Scenario_DT!I$14)+Scenario_DT!I$13-Scenario_DT!I$15)*Scenario_DT!I$16</f>
        <v>923.15713659435789</v>
      </c>
      <c r="S495" s="28">
        <f>((Scenario_DT!J$11*(IF(Scenario_DT!J$18=1,1,1+$M495/Scenario_DT!$C$19)*(1+$N495)^MAX(0,Scenario_DT!J$18-3))*(Scenario_DT!J$12+$O495)-Scenario_DT!J$13)*(1-Scenario_DT!J$14)+Scenario_DT!J$13-Scenario_DT!J$15)*Scenario_DT!J$16</f>
        <v>1831.5444885078109</v>
      </c>
      <c r="T495" s="28">
        <f>((Scenario_DT!K$11*(IF(Scenario_DT!K$18=1,1,1+$M495/Scenario_DT!$C$19)*(1+$N495)^MAX(0,Scenario_DT!K$18-3))*(Scenario_DT!K$12+$O495)-Scenario_DT!K$13)*(1-Scenario_DT!K$14)+Scenario_DT!K$13-Scenario_DT!K$15)*Scenario_DT!K$16</f>
        <v>2095.7345852695216</v>
      </c>
      <c r="U495" s="28">
        <f>((Scenario_DT!L$11*(IF(Scenario_DT!L$18=1,1,1+$M495/Scenario_DT!$C$19)*(1+$N495)^MAX(0,Scenario_DT!L$18-3))*(Scenario_DT!L$12+$O495)-Scenario_DT!L$13)*(1-Scenario_DT!L$14)+Scenario_DT!L$13-Scenario_DT!L$15)*Scenario_DT!L$16</f>
        <v>2474.7717232831783</v>
      </c>
      <c r="V495" s="28">
        <f>((Scenario_DT!M$11*(IF(Scenario_DT!M$18=1,1,1+$M495/Scenario_DT!$C$19)*(1+$N495)^MAX(0,Scenario_DT!M$18-3))*(Scenario_DT!M$12+$O495)-Scenario_DT!M$13)*(1-Scenario_DT!M$14)+Scenario_DT!M$13-Scenario_DT!M$15)*Scenario_DT!M$16</f>
        <v>2574.9476203761824</v>
      </c>
      <c r="W495" s="28">
        <f>((Scenario_DT!N$11*(IF(Scenario_DT!N$18=1,1,1+$M495/Scenario_DT!$C$19)*(1+$N495)^MAX(0,Scenario_DT!N$18-3))*(Scenario_DT!N$12+$O495)-Scenario_DT!N$13)*(1-Scenario_DT!N$14)+Scenario_DT!N$13-Scenario_DT!N$15)*Scenario_DT!N$16</f>
        <v>2679.1565821754234</v>
      </c>
      <c r="X495" s="28">
        <f>((Scenario_DT!O$11*(IF(Scenario_DT!O$18=1,1,1+$M495/Scenario_DT!$C$19)*(1+$N495)^MAX(0,Scenario_DT!O$18-3))*(Scenario_DT!O$12+$O495)-Scenario_DT!O$13)*(1-Scenario_DT!O$14)+Scenario_DT!O$13-Scenario_DT!O$15)*Scenario_DT!O$16</f>
        <v>2787.5623847203619</v>
      </c>
      <c r="Y495" s="28">
        <f>((Scenario_DT!P$11*(IF(Scenario_DT!P$18=1,1,1+$M495/Scenario_DT!$C$19)*(1+$N495)^MAX(0,Scenario_DT!P$18-3))*(Scenario_DT!P$12+$O495)-Scenario_DT!P$13)*(1-Scenario_DT!P$14)+Scenario_DT!P$13-Scenario_DT!P$15)*Scenario_DT!P$16</f>
        <v>2900.3354685195677</v>
      </c>
      <c r="Z495" s="28">
        <f>((Scenario_DT!Q$11*(IF(Scenario_DT!Q$18=1,1,1+$M495/Scenario_DT!$C$19)*(1+$N495)^MAX(0,Scenario_DT!Q$18-3))*(Scenario_DT!Q$12+$O495)-Scenario_DT!Q$13)*(1-Scenario_DT!Q$14)+Scenario_DT!Q$13-Scenario_DT!Q$15)*Scenario_DT!Q$16</f>
        <v>3017.6532098737921</v>
      </c>
      <c r="AA495" s="28">
        <f>((Scenario_DT!R$11*(IF(Scenario_DT!R$18=1,1,1+$M495/Scenario_DT!$C$19)*(1+$N495)^MAX(0,Scenario_DT!R$18-3))*(Scenario_DT!R$12+$O495)-Scenario_DT!R$13)*(1-Scenario_DT!R$14)+Scenario_DT!R$13-Scenario_DT!R$15)*Scenario_DT!R$16</f>
        <v>3139.7002032464097</v>
      </c>
      <c r="AB495" s="17">
        <f>(Scenario_DT!$R$11*(1+$M495/Scenario_DT!$C$19)*(1+$N495)^7*(Scenario_DT!$R$12+$O495)*(1+MIN(DCF_FCFF!$C$26+$Q495,(DCF_FCFF!$C$25+$P495)-0.02))*(1-DCF_FCFF!$C$27)*(1-DCF_FCFF!$C$28)/((DCF_FCFF!$C$25+$P495)-MIN(DCF_FCFF!$C$26+$Q495,(DCF_FCFF!$C$25+$P495)-0.02)))*(1+(DCF_FCFF!$C$25+$P495))^(-(Inputs!$C$9+9))</f>
        <v>30022.710553287438</v>
      </c>
      <c r="AC495" s="17">
        <f>SUMPRODUCT(R495:AA495*(1+(DCF_FCFF!$C$25+$P495))^(-Scenario_DT!$I$17:$R$17))+AB495</f>
        <v>46071.410859970281</v>
      </c>
      <c r="AD495" s="68">
        <f>((AC495-DCF_FCFF!$C$48)*(1-DCF_FCFF!$C$50)+DCF_FCFF!$C$57+DCF_FCFF!$C$58)/DCF_FCFF!$C$60</f>
        <v>345.78437825824159</v>
      </c>
      <c r="AE495" s="6"/>
      <c r="AF495" s="6"/>
      <c r="AG495" s="6"/>
    </row>
    <row r="496" spans="1:33" x14ac:dyDescent="0.3">
      <c r="A496" s="6"/>
      <c r="B496" s="72">
        <v>465</v>
      </c>
      <c r="C496" s="73">
        <v>3.2592443247014498E-2</v>
      </c>
      <c r="D496" s="73">
        <v>6.6978013131989894E-2</v>
      </c>
      <c r="E496" s="73">
        <v>0.40327358293034399</v>
      </c>
      <c r="F496" s="73">
        <v>8.0277320404037095E-2</v>
      </c>
      <c r="G496" s="73">
        <v>0.26272959641483401</v>
      </c>
      <c r="H496" s="15">
        <f t="shared" si="71"/>
        <v>-1.8439880173963561</v>
      </c>
      <c r="I496" s="15">
        <f t="shared" si="72"/>
        <v>-1.498682471056819</v>
      </c>
      <c r="J496" s="15">
        <f t="shared" si="73"/>
        <v>-0.24488281812922935</v>
      </c>
      <c r="K496" s="15">
        <f t="shared" si="74"/>
        <v>-1.4032086101580235</v>
      </c>
      <c r="L496" s="15">
        <f t="shared" si="75"/>
        <v>-0.63495280992743919</v>
      </c>
      <c r="M496" s="18">
        <f t="shared" si="76"/>
        <v>-3.6879760347927122E-2</v>
      </c>
      <c r="N496" s="18">
        <f t="shared" si="77"/>
        <v>-1.7759128806718563E-2</v>
      </c>
      <c r="O496" s="18">
        <f t="shared" si="78"/>
        <v>-2.9385938175507521E-3</v>
      </c>
      <c r="P496" s="18">
        <f t="shared" si="79"/>
        <v>-8.4192516609481408E-3</v>
      </c>
      <c r="Q496" s="18">
        <f t="shared" si="80"/>
        <v>-2.5398112397097567E-3</v>
      </c>
      <c r="R496" s="28">
        <f>((Scenario_DT!I$11*(IF(Scenario_DT!I$18=1,1,1+$M496/Scenario_DT!$C$19)*(1+$N496)^MAX(0,Scenario_DT!I$18-3))*(Scenario_DT!I$12+$O496)-Scenario_DT!I$13)*(1-Scenario_DT!I$14)+Scenario_DT!I$13-Scenario_DT!I$15)*Scenario_DT!I$16</f>
        <v>906.84143649257544</v>
      </c>
      <c r="S496" s="28">
        <f>((Scenario_DT!J$11*(IF(Scenario_DT!J$18=1,1,1+$M496/Scenario_DT!$C$19)*(1+$N496)^MAX(0,Scenario_DT!J$18-3))*(Scenario_DT!J$12+$O496)-Scenario_DT!J$13)*(1-Scenario_DT!J$14)+Scenario_DT!J$13-Scenario_DT!J$15)*Scenario_DT!J$16</f>
        <v>1734.7610100711217</v>
      </c>
      <c r="T496" s="28">
        <f>((Scenario_DT!K$11*(IF(Scenario_DT!K$18=1,1,1+$M496/Scenario_DT!$C$19)*(1+$N496)^MAX(0,Scenario_DT!K$18-3))*(Scenario_DT!K$12+$O496)-Scenario_DT!K$13)*(1-Scenario_DT!K$14)+Scenario_DT!K$13-Scenario_DT!K$15)*Scenario_DT!K$16</f>
        <v>1994.5625651807063</v>
      </c>
      <c r="U496" s="28">
        <f>((Scenario_DT!L$11*(IF(Scenario_DT!L$18=1,1,1+$M496/Scenario_DT!$C$19)*(1+$N496)^MAX(0,Scenario_DT!L$18-3))*(Scenario_DT!L$12+$O496)-Scenario_DT!L$13)*(1-Scenario_DT!L$14)+Scenario_DT!L$13-Scenario_DT!L$15)*Scenario_DT!L$16</f>
        <v>2346.5632947181466</v>
      </c>
      <c r="V496" s="28">
        <f>((Scenario_DT!M$11*(IF(Scenario_DT!M$18=1,1,1+$M496/Scenario_DT!$C$19)*(1+$N496)^MAX(0,Scenario_DT!M$18-3))*(Scenario_DT!M$12+$O496)-Scenario_DT!M$13)*(1-Scenario_DT!M$14)+Scenario_DT!M$13-Scenario_DT!M$15)*Scenario_DT!M$16</f>
        <v>2419.0987965553868</v>
      </c>
      <c r="W496" s="28">
        <f>((Scenario_DT!N$11*(IF(Scenario_DT!N$18=1,1,1+$M496/Scenario_DT!$C$19)*(1+$N496)^MAX(0,Scenario_DT!N$18-3))*(Scenario_DT!N$12+$O496)-Scenario_DT!N$13)*(1-Scenario_DT!N$14)+Scenario_DT!N$13-Scenario_DT!N$15)*Scenario_DT!N$16</f>
        <v>2493.8362557917508</v>
      </c>
      <c r="X496" s="28">
        <f>((Scenario_DT!O$11*(IF(Scenario_DT!O$18=1,1,1+$M496/Scenario_DT!$C$19)*(1+$N496)^MAX(0,Scenario_DT!O$18-3))*(Scenario_DT!O$12+$O496)-Scenario_DT!O$13)*(1-Scenario_DT!O$14)+Scenario_DT!O$13-Scenario_DT!O$15)*Scenario_DT!O$16</f>
        <v>2570.8426546021951</v>
      </c>
      <c r="Y496" s="28">
        <f>((Scenario_DT!P$11*(IF(Scenario_DT!P$18=1,1,1+$M496/Scenario_DT!$C$19)*(1+$N496)^MAX(0,Scenario_DT!P$18-3))*(Scenario_DT!P$12+$O496)-Scenario_DT!P$13)*(1-Scenario_DT!P$14)+Scenario_DT!P$13-Scenario_DT!P$15)*Scenario_DT!P$16</f>
        <v>2650.1869967274674</v>
      </c>
      <c r="Z496" s="28">
        <f>((Scenario_DT!Q$11*(IF(Scenario_DT!Q$18=1,1,1+$M496/Scenario_DT!$C$19)*(1+$N496)^MAX(0,Scenario_DT!Q$18-3))*(Scenario_DT!Q$12+$O496)-Scenario_DT!Q$13)*(1-Scenario_DT!Q$14)+Scenario_DT!Q$13-Scenario_DT!Q$15)*Scenario_DT!Q$16</f>
        <v>2731.9403675639269</v>
      </c>
      <c r="AA496" s="28">
        <f>((Scenario_DT!R$11*(IF(Scenario_DT!R$18=1,1,1+$M496/Scenario_DT!$C$19)*(1+$N496)^MAX(0,Scenario_DT!R$18-3))*(Scenario_DT!R$12+$O496)-Scenario_DT!R$13)*(1-Scenario_DT!R$14)+Scenario_DT!R$13-Scenario_DT!R$15)*Scenario_DT!R$16</f>
        <v>2816.1759959966794</v>
      </c>
      <c r="AB496" s="17">
        <f>(Scenario_DT!$R$11*(1+$M496/Scenario_DT!$C$19)*(1+$N496)^7*(Scenario_DT!$R$12+$O496)*(1+MIN(DCF_FCFF!$C$26+$Q496,(DCF_FCFF!$C$25+$P496)-0.02))*(1-DCF_FCFF!$C$27)*(1-DCF_FCFF!$C$28)/((DCF_FCFF!$C$25+$P496)-MIN(DCF_FCFF!$C$26+$Q496,(DCF_FCFF!$C$25+$P496)-0.02)))*(1+(DCF_FCFF!$C$25+$P496))^(-(Inputs!$C$9+9))</f>
        <v>28914.752221087896</v>
      </c>
      <c r="AC496" s="17">
        <f>SUMPRODUCT(R496:AA496*(1+(DCF_FCFF!$C$25+$P496))^(-Scenario_DT!$I$17:$R$17))+AB496</f>
        <v>44413.963394783968</v>
      </c>
      <c r="AD496" s="68">
        <f>((AC496-DCF_FCFF!$C$48)*(1-DCF_FCFF!$C$50)+DCF_FCFF!$C$57+DCF_FCFF!$C$58)/DCF_FCFF!$C$60</f>
        <v>329.87492378389737</v>
      </c>
      <c r="AE496" s="6"/>
      <c r="AF496" s="6"/>
      <c r="AG496" s="6"/>
    </row>
    <row r="497" spans="1:33" x14ac:dyDescent="0.3">
      <c r="A497" s="6"/>
      <c r="B497" s="72">
        <v>466</v>
      </c>
      <c r="C497" s="73">
        <v>0.98602974307662405</v>
      </c>
      <c r="D497" s="73">
        <v>0.20895960748461401</v>
      </c>
      <c r="E497" s="73">
        <v>0.19811774141209099</v>
      </c>
      <c r="F497" s="73">
        <v>0.57364066879570896</v>
      </c>
      <c r="G497" s="73">
        <v>0.49799829079315699</v>
      </c>
      <c r="H497" s="15">
        <f t="shared" si="71"/>
        <v>2.1981205865875522</v>
      </c>
      <c r="I497" s="15">
        <f t="shared" si="72"/>
        <v>-0.81003647068942441</v>
      </c>
      <c r="J497" s="15">
        <f t="shared" si="73"/>
        <v>-0.84836364485813287</v>
      </c>
      <c r="K497" s="15">
        <f t="shared" si="74"/>
        <v>0.1856507374572692</v>
      </c>
      <c r="L497" s="15">
        <f t="shared" si="75"/>
        <v>-5.0175619490120194E-3</v>
      </c>
      <c r="M497" s="18">
        <f t="shared" si="76"/>
        <v>4.3962411731751042E-2</v>
      </c>
      <c r="N497" s="18">
        <f t="shared" si="77"/>
        <v>3.1803850534787657E-3</v>
      </c>
      <c r="O497" s="18">
        <f t="shared" si="78"/>
        <v>-1.0180363738297595E-2</v>
      </c>
      <c r="P497" s="18">
        <f t="shared" si="79"/>
        <v>1.1139044247436153E-3</v>
      </c>
      <c r="Q497" s="18">
        <f t="shared" si="80"/>
        <v>-2.0070247796048077E-5</v>
      </c>
      <c r="R497" s="28">
        <f>((Scenario_DT!I$11*(IF(Scenario_DT!I$18=1,1,1+$M497/Scenario_DT!$C$19)*(1+$N497)^MAX(0,Scenario_DT!I$18-3))*(Scenario_DT!I$12+$O497)-Scenario_DT!I$13)*(1-Scenario_DT!I$14)+Scenario_DT!I$13-Scenario_DT!I$15)*Scenario_DT!I$16</f>
        <v>896.63132023784647</v>
      </c>
      <c r="S497" s="28">
        <f>((Scenario_DT!J$11*(IF(Scenario_DT!J$18=1,1,1+$M497/Scenario_DT!$C$19)*(1+$N497)^MAX(0,Scenario_DT!J$18-3))*(Scenario_DT!J$12+$O497)-Scenario_DT!J$13)*(1-Scenario_DT!J$14)+Scenario_DT!J$13-Scenario_DT!J$15)*Scenario_DT!J$16</f>
        <v>1904.1378127536577</v>
      </c>
      <c r="T497" s="28">
        <f>((Scenario_DT!K$11*(IF(Scenario_DT!K$18=1,1,1+$M497/Scenario_DT!$C$19)*(1+$N497)^MAX(0,Scenario_DT!K$18-3))*(Scenario_DT!K$12+$O497)-Scenario_DT!K$13)*(1-Scenario_DT!K$14)+Scenario_DT!K$13-Scenario_DT!K$15)*Scenario_DT!K$16</f>
        <v>2172.8412109751912</v>
      </c>
      <c r="U497" s="28">
        <f>((Scenario_DT!L$11*(IF(Scenario_DT!L$18=1,1,1+$M497/Scenario_DT!$C$19)*(1+$N497)^MAX(0,Scenario_DT!L$18-3))*(Scenario_DT!L$12+$O497)-Scenario_DT!L$13)*(1-Scenario_DT!L$14)+Scenario_DT!L$13-Scenario_DT!L$15)*Scenario_DT!L$16</f>
        <v>2586.8415099765457</v>
      </c>
      <c r="V497" s="28">
        <f>((Scenario_DT!M$11*(IF(Scenario_DT!M$18=1,1,1+$M497/Scenario_DT!$C$19)*(1+$N497)^MAX(0,Scenario_DT!M$18-3))*(Scenario_DT!M$12+$O497)-Scenario_DT!M$13)*(1-Scenario_DT!M$14)+Scenario_DT!M$13-Scenario_DT!M$15)*Scenario_DT!M$16</f>
        <v>2724.1570174082294</v>
      </c>
      <c r="W497" s="28">
        <f>((Scenario_DT!N$11*(IF(Scenario_DT!N$18=1,1,1+$M497/Scenario_DT!$C$19)*(1+$N497)^MAX(0,Scenario_DT!N$18-3))*(Scenario_DT!N$12+$O497)-Scenario_DT!N$13)*(1-Scenario_DT!N$14)+Scenario_DT!N$13-Scenario_DT!N$15)*Scenario_DT!N$16</f>
        <v>2868.7590228782888</v>
      </c>
      <c r="X497" s="28">
        <f>((Scenario_DT!O$11*(IF(Scenario_DT!O$18=1,1,1+$M497/Scenario_DT!$C$19)*(1+$N497)^MAX(0,Scenario_DT!O$18-3))*(Scenario_DT!O$12+$O497)-Scenario_DT!O$13)*(1-Scenario_DT!O$14)+Scenario_DT!O$13-Scenario_DT!O$15)*Scenario_DT!O$16</f>
        <v>3021.0367955297384</v>
      </c>
      <c r="Y497" s="28">
        <f>((Scenario_DT!P$11*(IF(Scenario_DT!P$18=1,1,1+$M497/Scenario_DT!$C$19)*(1+$N497)^MAX(0,Scenario_DT!P$18-3))*(Scenario_DT!P$12+$O497)-Scenario_DT!P$13)*(1-Scenario_DT!P$14)+Scenario_DT!P$13-Scenario_DT!P$15)*Scenario_DT!P$16</f>
        <v>3181.400418191944</v>
      </c>
      <c r="Z497" s="28">
        <f>((Scenario_DT!Q$11*(IF(Scenario_DT!Q$18=1,1,1+$M497/Scenario_DT!$C$19)*(1+$N497)^MAX(0,Scenario_DT!Q$18-3))*(Scenario_DT!Q$12+$O497)-Scenario_DT!Q$13)*(1-Scenario_DT!Q$14)+Scenario_DT!Q$13-Scenario_DT!Q$15)*Scenario_DT!Q$16</f>
        <v>3350.2819000434633</v>
      </c>
      <c r="AA497" s="28">
        <f>((Scenario_DT!R$11*(IF(Scenario_DT!R$18=1,1,1+$M497/Scenario_DT!$C$19)*(1+$N497)^MAX(0,Scenario_DT!R$18-3))*(Scenario_DT!R$12+$O497)-Scenario_DT!R$13)*(1-Scenario_DT!R$14)+Scenario_DT!R$13-Scenario_DT!R$15)*Scenario_DT!R$16</f>
        <v>3528.1363487361145</v>
      </c>
      <c r="AB497" s="17">
        <f>(Scenario_DT!$R$11*(1+$M497/Scenario_DT!$C$19)*(1+$N497)^7*(Scenario_DT!$R$12+$O497)*(1+MIN(DCF_FCFF!$C$26+$Q497,(DCF_FCFF!$C$25+$P497)-0.02))*(1-DCF_FCFF!$C$27)*(1-DCF_FCFF!$C$28)/((DCF_FCFF!$C$25+$P497)-MIN(DCF_FCFF!$C$26+$Q497,(DCF_FCFF!$C$25+$P497)-0.02)))*(1+(DCF_FCFF!$C$25+$P497))^(-(Inputs!$C$9+9))</f>
        <v>28811.72429363566</v>
      </c>
      <c r="AC497" s="17">
        <f>SUMPRODUCT(R497:AA497*(1+(DCF_FCFF!$C$25+$P497))^(-Scenario_DT!$I$17:$R$17))+AB497</f>
        <v>45836.131832946703</v>
      </c>
      <c r="AD497" s="68">
        <f>((AC497-DCF_FCFF!$C$48)*(1-DCF_FCFF!$C$50)+DCF_FCFF!$C$57+DCF_FCFF!$C$58)/DCF_FCFF!$C$60</f>
        <v>343.52598935130942</v>
      </c>
      <c r="AE497" s="6"/>
      <c r="AF497" s="6"/>
      <c r="AG497" s="6"/>
    </row>
    <row r="498" spans="1:33" x14ac:dyDescent="0.3">
      <c r="A498" s="6"/>
      <c r="B498" s="72">
        <v>467</v>
      </c>
      <c r="C498" s="73">
        <v>0.58043829720284501</v>
      </c>
      <c r="D498" s="73">
        <v>0.37673527820854702</v>
      </c>
      <c r="E498" s="73">
        <v>0.82676235989494695</v>
      </c>
      <c r="F498" s="73">
        <v>0.13858055144246301</v>
      </c>
      <c r="G498" s="73">
        <v>0.42839264584146602</v>
      </c>
      <c r="H498" s="15">
        <f t="shared" si="71"/>
        <v>0.20301487518585803</v>
      </c>
      <c r="I498" s="15">
        <f t="shared" si="72"/>
        <v>-0.31406646819245138</v>
      </c>
      <c r="J498" s="15">
        <f t="shared" si="73"/>
        <v>0.94144808806000313</v>
      </c>
      <c r="K498" s="15">
        <f t="shared" si="74"/>
        <v>-1.0867187999756698</v>
      </c>
      <c r="L498" s="15">
        <f t="shared" si="75"/>
        <v>-0.18046785036285898</v>
      </c>
      <c r="M498" s="18">
        <f t="shared" si="76"/>
        <v>4.0602975037171609E-3</v>
      </c>
      <c r="N498" s="18">
        <f t="shared" si="77"/>
        <v>-1.3638568187087298E-3</v>
      </c>
      <c r="O498" s="18">
        <f t="shared" si="78"/>
        <v>1.1297377056720037E-2</v>
      </c>
      <c r="P498" s="18">
        <f t="shared" si="79"/>
        <v>-6.5203127998540184E-3</v>
      </c>
      <c r="Q498" s="18">
        <f t="shared" si="80"/>
        <v>-7.2187140145143591E-4</v>
      </c>
      <c r="R498" s="28">
        <f>((Scenario_DT!I$11*(IF(Scenario_DT!I$18=1,1,1+$M498/Scenario_DT!$C$19)*(1+$N498)^MAX(0,Scenario_DT!I$18-3))*(Scenario_DT!I$12+$O498)-Scenario_DT!I$13)*(1-Scenario_DT!I$14)+Scenario_DT!I$13-Scenario_DT!I$15)*Scenario_DT!I$16</f>
        <v>926.9126234007415</v>
      </c>
      <c r="S498" s="28">
        <f>((Scenario_DT!J$11*(IF(Scenario_DT!J$18=1,1,1+$M498/Scenario_DT!$C$19)*(1+$N498)^MAX(0,Scenario_DT!J$18-3))*(Scenario_DT!J$12+$O498)-Scenario_DT!J$13)*(1-Scenario_DT!J$14)+Scenario_DT!J$13-Scenario_DT!J$15)*Scenario_DT!J$16</f>
        <v>1876.8989695200476</v>
      </c>
      <c r="T498" s="28">
        <f>((Scenario_DT!K$11*(IF(Scenario_DT!K$18=1,1,1+$M498/Scenario_DT!$C$19)*(1+$N498)^MAX(0,Scenario_DT!K$18-3))*(Scenario_DT!K$12+$O498)-Scenario_DT!K$13)*(1-Scenario_DT!K$14)+Scenario_DT!K$13-Scenario_DT!K$15)*Scenario_DT!K$16</f>
        <v>2143.2560974549251</v>
      </c>
      <c r="U498" s="28">
        <f>((Scenario_DT!L$11*(IF(Scenario_DT!L$18=1,1,1+$M498/Scenario_DT!$C$19)*(1+$N498)^MAX(0,Scenario_DT!L$18-3))*(Scenario_DT!L$12+$O498)-Scenario_DT!L$13)*(1-Scenario_DT!L$14)+Scenario_DT!L$13-Scenario_DT!L$15)*Scenario_DT!L$16</f>
        <v>2543.6771523654456</v>
      </c>
      <c r="V498" s="28">
        <f>((Scenario_DT!M$11*(IF(Scenario_DT!M$18=1,1,1+$M498/Scenario_DT!$C$19)*(1+$N498)^MAX(0,Scenario_DT!M$18-3))*(Scenario_DT!M$12+$O498)-Scenario_DT!M$13)*(1-Scenario_DT!M$14)+Scenario_DT!M$13-Scenario_DT!M$15)*Scenario_DT!M$16</f>
        <v>2666.4727425283168</v>
      </c>
      <c r="W498" s="28">
        <f>((Scenario_DT!N$11*(IF(Scenario_DT!N$18=1,1,1+$M498/Scenario_DT!$C$19)*(1+$N498)^MAX(0,Scenario_DT!N$18-3))*(Scenario_DT!N$12+$O498)-Scenario_DT!N$13)*(1-Scenario_DT!N$14)+Scenario_DT!N$13-Scenario_DT!N$15)*Scenario_DT!N$16</f>
        <v>2795.1869653316639</v>
      </c>
      <c r="X498" s="28">
        <f>((Scenario_DT!O$11*(IF(Scenario_DT!O$18=1,1,1+$M498/Scenario_DT!$C$19)*(1+$N498)^MAX(0,Scenario_DT!O$18-3))*(Scenario_DT!O$12+$O498)-Scenario_DT!O$13)*(1-Scenario_DT!O$14)+Scenario_DT!O$13-Scenario_DT!O$15)*Scenario_DT!O$16</f>
        <v>2930.1073094619992</v>
      </c>
      <c r="Y498" s="28">
        <f>((Scenario_DT!P$11*(IF(Scenario_DT!P$18=1,1,1+$M498/Scenario_DT!$C$19)*(1+$N498)^MAX(0,Scenario_DT!P$18-3))*(Scenario_DT!P$12+$O498)-Scenario_DT!P$13)*(1-Scenario_DT!P$14)+Scenario_DT!P$13-Scenario_DT!P$15)*Scenario_DT!P$16</f>
        <v>3071.5352486874322</v>
      </c>
      <c r="Z498" s="28">
        <f>((Scenario_DT!Q$11*(IF(Scenario_DT!Q$18=1,1,1+$M498/Scenario_DT!$C$19)*(1+$N498)^MAX(0,Scenario_DT!Q$18-3))*(Scenario_DT!Q$12+$O498)-Scenario_DT!Q$13)*(1-Scenario_DT!Q$14)+Scenario_DT!Q$13-Scenario_DT!Q$15)*Scenario_DT!Q$16</f>
        <v>3219.7869223064363</v>
      </c>
      <c r="AA498" s="28">
        <f>((Scenario_DT!R$11*(IF(Scenario_DT!R$18=1,1,1+$M498/Scenario_DT!$C$19)*(1+$N498)^MAX(0,Scenario_DT!R$18-3))*(Scenario_DT!R$12+$O498)-Scenario_DT!R$13)*(1-Scenario_DT!R$14)+Scenario_DT!R$13-Scenario_DT!R$15)*Scenario_DT!R$16</f>
        <v>3375.1938487021494</v>
      </c>
      <c r="AB498" s="17">
        <f>(Scenario_DT!$R$11*(1+$M498/Scenario_DT!$C$19)*(1+$N498)^7*(Scenario_DT!$R$12+$O498)*(1+MIN(DCF_FCFF!$C$26+$Q498,(DCF_FCFF!$C$25+$P498)-0.02))*(1-DCF_FCFF!$C$27)*(1-DCF_FCFF!$C$28)/((DCF_FCFF!$C$25+$P498)-MIN(DCF_FCFF!$C$26+$Q498,(DCF_FCFF!$C$25+$P498)-0.02)))*(1+(DCF_FCFF!$C$25+$P498))^(-(Inputs!$C$9+9))</f>
        <v>34025.351033872379</v>
      </c>
      <c r="AC498" s="17">
        <f>SUMPRODUCT(R498:AA498*(1+(DCF_FCFF!$C$25+$P498))^(-Scenario_DT!$I$17:$R$17))+AB498</f>
        <v>51207.043657743896</v>
      </c>
      <c r="AD498" s="68">
        <f>((AC498-DCF_FCFF!$C$48)*(1-DCF_FCFF!$C$50)+DCF_FCFF!$C$57+DCF_FCFF!$C$58)/DCF_FCFF!$C$60</f>
        <v>395.08012844598215</v>
      </c>
      <c r="AE498" s="6"/>
      <c r="AF498" s="6"/>
      <c r="AG498" s="6"/>
    </row>
    <row r="499" spans="1:33" x14ac:dyDescent="0.3">
      <c r="A499" s="6"/>
      <c r="B499" s="72">
        <v>468</v>
      </c>
      <c r="C499" s="73">
        <v>0.68976184844408694</v>
      </c>
      <c r="D499" s="73">
        <v>0.86823644028290003</v>
      </c>
      <c r="E499" s="73">
        <v>0.36957160635675801</v>
      </c>
      <c r="F499" s="73">
        <v>0.567745599093753</v>
      </c>
      <c r="G499" s="73">
        <v>6.9139945007261505E-2</v>
      </c>
      <c r="H499" s="15">
        <f t="shared" si="71"/>
        <v>0.49517541509721952</v>
      </c>
      <c r="I499" s="15">
        <f t="shared" si="72"/>
        <v>1.1180933661001258</v>
      </c>
      <c r="J499" s="15">
        <f t="shared" si="73"/>
        <v>-0.33298817044763912</v>
      </c>
      <c r="K499" s="15">
        <f t="shared" si="74"/>
        <v>0.17063750991143503</v>
      </c>
      <c r="L499" s="15">
        <f t="shared" si="75"/>
        <v>-1.4822270550847283</v>
      </c>
      <c r="M499" s="18">
        <f t="shared" si="76"/>
        <v>9.9035083019443897E-3</v>
      </c>
      <c r="N499" s="18">
        <f t="shared" si="77"/>
        <v>9.7270797311533874E-3</v>
      </c>
      <c r="O499" s="18">
        <f t="shared" si="78"/>
        <v>-3.9958580453716697E-3</v>
      </c>
      <c r="P499" s="18">
        <f t="shared" si="79"/>
        <v>1.0238250594686103E-3</v>
      </c>
      <c r="Q499" s="18">
        <f t="shared" si="80"/>
        <v>-5.928908220338913E-3</v>
      </c>
      <c r="R499" s="28">
        <f>((Scenario_DT!I$11*(IF(Scenario_DT!I$18=1,1,1+$M499/Scenario_DT!$C$19)*(1+$N499)^MAX(0,Scenario_DT!I$18-3))*(Scenario_DT!I$12+$O499)-Scenario_DT!I$13)*(1-Scenario_DT!I$14)+Scenario_DT!I$13-Scenario_DT!I$15)*Scenario_DT!I$16</f>
        <v>905.35080771036439</v>
      </c>
      <c r="S499" s="28">
        <f>((Scenario_DT!J$11*(IF(Scenario_DT!J$18=1,1,1+$M499/Scenario_DT!$C$19)*(1+$N499)^MAX(0,Scenario_DT!J$18-3))*(Scenario_DT!J$12+$O499)-Scenario_DT!J$13)*(1-Scenario_DT!J$14)+Scenario_DT!J$13-Scenario_DT!J$15)*Scenario_DT!J$16</f>
        <v>1843.091386849846</v>
      </c>
      <c r="T499" s="28">
        <f>((Scenario_DT!K$11*(IF(Scenario_DT!K$18=1,1,1+$M499/Scenario_DT!$C$19)*(1+$N499)^MAX(0,Scenario_DT!K$18-3))*(Scenario_DT!K$12+$O499)-Scenario_DT!K$13)*(1-Scenario_DT!K$14)+Scenario_DT!K$13-Scenario_DT!K$15)*Scenario_DT!K$16</f>
        <v>2108.4190463892937</v>
      </c>
      <c r="U499" s="28">
        <f>((Scenario_DT!L$11*(IF(Scenario_DT!L$18=1,1,1+$M499/Scenario_DT!$C$19)*(1+$N499)^MAX(0,Scenario_DT!L$18-3))*(Scenario_DT!L$12+$O499)-Scenario_DT!L$13)*(1-Scenario_DT!L$14)+Scenario_DT!L$13-Scenario_DT!L$15)*Scenario_DT!L$16</f>
        <v>2534.7658802214346</v>
      </c>
      <c r="V499" s="28">
        <f>((Scenario_DT!M$11*(IF(Scenario_DT!M$18=1,1,1+$M499/Scenario_DT!$C$19)*(1+$N499)^MAX(0,Scenario_DT!M$18-3))*(Scenario_DT!M$12+$O499)-Scenario_DT!M$13)*(1-Scenario_DT!M$14)+Scenario_DT!M$13-Scenario_DT!M$15)*Scenario_DT!M$16</f>
        <v>2686.8437582124561</v>
      </c>
      <c r="W499" s="28">
        <f>((Scenario_DT!N$11*(IF(Scenario_DT!N$18=1,1,1+$M499/Scenario_DT!$C$19)*(1+$N499)^MAX(0,Scenario_DT!N$18-3))*(Scenario_DT!N$12+$O499)-Scenario_DT!N$13)*(1-Scenario_DT!N$14)+Scenario_DT!N$13-Scenario_DT!N$15)*Scenario_DT!N$16</f>
        <v>2848.0516971502493</v>
      </c>
      <c r="X499" s="28">
        <f>((Scenario_DT!O$11*(IF(Scenario_DT!O$18=1,1,1+$M499/Scenario_DT!$C$19)*(1+$N499)^MAX(0,Scenario_DT!O$18-3))*(Scenario_DT!O$12+$O499)-Scenario_DT!O$13)*(1-Scenario_DT!O$14)+Scenario_DT!O$13-Scenario_DT!O$15)*Scenario_DT!O$16</f>
        <v>3018.9408949539129</v>
      </c>
      <c r="Y499" s="28">
        <f>((Scenario_DT!P$11*(IF(Scenario_DT!P$18=1,1,1+$M499/Scenario_DT!$C$19)*(1+$N499)^MAX(0,Scenario_DT!P$18-3))*(Scenario_DT!P$12+$O499)-Scenario_DT!P$13)*(1-Scenario_DT!P$14)+Scenario_DT!P$13-Scenario_DT!P$15)*Scenario_DT!P$16</f>
        <v>3200.0958296402273</v>
      </c>
      <c r="Z499" s="28">
        <f>((Scenario_DT!Q$11*(IF(Scenario_DT!Q$18=1,1,1+$M499/Scenario_DT!$C$19)*(1+$N499)^MAX(0,Scenario_DT!Q$18-3))*(Scenario_DT!Q$12+$O499)-Scenario_DT!Q$13)*(1-Scenario_DT!Q$14)+Scenario_DT!Q$13-Scenario_DT!Q$15)*Scenario_DT!Q$16</f>
        <v>3392.136267508351</v>
      </c>
      <c r="AA499" s="28">
        <f>((Scenario_DT!R$11*(IF(Scenario_DT!R$18=1,1,1+$M499/Scenario_DT!$C$19)*(1+$N499)^MAX(0,Scenario_DT!R$18-3))*(Scenario_DT!R$12+$O499)-Scenario_DT!R$13)*(1-Scenario_DT!R$14)+Scenario_DT!R$13-Scenario_DT!R$15)*Scenario_DT!R$16</f>
        <v>3595.7193924358153</v>
      </c>
      <c r="AB499" s="17">
        <f>(Scenario_DT!$R$11*(1+$M499/Scenario_DT!$C$19)*(1+$N499)^7*(Scenario_DT!$R$12+$O499)*(1+MIN(DCF_FCFF!$C$26+$Q499,(DCF_FCFF!$C$25+$P499)-0.02))*(1-DCF_FCFF!$C$27)*(1-DCF_FCFF!$C$28)/((DCF_FCFF!$C$25+$P499)-MIN(DCF_FCFF!$C$26+$Q499,(DCF_FCFF!$C$25+$P499)-0.02)))*(1+(DCF_FCFF!$C$25+$P499))^(-(Inputs!$C$9+9))</f>
        <v>26251.083079374177</v>
      </c>
      <c r="AC499" s="17">
        <f>SUMPRODUCT(R499:AA499*(1+(DCF_FCFF!$C$25+$P499))^(-Scenario_DT!$I$17:$R$17))+AB499</f>
        <v>43160.907311787385</v>
      </c>
      <c r="AD499" s="68">
        <f>((AC499-DCF_FCFF!$C$48)*(1-DCF_FCFF!$C$50)+DCF_FCFF!$C$57+DCF_FCFF!$C$58)/DCF_FCFF!$C$60</f>
        <v>317.84712855963465</v>
      </c>
      <c r="AE499" s="6"/>
      <c r="AF499" s="6"/>
      <c r="AG499" s="6"/>
    </row>
    <row r="500" spans="1:33" x14ac:dyDescent="0.3">
      <c r="A500" s="6"/>
      <c r="B500" s="72">
        <v>469</v>
      </c>
      <c r="C500" s="73">
        <v>0.170319088111829</v>
      </c>
      <c r="D500" s="73">
        <v>6.9138162466114497E-2</v>
      </c>
      <c r="E500" s="73">
        <v>0.72788089199852202</v>
      </c>
      <c r="F500" s="73">
        <v>0.28805996872214101</v>
      </c>
      <c r="G500" s="73">
        <v>0.72374529019183798</v>
      </c>
      <c r="H500" s="15">
        <f t="shared" si="71"/>
        <v>-0.95290505976691831</v>
      </c>
      <c r="I500" s="15">
        <f t="shared" si="72"/>
        <v>-1.4822404581970763</v>
      </c>
      <c r="J500" s="15">
        <f t="shared" si="73"/>
        <v>0.60641649771332162</v>
      </c>
      <c r="K500" s="15">
        <f t="shared" si="74"/>
        <v>-0.55906122357129895</v>
      </c>
      <c r="L500" s="15">
        <f t="shared" si="75"/>
        <v>0.5940040269098239</v>
      </c>
      <c r="M500" s="18">
        <f t="shared" si="76"/>
        <v>-1.9058101195338368E-2</v>
      </c>
      <c r="N500" s="18">
        <f t="shared" si="77"/>
        <v>-1.4080883369593709E-2</v>
      </c>
      <c r="O500" s="18">
        <f t="shared" si="78"/>
        <v>7.2769979725598594E-3</v>
      </c>
      <c r="P500" s="18">
        <f t="shared" si="79"/>
        <v>-3.3543673414277936E-3</v>
      </c>
      <c r="Q500" s="18">
        <f t="shared" si="80"/>
        <v>2.3760161076392958E-3</v>
      </c>
      <c r="R500" s="28">
        <f>((Scenario_DT!I$11*(IF(Scenario_DT!I$18=1,1,1+$M500/Scenario_DT!$C$19)*(1+$N500)^MAX(0,Scenario_DT!I$18-3))*(Scenario_DT!I$12+$O500)-Scenario_DT!I$13)*(1-Scenario_DT!I$14)+Scenario_DT!I$13-Scenario_DT!I$15)*Scenario_DT!I$16</f>
        <v>921.24432155097463</v>
      </c>
      <c r="S500" s="28">
        <f>((Scenario_DT!J$11*(IF(Scenario_DT!J$18=1,1,1+$M500/Scenario_DT!$C$19)*(1+$N500)^MAX(0,Scenario_DT!J$18-3))*(Scenario_DT!J$12+$O500)-Scenario_DT!J$13)*(1-Scenario_DT!J$14)+Scenario_DT!J$13-Scenario_DT!J$15)*Scenario_DT!J$16</f>
        <v>1808.3973873808609</v>
      </c>
      <c r="T500" s="28">
        <f>((Scenario_DT!K$11*(IF(Scenario_DT!K$18=1,1,1+$M500/Scenario_DT!$C$19)*(1+$N500)^MAX(0,Scenario_DT!K$18-3))*(Scenario_DT!K$12+$O500)-Scenario_DT!K$13)*(1-Scenario_DT!K$14)+Scenario_DT!K$13-Scenario_DT!K$15)*Scenario_DT!K$16</f>
        <v>2071.4799466900627</v>
      </c>
      <c r="U500" s="28">
        <f>((Scenario_DT!L$11*(IF(Scenario_DT!L$18=1,1,1+$M500/Scenario_DT!$C$19)*(1+$N500)^MAX(0,Scenario_DT!L$18-3))*(Scenario_DT!L$12+$O500)-Scenario_DT!L$13)*(1-Scenario_DT!L$14)+Scenario_DT!L$13-Scenario_DT!L$15)*Scenario_DT!L$16</f>
        <v>2435.932912729113</v>
      </c>
      <c r="V500" s="28">
        <f>((Scenario_DT!M$11*(IF(Scenario_DT!M$18=1,1,1+$M500/Scenario_DT!$C$19)*(1+$N500)^MAX(0,Scenario_DT!M$18-3))*(Scenario_DT!M$12+$O500)-Scenario_DT!M$13)*(1-Scenario_DT!M$14)+Scenario_DT!M$13-Scenario_DT!M$15)*Scenario_DT!M$16</f>
        <v>2520.74354310436</v>
      </c>
      <c r="W500" s="28">
        <f>((Scenario_DT!N$11*(IF(Scenario_DT!N$18=1,1,1+$M500/Scenario_DT!$C$19)*(1+$N500)^MAX(0,Scenario_DT!N$18-3))*(Scenario_DT!N$12+$O500)-Scenario_DT!N$13)*(1-Scenario_DT!N$14)+Scenario_DT!N$13-Scenario_DT!N$15)*Scenario_DT!N$16</f>
        <v>2608.4745889151727</v>
      </c>
      <c r="X500" s="28">
        <f>((Scenario_DT!O$11*(IF(Scenario_DT!O$18=1,1,1+$M500/Scenario_DT!$C$19)*(1+$N500)^MAX(0,Scenario_DT!O$18-3))*(Scenario_DT!O$12+$O500)-Scenario_DT!O$13)*(1-Scenario_DT!O$14)+Scenario_DT!O$13-Scenario_DT!O$15)*Scenario_DT!O$16</f>
        <v>2699.2273057318257</v>
      </c>
      <c r="Y500" s="28">
        <f>((Scenario_DT!P$11*(IF(Scenario_DT!P$18=1,1,1+$M500/Scenario_DT!$C$19)*(1+$N500)^MAX(0,Scenario_DT!P$18-3))*(Scenario_DT!P$12+$O500)-Scenario_DT!P$13)*(1-Scenario_DT!P$14)+Scenario_DT!P$13-Scenario_DT!P$15)*Scenario_DT!P$16</f>
        <v>2793.1064589552793</v>
      </c>
      <c r="Z500" s="28">
        <f>((Scenario_DT!Q$11*(IF(Scenario_DT!Q$18=1,1,1+$M500/Scenario_DT!$C$19)*(1+$N500)^MAX(0,Scenario_DT!Q$18-3))*(Scenario_DT!Q$12+$O500)-Scenario_DT!Q$13)*(1-Scenario_DT!Q$14)+Scenario_DT!Q$13-Scenario_DT!Q$15)*Scenario_DT!Q$16</f>
        <v>2890.2204451367138</v>
      </c>
      <c r="AA500" s="28">
        <f>((Scenario_DT!R$11*(IF(Scenario_DT!R$18=1,1,1+$M500/Scenario_DT!$C$19)*(1+$N500)^MAX(0,Scenario_DT!R$18-3))*(Scenario_DT!R$12+$O500)-Scenario_DT!R$13)*(1-Scenario_DT!R$14)+Scenario_DT!R$13-Scenario_DT!R$15)*Scenario_DT!R$16</f>
        <v>2990.6814174731189</v>
      </c>
      <c r="AB500" s="17">
        <f>(Scenario_DT!$R$11*(1+$M500/Scenario_DT!$C$19)*(1+$N500)^7*(Scenario_DT!$R$12+$O500)*(1+MIN(DCF_FCFF!$C$26+$Q500,(DCF_FCFF!$C$25+$P500)-0.02))*(1-DCF_FCFF!$C$27)*(1-DCF_FCFF!$C$28)/((DCF_FCFF!$C$25+$P500)-MIN(DCF_FCFF!$C$26+$Q500,(DCF_FCFF!$C$25+$P500)-0.02)))*(1+(DCF_FCFF!$C$25+$P500))^(-(Inputs!$C$9+9))</f>
        <v>29401.517402573882</v>
      </c>
      <c r="AC500" s="17">
        <f>SUMPRODUCT(R500:AA500*(1+(DCF_FCFF!$C$25+$P500))^(-Scenario_DT!$I$17:$R$17))+AB500</f>
        <v>45264.075034562338</v>
      </c>
      <c r="AD500" s="68">
        <f>((AC500-DCF_FCFF!$C$48)*(1-DCF_FCFF!$C$50)+DCF_FCFF!$C$57+DCF_FCFF!$C$58)/DCF_FCFF!$C$60</f>
        <v>338.03494859026057</v>
      </c>
      <c r="AE500" s="6"/>
      <c r="AF500" s="6"/>
      <c r="AG500" s="6"/>
    </row>
    <row r="501" spans="1:33" x14ac:dyDescent="0.3">
      <c r="A501" s="6"/>
      <c r="B501" s="72">
        <v>470</v>
      </c>
      <c r="C501" s="73">
        <v>6.6398279043274597E-2</v>
      </c>
      <c r="D501" s="73">
        <v>0.86254780040832602</v>
      </c>
      <c r="E501" s="73">
        <v>0.83553019811109197</v>
      </c>
      <c r="F501" s="73">
        <v>8.8928743050282602E-2</v>
      </c>
      <c r="G501" s="73">
        <v>2.3756506457186501E-2</v>
      </c>
      <c r="H501" s="15">
        <f t="shared" si="71"/>
        <v>-1.5031647768439076</v>
      </c>
      <c r="I501" s="15">
        <f t="shared" si="72"/>
        <v>1.0918378043819363</v>
      </c>
      <c r="J501" s="15">
        <f t="shared" si="73"/>
        <v>0.97625199264353602</v>
      </c>
      <c r="K501" s="15">
        <f t="shared" si="74"/>
        <v>-1.3473812191977286</v>
      </c>
      <c r="L501" s="15">
        <f t="shared" si="75"/>
        <v>-1.9816983418750374</v>
      </c>
      <c r="M501" s="18">
        <f t="shared" si="76"/>
        <v>-3.0063295536878153E-2</v>
      </c>
      <c r="N501" s="18">
        <f t="shared" si="77"/>
        <v>1.5518150958802198E-3</v>
      </c>
      <c r="O501" s="18">
        <f t="shared" si="78"/>
        <v>1.1715023911722432E-2</v>
      </c>
      <c r="P501" s="18">
        <f t="shared" si="79"/>
        <v>-8.0842873151863708E-3</v>
      </c>
      <c r="Q501" s="18">
        <f t="shared" si="80"/>
        <v>-7.9267933675001498E-3</v>
      </c>
      <c r="R501" s="28">
        <f>((Scenario_DT!I$11*(IF(Scenario_DT!I$18=1,1,1+$M501/Scenario_DT!$C$19)*(1+$N501)^MAX(0,Scenario_DT!I$18-3))*(Scenario_DT!I$12+$O501)-Scenario_DT!I$13)*(1-Scenario_DT!I$14)+Scenario_DT!I$13-Scenario_DT!I$15)*Scenario_DT!I$16</f>
        <v>927.50146052062564</v>
      </c>
      <c r="S501" s="28">
        <f>((Scenario_DT!J$11*(IF(Scenario_DT!J$18=1,1,1+$M501/Scenario_DT!$C$19)*(1+$N501)^MAX(0,Scenario_DT!J$18-3))*(Scenario_DT!J$12+$O501)-Scenario_DT!J$13)*(1-Scenario_DT!J$14)+Scenario_DT!J$13-Scenario_DT!J$15)*Scenario_DT!J$16</f>
        <v>1795.1129311054701</v>
      </c>
      <c r="T501" s="28">
        <f>((Scenario_DT!K$11*(IF(Scenario_DT!K$18=1,1,1+$M501/Scenario_DT!$C$19)*(1+$N501)^MAX(0,Scenario_DT!K$18-3))*(Scenario_DT!K$12+$O501)-Scenario_DT!K$13)*(1-Scenario_DT!K$14)+Scenario_DT!K$13-Scenario_DT!K$15)*Scenario_DT!K$16</f>
        <v>2057.3387001990659</v>
      </c>
      <c r="U501" s="28">
        <f>((Scenario_DT!L$11*(IF(Scenario_DT!L$18=1,1,1+$M501/Scenario_DT!$C$19)*(1+$N501)^MAX(0,Scenario_DT!L$18-3))*(Scenario_DT!L$12+$O501)-Scenario_DT!L$13)*(1-Scenario_DT!L$14)+Scenario_DT!L$13-Scenario_DT!L$15)*Scenario_DT!L$16</f>
        <v>2459.7863949581524</v>
      </c>
      <c r="V501" s="28">
        <f>((Scenario_DT!M$11*(IF(Scenario_DT!M$18=1,1,1+$M501/Scenario_DT!$C$19)*(1+$N501)^MAX(0,Scenario_DT!M$18-3))*(Scenario_DT!M$12+$O501)-Scenario_DT!M$13)*(1-Scenario_DT!M$14)+Scenario_DT!M$13-Scenario_DT!M$15)*Scenario_DT!M$16</f>
        <v>2586.0897712868154</v>
      </c>
      <c r="W501" s="28">
        <f>((Scenario_DT!N$11*(IF(Scenario_DT!N$18=1,1,1+$M501/Scenario_DT!$C$19)*(1+$N501)^MAX(0,Scenario_DT!N$18-3))*(Scenario_DT!N$12+$O501)-Scenario_DT!N$13)*(1-Scenario_DT!N$14)+Scenario_DT!N$13-Scenario_DT!N$15)*Scenario_DT!N$16</f>
        <v>2718.8736101175236</v>
      </c>
      <c r="X501" s="28">
        <f>((Scenario_DT!O$11*(IF(Scenario_DT!O$18=1,1,1+$M501/Scenario_DT!$C$19)*(1+$N501)^MAX(0,Scenario_DT!O$18-3))*(Scenario_DT!O$12+$O501)-Scenario_DT!O$13)*(1-Scenario_DT!O$14)+Scenario_DT!O$13-Scenario_DT!O$15)*Scenario_DT!O$16</f>
        <v>2858.4728981090007</v>
      </c>
      <c r="Y501" s="28">
        <f>((Scenario_DT!P$11*(IF(Scenario_DT!P$18=1,1,1+$M501/Scenario_DT!$C$19)*(1+$N501)^MAX(0,Scenario_DT!P$18-3))*(Scenario_DT!P$12+$O501)-Scenario_DT!P$13)*(1-Scenario_DT!P$14)+Scenario_DT!P$13-Scenario_DT!P$15)*Scenario_DT!P$16</f>
        <v>3005.2399573650905</v>
      </c>
      <c r="Z501" s="28">
        <f>((Scenario_DT!Q$11*(IF(Scenario_DT!Q$18=1,1,1+$M501/Scenario_DT!$C$19)*(1+$N501)^MAX(0,Scenario_DT!Q$18-3))*(Scenario_DT!Q$12+$O501)-Scenario_DT!Q$13)*(1-Scenario_DT!Q$14)+Scenario_DT!Q$13-Scenario_DT!Q$15)*Scenario_DT!Q$16</f>
        <v>3159.5453424782963</v>
      </c>
      <c r="AA501" s="28">
        <f>((Scenario_DT!R$11*(IF(Scenario_DT!R$18=1,1,1+$M501/Scenario_DT!$C$19)*(1+$N501)^MAX(0,Scenario_DT!R$18-3))*(Scenario_DT!R$12+$O501)-Scenario_DT!R$13)*(1-Scenario_DT!R$14)+Scenario_DT!R$13-Scenario_DT!R$15)*Scenario_DT!R$16</f>
        <v>3321.7787839799125</v>
      </c>
      <c r="AB501" s="17">
        <f>(Scenario_DT!$R$11*(1+$M501/Scenario_DT!$C$19)*(1+$N501)^7*(Scenario_DT!$R$12+$O501)*(1+MIN(DCF_FCFF!$C$26+$Q501,(DCF_FCFF!$C$25+$P501)-0.02))*(1-DCF_FCFF!$C$27)*(1-DCF_FCFF!$C$28)/((DCF_FCFF!$C$25+$P501)-MIN(DCF_FCFF!$C$26+$Q501,(DCF_FCFF!$C$25+$P501)-0.02)))*(1+(DCF_FCFF!$C$25+$P501))^(-(Inputs!$C$9+9))</f>
        <v>29931.38072307322</v>
      </c>
      <c r="AC501" s="17">
        <f>SUMPRODUCT(R501:AA501*(1+(DCF_FCFF!$C$25+$P501))^(-Scenario_DT!$I$17:$R$17))+AB501</f>
        <v>46762.251378236557</v>
      </c>
      <c r="AD501" s="68">
        <f>((AC501-DCF_FCFF!$C$48)*(1-DCF_FCFF!$C$50)+DCF_FCFF!$C$57+DCF_FCFF!$C$58)/DCF_FCFF!$C$60</f>
        <v>352.41559644478855</v>
      </c>
      <c r="AE501" s="6"/>
      <c r="AF501" s="6"/>
      <c r="AG501" s="6"/>
    </row>
    <row r="502" spans="1:33" x14ac:dyDescent="0.3">
      <c r="A502" s="6"/>
      <c r="B502" s="72">
        <v>471</v>
      </c>
      <c r="C502" s="73">
        <v>5.6288812981991197E-2</v>
      </c>
      <c r="D502" s="73">
        <v>0.85363017314673395</v>
      </c>
      <c r="E502" s="73">
        <v>0.234703489051896</v>
      </c>
      <c r="F502" s="73">
        <v>0.548273317858189</v>
      </c>
      <c r="G502" s="73">
        <v>0.42624420318005701</v>
      </c>
      <c r="H502" s="15">
        <f t="shared" si="71"/>
        <v>-1.5867131531698417</v>
      </c>
      <c r="I502" s="15">
        <f t="shared" si="72"/>
        <v>1.0521305583803355</v>
      </c>
      <c r="J502" s="15">
        <f t="shared" si="73"/>
        <v>-0.72344427523185062</v>
      </c>
      <c r="K502" s="15">
        <f t="shared" si="74"/>
        <v>0.12130007036984788</v>
      </c>
      <c r="L502" s="15">
        <f t="shared" si="75"/>
        <v>-0.18594434490495365</v>
      </c>
      <c r="M502" s="18">
        <f t="shared" si="76"/>
        <v>-3.1734263063396835E-2</v>
      </c>
      <c r="N502" s="18">
        <f t="shared" si="77"/>
        <v>9.4252172056284863E-4</v>
      </c>
      <c r="O502" s="18">
        <f t="shared" si="78"/>
        <v>-8.6813313027822078E-3</v>
      </c>
      <c r="P502" s="18">
        <f t="shared" si="79"/>
        <v>7.2780042221908729E-4</v>
      </c>
      <c r="Q502" s="18">
        <f t="shared" si="80"/>
        <v>-7.4377737961981458E-4</v>
      </c>
      <c r="R502" s="28">
        <f>((Scenario_DT!I$11*(IF(Scenario_DT!I$18=1,1,1+$M502/Scenario_DT!$C$19)*(1+$N502)^MAX(0,Scenario_DT!I$18-3))*(Scenario_DT!I$12+$O502)-Scenario_DT!I$13)*(1-Scenario_DT!I$14)+Scenario_DT!I$13-Scenario_DT!I$15)*Scenario_DT!I$16</f>
        <v>898.74479465138347</v>
      </c>
      <c r="S502" s="28">
        <f>((Scenario_DT!J$11*(IF(Scenario_DT!J$18=1,1,1+$M502/Scenario_DT!$C$19)*(1+$N502)^MAX(0,Scenario_DT!J$18-3))*(Scenario_DT!J$12+$O502)-Scenario_DT!J$13)*(1-Scenario_DT!J$14)+Scenario_DT!J$13-Scenario_DT!J$15)*Scenario_DT!J$16</f>
        <v>1729.796196630371</v>
      </c>
      <c r="T502" s="28">
        <f>((Scenario_DT!K$11*(IF(Scenario_DT!K$18=1,1,1+$M502/Scenario_DT!$C$19)*(1+$N502)^MAX(0,Scenario_DT!K$18-3))*(Scenario_DT!K$12+$O502)-Scenario_DT!K$13)*(1-Scenario_DT!K$14)+Scenario_DT!K$13-Scenario_DT!K$15)*Scenario_DT!K$16</f>
        <v>1989.59234867023</v>
      </c>
      <c r="U502" s="28">
        <f>((Scenario_DT!L$11*(IF(Scenario_DT!L$18=1,1,1+$M502/Scenario_DT!$C$19)*(1+$N502)^MAX(0,Scenario_DT!L$18-3))*(Scenario_DT!L$12+$O502)-Scenario_DT!L$13)*(1-Scenario_DT!L$14)+Scenario_DT!L$13-Scenario_DT!L$15)*Scenario_DT!L$16</f>
        <v>2386.2804029942004</v>
      </c>
      <c r="V502" s="28">
        <f>((Scenario_DT!M$11*(IF(Scenario_DT!M$18=1,1,1+$M502/Scenario_DT!$C$19)*(1+$N502)^MAX(0,Scenario_DT!M$18-3))*(Scenario_DT!M$12+$O502)-Scenario_DT!M$13)*(1-Scenario_DT!M$14)+Scenario_DT!M$13-Scenario_DT!M$15)*Scenario_DT!M$16</f>
        <v>2507.2512707082101</v>
      </c>
      <c r="W502" s="28">
        <f>((Scenario_DT!N$11*(IF(Scenario_DT!N$18=1,1,1+$M502/Scenario_DT!$C$19)*(1+$N502)^MAX(0,Scenario_DT!N$18-3))*(Scenario_DT!N$12+$O502)-Scenario_DT!N$13)*(1-Scenario_DT!N$14)+Scenario_DT!N$13-Scenario_DT!N$15)*Scenario_DT!N$16</f>
        <v>2634.3488932545733</v>
      </c>
      <c r="X502" s="28">
        <f>((Scenario_DT!O$11*(IF(Scenario_DT!O$18=1,1,1+$M502/Scenario_DT!$C$19)*(1+$N502)^MAX(0,Scenario_DT!O$18-3))*(Scenario_DT!O$12+$O502)-Scenario_DT!O$13)*(1-Scenario_DT!O$14)+Scenario_DT!O$13-Scenario_DT!O$15)*Scenario_DT!O$16</f>
        <v>2767.8859983223979</v>
      </c>
      <c r="Y502" s="28">
        <f>((Scenario_DT!P$11*(IF(Scenario_DT!P$18=1,1,1+$M502/Scenario_DT!$C$19)*(1+$N502)^MAX(0,Scenario_DT!P$18-3))*(Scenario_DT!P$12+$O502)-Scenario_DT!P$13)*(1-Scenario_DT!P$14)+Scenario_DT!P$13-Scenario_DT!P$15)*Scenario_DT!P$16</f>
        <v>2908.191296010024</v>
      </c>
      <c r="Z502" s="28">
        <f>((Scenario_DT!Q$11*(IF(Scenario_DT!Q$18=1,1,1+$M502/Scenario_DT!$C$19)*(1+$N502)^MAX(0,Scenario_DT!Q$18-3))*(Scenario_DT!Q$12+$O502)-Scenario_DT!Q$13)*(1-Scenario_DT!Q$14)+Scenario_DT!Q$13-Scenario_DT!Q$15)*Scenario_DT!Q$16</f>
        <v>3055.6102956194877</v>
      </c>
      <c r="AA502" s="28">
        <f>((Scenario_DT!R$11*(IF(Scenario_DT!R$18=1,1,1+$M502/Scenario_DT!$C$19)*(1+$N502)^MAX(0,Scenario_DT!R$18-3))*(Scenario_DT!R$12+$O502)-Scenario_DT!R$13)*(1-Scenario_DT!R$14)+Scenario_DT!R$13-Scenario_DT!R$15)*Scenario_DT!R$16</f>
        <v>3210.5061641844568</v>
      </c>
      <c r="AB502" s="17">
        <f>(Scenario_DT!$R$11*(1+$M502/Scenario_DT!$C$19)*(1+$N502)^7*(Scenario_DT!$R$12+$O502)*(1+MIN(DCF_FCFF!$C$26+$Q502,(DCF_FCFF!$C$25+$P502)-0.02))*(1-DCF_FCFF!$C$27)*(1-DCF_FCFF!$C$28)/((DCF_FCFF!$C$25+$P502)-MIN(DCF_FCFF!$C$26+$Q502,(DCF_FCFF!$C$25+$P502)-0.02)))*(1+(DCF_FCFF!$C$25+$P502))^(-(Inputs!$C$9+9))</f>
        <v>26136.958067691874</v>
      </c>
      <c r="AC502" s="17">
        <f>SUMPRODUCT(R502:AA502*(1+(DCF_FCFF!$C$25+$P502))^(-Scenario_DT!$I$17:$R$17))+AB502</f>
        <v>41825.26521699928</v>
      </c>
      <c r="AD502" s="68">
        <f>((AC502-DCF_FCFF!$C$48)*(1-DCF_FCFF!$C$50)+DCF_FCFF!$C$57+DCF_FCFF!$C$58)/DCF_FCFF!$C$60</f>
        <v>305.02660932908367</v>
      </c>
      <c r="AE502" s="6"/>
      <c r="AF502" s="6"/>
      <c r="AG502" s="6"/>
    </row>
    <row r="503" spans="1:33" x14ac:dyDescent="0.3">
      <c r="A503" s="6"/>
      <c r="B503" s="72">
        <v>472</v>
      </c>
      <c r="C503" s="73">
        <v>0.79552552622860195</v>
      </c>
      <c r="D503" s="73">
        <v>0.48889830147067098</v>
      </c>
      <c r="E503" s="73">
        <v>0.50066084066127003</v>
      </c>
      <c r="F503" s="73">
        <v>0.98909193949990204</v>
      </c>
      <c r="G503" s="73">
        <v>0.15012955674925699</v>
      </c>
      <c r="H503" s="15">
        <f t="shared" si="71"/>
        <v>0.82574466862081963</v>
      </c>
      <c r="I503" s="15">
        <f t="shared" si="72"/>
        <v>-2.7831423994546096E-2</v>
      </c>
      <c r="J503" s="15">
        <f t="shared" si="73"/>
        <v>1.6564826441117198E-3</v>
      </c>
      <c r="K503" s="15">
        <f t="shared" si="74"/>
        <v>2.2935541603101179</v>
      </c>
      <c r="L503" s="15">
        <f t="shared" si="75"/>
        <v>-1.0358778905038648</v>
      </c>
      <c r="M503" s="18">
        <f t="shared" si="76"/>
        <v>1.6514893372416392E-2</v>
      </c>
      <c r="N503" s="18">
        <f t="shared" si="77"/>
        <v>3.1101569128610968E-3</v>
      </c>
      <c r="O503" s="18">
        <f t="shared" si="78"/>
        <v>1.987779172934064E-5</v>
      </c>
      <c r="P503" s="18">
        <f t="shared" si="79"/>
        <v>1.3761324961860708E-2</v>
      </c>
      <c r="Q503" s="18">
        <f t="shared" si="80"/>
        <v>-4.1435115620154592E-3</v>
      </c>
      <c r="R503" s="28">
        <f>((Scenario_DT!I$11*(IF(Scenario_DT!I$18=1,1,1+$M503/Scenario_DT!$C$19)*(1+$N503)^MAX(0,Scenario_DT!I$18-3))*(Scenario_DT!I$12+$O503)-Scenario_DT!I$13)*(1-Scenario_DT!I$14)+Scenario_DT!I$13-Scenario_DT!I$15)*Scenario_DT!I$16</f>
        <v>911.01256308146753</v>
      </c>
      <c r="S503" s="28">
        <f>((Scenario_DT!J$11*(IF(Scenario_DT!J$18=1,1,1+$M503/Scenario_DT!$C$19)*(1+$N503)^MAX(0,Scenario_DT!J$18-3))*(Scenario_DT!J$12+$O503)-Scenario_DT!J$13)*(1-Scenario_DT!J$14)+Scenario_DT!J$13-Scenario_DT!J$15)*Scenario_DT!J$16</f>
        <v>1871.5455913820388</v>
      </c>
      <c r="T503" s="28">
        <f>((Scenario_DT!K$11*(IF(Scenario_DT!K$18=1,1,1+$M503/Scenario_DT!$C$19)*(1+$N503)^MAX(0,Scenario_DT!K$18-3))*(Scenario_DT!K$12+$O503)-Scenario_DT!K$13)*(1-Scenario_DT!K$14)+Scenario_DT!K$13-Scenario_DT!K$15)*Scenario_DT!K$16</f>
        <v>2138.1317239451068</v>
      </c>
      <c r="U503" s="28">
        <f>((Scenario_DT!L$11*(IF(Scenario_DT!L$18=1,1,1+$M503/Scenario_DT!$C$19)*(1+$N503)^MAX(0,Scenario_DT!L$18-3))*(Scenario_DT!L$12+$O503)-Scenario_DT!L$13)*(1-Scenario_DT!L$14)+Scenario_DT!L$13-Scenario_DT!L$15)*Scenario_DT!L$16</f>
        <v>2549.690878668725</v>
      </c>
      <c r="V503" s="28">
        <f>((Scenario_DT!M$11*(IF(Scenario_DT!M$18=1,1,1+$M503/Scenario_DT!$C$19)*(1+$N503)^MAX(0,Scenario_DT!M$18-3))*(Scenario_DT!M$12+$O503)-Scenario_DT!M$13)*(1-Scenario_DT!M$14)+Scenario_DT!M$13-Scenario_DT!M$15)*Scenario_DT!M$16</f>
        <v>2684.8355361588419</v>
      </c>
      <c r="W503" s="28">
        <f>((Scenario_DT!N$11*(IF(Scenario_DT!N$18=1,1,1+$M503/Scenario_DT!$C$19)*(1+$N503)^MAX(0,Scenario_DT!N$18-3))*(Scenario_DT!N$12+$O503)-Scenario_DT!N$13)*(1-Scenario_DT!N$14)+Scenario_DT!N$13-Scenario_DT!N$15)*Scenario_DT!N$16</f>
        <v>2827.1408189234976</v>
      </c>
      <c r="X503" s="28">
        <f>((Scenario_DT!O$11*(IF(Scenario_DT!O$18=1,1,1+$M503/Scenario_DT!$C$19)*(1+$N503)^MAX(0,Scenario_DT!O$18-3))*(Scenario_DT!O$12+$O503)-Scenario_DT!O$13)*(1-Scenario_DT!O$14)+Scenario_DT!O$13-Scenario_DT!O$15)*Scenario_DT!O$16</f>
        <v>2976.9887451605009</v>
      </c>
      <c r="Y503" s="28">
        <f>((Scenario_DT!P$11*(IF(Scenario_DT!P$18=1,1,1+$M503/Scenario_DT!$C$19)*(1+$N503)^MAX(0,Scenario_DT!P$18-3))*(Scenario_DT!P$12+$O503)-Scenario_DT!P$13)*(1-Scenario_DT!P$14)+Scenario_DT!P$13-Scenario_DT!P$15)*Scenario_DT!P$16</f>
        <v>3134.7817313910123</v>
      </c>
      <c r="Z503" s="28">
        <f>((Scenario_DT!Q$11*(IF(Scenario_DT!Q$18=1,1,1+$M503/Scenario_DT!$C$19)*(1+$N503)^MAX(0,Scenario_DT!Q$18-3))*(Scenario_DT!Q$12+$O503)-Scenario_DT!Q$13)*(1-Scenario_DT!Q$14)+Scenario_DT!Q$13-Scenario_DT!Q$15)*Scenario_DT!Q$16</f>
        <v>3300.9436814436663</v>
      </c>
      <c r="AA503" s="28">
        <f>((Scenario_DT!R$11*(IF(Scenario_DT!R$18=1,1,1+$M503/Scenario_DT!$C$19)*(1+$N503)^MAX(0,Scenario_DT!R$18-3))*(Scenario_DT!R$12+$O503)-Scenario_DT!R$13)*(1-Scenario_DT!R$14)+Scenario_DT!R$13-Scenario_DT!R$15)*Scenario_DT!R$16</f>
        <v>3475.9211335557748</v>
      </c>
      <c r="AB503" s="17">
        <f>(Scenario_DT!$R$11*(1+$M503/Scenario_DT!$C$19)*(1+$N503)^7*(Scenario_DT!$R$12+$O503)*(1+MIN(DCF_FCFF!$C$26+$Q503,(DCF_FCFF!$C$25+$P503)-0.02))*(1-DCF_FCFF!$C$27)*(1-DCF_FCFF!$C$28)/((DCF_FCFF!$C$25+$P503)-MIN(DCF_FCFF!$C$26+$Q503,(DCF_FCFF!$C$25+$P503)-0.02)))*(1+(DCF_FCFF!$C$25+$P503))^(-(Inputs!$C$9+9))</f>
        <v>19128.021119524608</v>
      </c>
      <c r="AC503" s="17">
        <f>SUMPRODUCT(R503:AA503*(1+(DCF_FCFF!$C$25+$P503))^(-Scenario_DT!$I$17:$R$17))+AB503</f>
        <v>35061.115109922452</v>
      </c>
      <c r="AD503" s="68">
        <f>((AC503-DCF_FCFF!$C$48)*(1-DCF_FCFF!$C$50)+DCF_FCFF!$C$57+DCF_FCFF!$C$58)/DCF_FCFF!$C$60</f>
        <v>240.09909853520611</v>
      </c>
      <c r="AE503" s="6"/>
      <c r="AF503" s="6"/>
      <c r="AG503" s="6"/>
    </row>
    <row r="504" spans="1:33" x14ac:dyDescent="0.3">
      <c r="A504" s="6"/>
      <c r="B504" s="72">
        <v>473</v>
      </c>
      <c r="C504" s="73">
        <v>0.83070393874593096</v>
      </c>
      <c r="D504" s="73">
        <v>5.1749745603884803E-2</v>
      </c>
      <c r="E504" s="73">
        <v>0.47764876957297098</v>
      </c>
      <c r="F504" s="73">
        <v>0.88633482393302399</v>
      </c>
      <c r="G504" s="73">
        <v>0.66521396560412105</v>
      </c>
      <c r="H504" s="15">
        <f t="shared" si="71"/>
        <v>0.95695073302009603</v>
      </c>
      <c r="I504" s="15">
        <f t="shared" si="72"/>
        <v>-1.6281197751132277</v>
      </c>
      <c r="J504" s="15">
        <f t="shared" si="73"/>
        <v>-5.6055568881445743E-2</v>
      </c>
      <c r="K504" s="15">
        <f t="shared" si="74"/>
        <v>1.2072643582861862</v>
      </c>
      <c r="L504" s="15">
        <f t="shared" si="75"/>
        <v>0.42673539260534404</v>
      </c>
      <c r="M504" s="18">
        <f t="shared" si="76"/>
        <v>1.913901466040192E-2</v>
      </c>
      <c r="N504" s="18">
        <f t="shared" si="77"/>
        <v>-7.4521417531345138E-3</v>
      </c>
      <c r="O504" s="18">
        <f t="shared" si="78"/>
        <v>-6.7266682657734893E-4</v>
      </c>
      <c r="P504" s="18">
        <f t="shared" si="79"/>
        <v>7.243586149717117E-3</v>
      </c>
      <c r="Q504" s="18">
        <f t="shared" si="80"/>
        <v>1.7069415704213762E-3</v>
      </c>
      <c r="R504" s="28">
        <f>((Scenario_DT!I$11*(IF(Scenario_DT!I$18=1,1,1+$M504/Scenario_DT!$C$19)*(1+$N504)^MAX(0,Scenario_DT!I$18-3))*(Scenario_DT!I$12+$O504)-Scenario_DT!I$13)*(1-Scenario_DT!I$14)+Scenario_DT!I$13-Scenario_DT!I$15)*Scenario_DT!I$16</f>
        <v>910.03614969884416</v>
      </c>
      <c r="S504" s="28">
        <f>((Scenario_DT!J$11*(IF(Scenario_DT!J$18=1,1,1+$M504/Scenario_DT!$C$19)*(1+$N504)^MAX(0,Scenario_DT!J$18-3))*(Scenario_DT!J$12+$O504)-Scenario_DT!J$13)*(1-Scenario_DT!J$14)+Scenario_DT!J$13-Scenario_DT!J$15)*Scenario_DT!J$16</f>
        <v>1875.6378121209809</v>
      </c>
      <c r="T504" s="28">
        <f>((Scenario_DT!K$11*(IF(Scenario_DT!K$18=1,1,1+$M504/Scenario_DT!$C$19)*(1+$N504)^MAX(0,Scenario_DT!K$18-3))*(Scenario_DT!K$12+$O504)-Scenario_DT!K$13)*(1-Scenario_DT!K$14)+Scenario_DT!K$13-Scenario_DT!K$15)*Scenario_DT!K$16</f>
        <v>2142.4618304303435</v>
      </c>
      <c r="U504" s="28">
        <f>((Scenario_DT!L$11*(IF(Scenario_DT!L$18=1,1,1+$M504/Scenario_DT!$C$19)*(1+$N504)^MAX(0,Scenario_DT!L$18-3))*(Scenario_DT!L$12+$O504)-Scenario_DT!L$13)*(1-Scenario_DT!L$14)+Scenario_DT!L$13-Scenario_DT!L$15)*Scenario_DT!L$16</f>
        <v>2527.2294414681842</v>
      </c>
      <c r="V504" s="28">
        <f>((Scenario_DT!M$11*(IF(Scenario_DT!M$18=1,1,1+$M504/Scenario_DT!$C$19)*(1+$N504)^MAX(0,Scenario_DT!M$18-3))*(Scenario_DT!M$12+$O504)-Scenario_DT!M$13)*(1-Scenario_DT!M$14)+Scenario_DT!M$13-Scenario_DT!M$15)*Scenario_DT!M$16</f>
        <v>2632.9625064162428</v>
      </c>
      <c r="W504" s="28">
        <f>((Scenario_DT!N$11*(IF(Scenario_DT!N$18=1,1,1+$M504/Scenario_DT!$C$19)*(1+$N504)^MAX(0,Scenario_DT!N$18-3))*(Scenario_DT!N$12+$O504)-Scenario_DT!N$13)*(1-Scenario_DT!N$14)+Scenario_DT!N$13-Scenario_DT!N$15)*Scenario_DT!N$16</f>
        <v>2743.0995867647389</v>
      </c>
      <c r="X504" s="28">
        <f>((Scenario_DT!O$11*(IF(Scenario_DT!O$18=1,1,1+$M504/Scenario_DT!$C$19)*(1+$N504)^MAX(0,Scenario_DT!O$18-3))*(Scenario_DT!O$12+$O504)-Scenario_DT!O$13)*(1-Scenario_DT!O$14)+Scenario_DT!O$13-Scenario_DT!O$15)*Scenario_DT!O$16</f>
        <v>2857.8256802708352</v>
      </c>
      <c r="Y504" s="28">
        <f>((Scenario_DT!P$11*(IF(Scenario_DT!P$18=1,1,1+$M504/Scenario_DT!$C$19)*(1+$N504)^MAX(0,Scenario_DT!P$18-3))*(Scenario_DT!P$12+$O504)-Scenario_DT!P$13)*(1-Scenario_DT!P$14)+Scenario_DT!P$13-Scenario_DT!P$15)*Scenario_DT!P$16</f>
        <v>2977.3335719079446</v>
      </c>
      <c r="Z504" s="28">
        <f>((Scenario_DT!Q$11*(IF(Scenario_DT!Q$18=1,1,1+$M504/Scenario_DT!$C$19)*(1+$N504)^MAX(0,Scenario_DT!Q$18-3))*(Scenario_DT!Q$12+$O504)-Scenario_DT!Q$13)*(1-Scenario_DT!Q$14)+Scenario_DT!Q$13-Scenario_DT!Q$15)*Scenario_DT!Q$16</f>
        <v>3101.8241618392394</v>
      </c>
      <c r="AA504" s="28">
        <f>((Scenario_DT!R$11*(IF(Scenario_DT!R$18=1,1,1+$M504/Scenario_DT!$C$19)*(1+$N504)^MAX(0,Scenario_DT!R$18-3))*(Scenario_DT!R$12+$O504)-Scenario_DT!R$13)*(1-Scenario_DT!R$14)+Scenario_DT!R$13-Scenario_DT!R$15)*Scenario_DT!R$16</f>
        <v>3231.5068072074464</v>
      </c>
      <c r="AB504" s="17">
        <f>(Scenario_DT!$R$11*(1+$M504/Scenario_DT!$C$19)*(1+$N504)^7*(Scenario_DT!$R$12+$O504)*(1+MIN(DCF_FCFF!$C$26+$Q504,(DCF_FCFF!$C$25+$P504)-0.02))*(1-DCF_FCFF!$C$27)*(1-DCF_FCFF!$C$28)/((DCF_FCFF!$C$25+$P504)-MIN(DCF_FCFF!$C$26+$Q504,(DCF_FCFF!$C$25+$P504)-0.02)))*(1+(DCF_FCFF!$C$25+$P504))^(-(Inputs!$C$9+9))</f>
        <v>23111.409634267737</v>
      </c>
      <c r="AC504" s="17">
        <f>SUMPRODUCT(R504:AA504*(1+(DCF_FCFF!$C$25+$P504))^(-Scenario_DT!$I$17:$R$17))+AB504</f>
        <v>39029.805707477302</v>
      </c>
      <c r="AD504" s="68">
        <f>((AC504-DCF_FCFF!$C$48)*(1-DCF_FCFF!$C$50)+DCF_FCFF!$C$57+DCF_FCFF!$C$58)/DCF_FCFF!$C$60</f>
        <v>278.19364072177211</v>
      </c>
      <c r="AE504" s="6"/>
      <c r="AF504" s="6"/>
      <c r="AG504" s="6"/>
    </row>
    <row r="505" spans="1:33" x14ac:dyDescent="0.3">
      <c r="A505" s="6"/>
      <c r="B505" s="72">
        <v>474</v>
      </c>
      <c r="C505" s="73">
        <v>0.68521461936613304</v>
      </c>
      <c r="D505" s="73">
        <v>0.26331728225648598</v>
      </c>
      <c r="E505" s="73">
        <v>0.41857479136145398</v>
      </c>
      <c r="F505" s="73">
        <v>0.36658106349905101</v>
      </c>
      <c r="G505" s="73">
        <v>0.521443210157994</v>
      </c>
      <c r="H505" s="15">
        <f t="shared" si="71"/>
        <v>0.48233109508878952</v>
      </c>
      <c r="I505" s="15">
        <f t="shared" si="72"/>
        <v>-0.63315172900439665</v>
      </c>
      <c r="J505" s="15">
        <f t="shared" si="73"/>
        <v>-0.20554085374682876</v>
      </c>
      <c r="K505" s="15">
        <f t="shared" si="74"/>
        <v>-0.34092223287933021</v>
      </c>
      <c r="L505" s="15">
        <f t="shared" si="75"/>
        <v>5.377606449581275E-2</v>
      </c>
      <c r="M505" s="18">
        <f t="shared" si="76"/>
        <v>9.6466219017757905E-3</v>
      </c>
      <c r="N505" s="18">
        <f t="shared" si="77"/>
        <v>-2.457279473787626E-3</v>
      </c>
      <c r="O505" s="18">
        <f t="shared" si="78"/>
        <v>-2.4664902449619453E-3</v>
      </c>
      <c r="P505" s="18">
        <f t="shared" si="79"/>
        <v>-2.0455333972759812E-3</v>
      </c>
      <c r="Q505" s="18">
        <f t="shared" si="80"/>
        <v>2.1510425798325101E-4</v>
      </c>
      <c r="R505" s="28">
        <f>((Scenario_DT!I$11*(IF(Scenario_DT!I$18=1,1,1+$M505/Scenario_DT!$C$19)*(1+$N505)^MAX(0,Scenario_DT!I$18-3))*(Scenario_DT!I$12+$O505)-Scenario_DT!I$13)*(1-Scenario_DT!I$14)+Scenario_DT!I$13-Scenario_DT!I$15)*Scenario_DT!I$16</f>
        <v>907.50705172381845</v>
      </c>
      <c r="S505" s="28">
        <f>((Scenario_DT!J$11*(IF(Scenario_DT!J$18=1,1,1+$M505/Scenario_DT!$C$19)*(1+$N505)^MAX(0,Scenario_DT!J$18-3))*(Scenario_DT!J$12+$O505)-Scenario_DT!J$13)*(1-Scenario_DT!J$14)+Scenario_DT!J$13-Scenario_DT!J$15)*Scenario_DT!J$16</f>
        <v>1847.2808031426207</v>
      </c>
      <c r="T505" s="28">
        <f>((Scenario_DT!K$11*(IF(Scenario_DT!K$18=1,1,1+$M505/Scenario_DT!$C$19)*(1+$N505)^MAX(0,Scenario_DT!K$18-3))*(Scenario_DT!K$12+$O505)-Scenario_DT!K$13)*(1-Scenario_DT!K$14)+Scenario_DT!K$13-Scenario_DT!K$15)*Scenario_DT!K$16</f>
        <v>2112.751919541412</v>
      </c>
      <c r="U505" s="28">
        <f>((Scenario_DT!L$11*(IF(Scenario_DT!L$18=1,1,1+$M505/Scenario_DT!$C$19)*(1+$N505)^MAX(0,Scenario_DT!L$18-3))*(Scenario_DT!L$12+$O505)-Scenario_DT!L$13)*(1-Scenario_DT!L$14)+Scenario_DT!L$13-Scenario_DT!L$15)*Scenario_DT!L$16</f>
        <v>2508.5645156619153</v>
      </c>
      <c r="V505" s="28">
        <f>((Scenario_DT!M$11*(IF(Scenario_DT!M$18=1,1,1+$M505/Scenario_DT!$C$19)*(1+$N505)^MAX(0,Scenario_DT!M$18-3))*(Scenario_DT!M$12+$O505)-Scenario_DT!M$13)*(1-Scenario_DT!M$14)+Scenario_DT!M$13-Scenario_DT!M$15)*Scenario_DT!M$16</f>
        <v>2626.7553157480361</v>
      </c>
      <c r="W505" s="28">
        <f>((Scenario_DT!N$11*(IF(Scenario_DT!N$18=1,1,1+$M505/Scenario_DT!$C$19)*(1+$N505)^MAX(0,Scenario_DT!N$18-3))*(Scenario_DT!N$12+$O505)-Scenario_DT!N$13)*(1-Scenario_DT!N$14)+Scenario_DT!N$13-Scenario_DT!N$15)*Scenario_DT!N$16</f>
        <v>2750.5036121692297</v>
      </c>
      <c r="X505" s="28">
        <f>((Scenario_DT!O$11*(IF(Scenario_DT!O$18=1,1,1+$M505/Scenario_DT!$C$19)*(1+$N505)^MAX(0,Scenario_DT!O$18-3))*(Scenario_DT!O$12+$O505)-Scenario_DT!O$13)*(1-Scenario_DT!O$14)+Scenario_DT!O$13-Scenario_DT!O$15)*Scenario_DT!O$16</f>
        <v>2880.0728341541139</v>
      </c>
      <c r="Y505" s="28">
        <f>((Scenario_DT!P$11*(IF(Scenario_DT!P$18=1,1,1+$M505/Scenario_DT!$C$19)*(1+$N505)^MAX(0,Scenario_DT!P$18-3))*(Scenario_DT!P$12+$O505)-Scenario_DT!P$13)*(1-Scenario_DT!P$14)+Scenario_DT!P$13-Scenario_DT!P$15)*Scenario_DT!P$16</f>
        <v>3015.7389183259979</v>
      </c>
      <c r="Z505" s="28">
        <f>((Scenario_DT!Q$11*(IF(Scenario_DT!Q$18=1,1,1+$M505/Scenario_DT!$C$19)*(1+$N505)^MAX(0,Scenario_DT!Q$18-3))*(Scenario_DT!Q$12+$O505)-Scenario_DT!Q$13)*(1-Scenario_DT!Q$14)+Scenario_DT!Q$13-Scenario_DT!Q$15)*Scenario_DT!Q$16</f>
        <v>3157.7909027227111</v>
      </c>
      <c r="AA505" s="28">
        <f>((Scenario_DT!R$11*(IF(Scenario_DT!R$18=1,1,1+$M505/Scenario_DT!$C$19)*(1+$N505)^MAX(0,Scenario_DT!R$18-3))*(Scenario_DT!R$12+$O505)-Scenario_DT!R$13)*(1-Scenario_DT!R$14)+Scenario_DT!R$13-Scenario_DT!R$15)*Scenario_DT!R$16</f>
        <v>3306.5315490290686</v>
      </c>
      <c r="AB505" s="17">
        <f>(Scenario_DT!$R$11*(1+$M505/Scenario_DT!$C$19)*(1+$N505)^7*(Scenario_DT!$R$12+$O505)*(1+MIN(DCF_FCFF!$C$26+$Q505,(DCF_FCFF!$C$25+$P505)-0.02))*(1-DCF_FCFF!$C$27)*(1-DCF_FCFF!$C$28)/((DCF_FCFF!$C$25+$P505)-MIN(DCF_FCFF!$C$26+$Q505,(DCF_FCFF!$C$25+$P505)-0.02)))*(1+(DCF_FCFF!$C$25+$P505))^(-(Inputs!$C$9+9))</f>
        <v>29733.346357206527</v>
      </c>
      <c r="AC505" s="17">
        <f>SUMPRODUCT(R505:AA505*(1+(DCF_FCFF!$C$25+$P505))^(-Scenario_DT!$I$17:$R$17))+AB505</f>
        <v>46308.928546685565</v>
      </c>
      <c r="AD505" s="68">
        <f>((AC505-DCF_FCFF!$C$48)*(1-DCF_FCFF!$C$50)+DCF_FCFF!$C$57+DCF_FCFF!$C$58)/DCF_FCFF!$C$60</f>
        <v>348.06425554124411</v>
      </c>
      <c r="AE505" s="6"/>
      <c r="AF505" s="6"/>
      <c r="AG505" s="6"/>
    </row>
    <row r="506" spans="1:33" x14ac:dyDescent="0.3">
      <c r="A506" s="6"/>
      <c r="B506" s="72">
        <v>475</v>
      </c>
      <c r="C506" s="73">
        <v>0.46222793014366798</v>
      </c>
      <c r="D506" s="73">
        <v>0.32689835187698901</v>
      </c>
      <c r="E506" s="73">
        <v>0.30548061237117002</v>
      </c>
      <c r="F506" s="73">
        <v>0.25085289165512198</v>
      </c>
      <c r="G506" s="73">
        <v>0.36504724688475798</v>
      </c>
      <c r="H506" s="15">
        <f t="shared" si="71"/>
        <v>-9.4822442957717717E-2</v>
      </c>
      <c r="I506" s="15">
        <f t="shared" si="72"/>
        <v>-0.44849401616663254</v>
      </c>
      <c r="J506" s="15">
        <f t="shared" si="73"/>
        <v>-0.50870185103537746</v>
      </c>
      <c r="K506" s="15">
        <f t="shared" si="74"/>
        <v>-0.67180823843484894</v>
      </c>
      <c r="L506" s="15">
        <f t="shared" si="75"/>
        <v>-0.344999836339139</v>
      </c>
      <c r="M506" s="18">
        <f t="shared" si="76"/>
        <v>-1.8964488591543544E-3</v>
      </c>
      <c r="N506" s="18">
        <f t="shared" si="77"/>
        <v>-3.4865474633957705E-3</v>
      </c>
      <c r="O506" s="18">
        <f t="shared" si="78"/>
        <v>-6.1044222124245293E-3</v>
      </c>
      <c r="P506" s="18">
        <f t="shared" si="79"/>
        <v>-4.0308494306090939E-3</v>
      </c>
      <c r="Q506" s="18">
        <f t="shared" si="80"/>
        <v>-1.3799993453565561E-3</v>
      </c>
      <c r="R506" s="28">
        <f>((Scenario_DT!I$11*(IF(Scenario_DT!I$18=1,1,1+$M506/Scenario_DT!$C$19)*(1+$N506)^MAX(0,Scenario_DT!I$18-3))*(Scenario_DT!I$12+$O506)-Scenario_DT!I$13)*(1-Scenario_DT!I$14)+Scenario_DT!I$13-Scenario_DT!I$15)*Scenario_DT!I$16</f>
        <v>902.37795915099628</v>
      </c>
      <c r="S506" s="28">
        <f>((Scenario_DT!J$11*(IF(Scenario_DT!J$18=1,1,1+$M506/Scenario_DT!$C$19)*(1+$N506)^MAX(0,Scenario_DT!J$18-3))*(Scenario_DT!J$12+$O506)-Scenario_DT!J$13)*(1-Scenario_DT!J$14)+Scenario_DT!J$13-Scenario_DT!J$15)*Scenario_DT!J$16</f>
        <v>1808.431775721237</v>
      </c>
      <c r="T506" s="28">
        <f>((Scenario_DT!K$11*(IF(Scenario_DT!K$18=1,1,1+$M506/Scenario_DT!$C$19)*(1+$N506)^MAX(0,Scenario_DT!K$18-3))*(Scenario_DT!K$12+$O506)-Scenario_DT!K$13)*(1-Scenario_DT!K$14)+Scenario_DT!K$13-Scenario_DT!K$15)*Scenario_DT!K$16</f>
        <v>2072.0991132656422</v>
      </c>
      <c r="U506" s="28">
        <f>((Scenario_DT!L$11*(IF(Scenario_DT!L$18=1,1,1+$M506/Scenario_DT!$C$19)*(1+$N506)^MAX(0,Scenario_DT!L$18-3))*(Scenario_DT!L$12+$O506)-Scenario_DT!L$13)*(1-Scenario_DT!L$14)+Scenario_DT!L$13-Scenario_DT!L$15)*Scenario_DT!L$16</f>
        <v>2462.945036958964</v>
      </c>
      <c r="V506" s="28">
        <f>((Scenario_DT!M$11*(IF(Scenario_DT!M$18=1,1,1+$M506/Scenario_DT!$C$19)*(1+$N506)^MAX(0,Scenario_DT!M$18-3))*(Scenario_DT!M$12+$O506)-Scenario_DT!M$13)*(1-Scenario_DT!M$14)+Scenario_DT!M$13-Scenario_DT!M$15)*Scenario_DT!M$16</f>
        <v>2576.2925486860977</v>
      </c>
      <c r="W506" s="28">
        <f>((Scenario_DT!N$11*(IF(Scenario_DT!N$18=1,1,1+$M506/Scenario_DT!$C$19)*(1+$N506)^MAX(0,Scenario_DT!N$18-3))*(Scenario_DT!N$12+$O506)-Scenario_DT!N$13)*(1-Scenario_DT!N$14)+Scenario_DT!N$13-Scenario_DT!N$15)*Scenario_DT!N$16</f>
        <v>2694.8436989628685</v>
      </c>
      <c r="X506" s="28">
        <f>((Scenario_DT!O$11*(IF(Scenario_DT!O$18=1,1,1+$M506/Scenario_DT!$C$19)*(1+$N506)^MAX(0,Scenario_DT!O$18-3))*(Scenario_DT!O$12+$O506)-Scenario_DT!O$13)*(1-Scenario_DT!O$14)+Scenario_DT!O$13-Scenario_DT!O$15)*Scenario_DT!O$16</f>
        <v>2818.8393822882758</v>
      </c>
      <c r="Y506" s="28">
        <f>((Scenario_DT!P$11*(IF(Scenario_DT!P$18=1,1,1+$M506/Scenario_DT!$C$19)*(1+$N506)^MAX(0,Scenario_DT!P$18-3))*(Scenario_DT!P$12+$O506)-Scenario_DT!P$13)*(1-Scenario_DT!P$14)+Scenario_DT!P$13-Scenario_DT!P$15)*Scenario_DT!P$16</f>
        <v>2948.5316652879187</v>
      </c>
      <c r="Z506" s="28">
        <f>((Scenario_DT!Q$11*(IF(Scenario_DT!Q$18=1,1,1+$M506/Scenario_DT!$C$19)*(1+$N506)^MAX(0,Scenario_DT!Q$18-3))*(Scenario_DT!Q$12+$O506)-Scenario_DT!Q$13)*(1-Scenario_DT!Q$14)+Scenario_DT!Q$13-Scenario_DT!Q$15)*Scenario_DT!Q$16</f>
        <v>3084.1843050581406</v>
      </c>
      <c r="AA506" s="28">
        <f>((Scenario_DT!R$11*(IF(Scenario_DT!R$18=1,1,1+$M506/Scenario_DT!$C$19)*(1+$N506)^MAX(0,Scenario_DT!R$18-3))*(Scenario_DT!R$12+$O506)-Scenario_DT!R$13)*(1-Scenario_DT!R$14)+Scenario_DT!R$13-Scenario_DT!R$15)*Scenario_DT!R$16</f>
        <v>3226.0732915616572</v>
      </c>
      <c r="AB506" s="17">
        <f>(Scenario_DT!$R$11*(1+$M506/Scenario_DT!$C$19)*(1+$N506)^7*(Scenario_DT!$R$12+$O506)*(1+MIN(DCF_FCFF!$C$26+$Q506,(DCF_FCFF!$C$25+$P506)-0.02))*(1-DCF_FCFF!$C$27)*(1-DCF_FCFF!$C$28)/((DCF_FCFF!$C$25+$P506)-MIN(DCF_FCFF!$C$26+$Q506,(DCF_FCFF!$C$25+$P506)-0.02)))*(1+(DCF_FCFF!$C$25+$P506))^(-(Inputs!$C$9+9))</f>
        <v>29717.719988454584</v>
      </c>
      <c r="AC506" s="17">
        <f>SUMPRODUCT(R506:AA506*(1+(DCF_FCFF!$C$25+$P506))^(-Scenario_DT!$I$17:$R$17))+AB506</f>
        <v>46097.839178977832</v>
      </c>
      <c r="AD506" s="68">
        <f>((AC506-DCF_FCFF!$C$48)*(1-DCF_FCFF!$C$50)+DCF_FCFF!$C$57+DCF_FCFF!$C$58)/DCF_FCFF!$C$60</f>
        <v>346.03805757352342</v>
      </c>
      <c r="AE506" s="6"/>
      <c r="AF506" s="6"/>
      <c r="AG506" s="6"/>
    </row>
    <row r="507" spans="1:33" x14ac:dyDescent="0.3">
      <c r="A507" s="6"/>
      <c r="B507" s="72">
        <v>476</v>
      </c>
      <c r="C507" s="73">
        <v>0.14994147793406101</v>
      </c>
      <c r="D507" s="73">
        <v>0.87210430200357403</v>
      </c>
      <c r="E507" s="73">
        <v>0.602119391833427</v>
      </c>
      <c r="F507" s="73">
        <v>0.13378642559385601</v>
      </c>
      <c r="G507" s="73">
        <v>0.69385933420900103</v>
      </c>
      <c r="H507" s="15">
        <f t="shared" si="71"/>
        <v>-1.0366844187754991</v>
      </c>
      <c r="I507" s="15">
        <f t="shared" si="72"/>
        <v>1.1363947405040773</v>
      </c>
      <c r="J507" s="15">
        <f t="shared" si="73"/>
        <v>0.25883673072034169</v>
      </c>
      <c r="K507" s="15">
        <f t="shared" si="74"/>
        <v>-1.1086693444480675</v>
      </c>
      <c r="L507" s="15">
        <f t="shared" si="75"/>
        <v>0.50681970122903452</v>
      </c>
      <c r="M507" s="18">
        <f t="shared" si="76"/>
        <v>-2.0733688375509981E-2</v>
      </c>
      <c r="N507" s="18">
        <f t="shared" si="77"/>
        <v>3.7264360369264511E-3</v>
      </c>
      <c r="O507" s="18">
        <f t="shared" si="78"/>
        <v>3.1060407686441002E-3</v>
      </c>
      <c r="P507" s="18">
        <f t="shared" si="79"/>
        <v>-6.652016066688405E-3</v>
      </c>
      <c r="Q507" s="18">
        <f t="shared" si="80"/>
        <v>2.0272788049161381E-3</v>
      </c>
      <c r="R507" s="28">
        <f>((Scenario_DT!I$11*(IF(Scenario_DT!I$18=1,1,1+$M507/Scenario_DT!$C$19)*(1+$N507)^MAX(0,Scenario_DT!I$18-3))*(Scenario_DT!I$12+$O507)-Scenario_DT!I$13)*(1-Scenario_DT!I$14)+Scenario_DT!I$13-Scenario_DT!I$15)*Scenario_DT!I$16</f>
        <v>915.36372075703389</v>
      </c>
      <c r="S507" s="28">
        <f>((Scenario_DT!J$11*(IF(Scenario_DT!J$18=1,1,1+$M507/Scenario_DT!$C$19)*(1+$N507)^MAX(0,Scenario_DT!J$18-3))*(Scenario_DT!J$12+$O507)-Scenario_DT!J$13)*(1-Scenario_DT!J$14)+Scenario_DT!J$13-Scenario_DT!J$15)*Scenario_DT!J$16</f>
        <v>1791.6654679088074</v>
      </c>
      <c r="T507" s="28">
        <f>((Scenario_DT!K$11*(IF(Scenario_DT!K$18=1,1,1+$M507/Scenario_DT!$C$19)*(1+$N507)^MAX(0,Scenario_DT!K$18-3))*(Scenario_DT!K$12+$O507)-Scenario_DT!K$13)*(1-Scenario_DT!K$14)+Scenario_DT!K$13-Scenario_DT!K$15)*Scenario_DT!K$16</f>
        <v>2054.083223378017</v>
      </c>
      <c r="U507" s="28">
        <f>((Scenario_DT!L$11*(IF(Scenario_DT!L$18=1,1,1+$M507/Scenario_DT!$C$19)*(1+$N507)^MAX(0,Scenario_DT!L$18-3))*(Scenario_DT!L$12+$O507)-Scenario_DT!L$13)*(1-Scenario_DT!L$14)+Scenario_DT!L$13-Scenario_DT!L$15)*Scenario_DT!L$16</f>
        <v>2461.6943783499141</v>
      </c>
      <c r="V507" s="28">
        <f>((Scenario_DT!M$11*(IF(Scenario_DT!M$18=1,1,1+$M507/Scenario_DT!$C$19)*(1+$N507)^MAX(0,Scenario_DT!M$18-3))*(Scenario_DT!M$12+$O507)-Scenario_DT!M$13)*(1-Scenario_DT!M$14)+Scenario_DT!M$13-Scenario_DT!M$15)*Scenario_DT!M$16</f>
        <v>2593.7557087697814</v>
      </c>
      <c r="W507" s="28">
        <f>((Scenario_DT!N$11*(IF(Scenario_DT!N$18=1,1,1+$M507/Scenario_DT!$C$19)*(1+$N507)^MAX(0,Scenario_DT!N$18-3))*(Scenario_DT!N$12+$O507)-Scenario_DT!N$13)*(1-Scenario_DT!N$14)+Scenario_DT!N$13-Scenario_DT!N$15)*Scenario_DT!N$16</f>
        <v>2732.899897784318</v>
      </c>
      <c r="X507" s="28">
        <f>((Scenario_DT!O$11*(IF(Scenario_DT!O$18=1,1,1+$M507/Scenario_DT!$C$19)*(1+$N507)^MAX(0,Scenario_DT!O$18-3))*(Scenario_DT!O$12+$O507)-Scenario_DT!O$13)*(1-Scenario_DT!O$14)+Scenario_DT!O$13-Scenario_DT!O$15)*Scenario_DT!O$16</f>
        <v>2879.5094830681646</v>
      </c>
      <c r="Y507" s="28">
        <f>((Scenario_DT!P$11*(IF(Scenario_DT!P$18=1,1,1+$M507/Scenario_DT!$C$19)*(1+$N507)^MAX(0,Scenario_DT!P$18-3))*(Scenario_DT!P$12+$O507)-Scenario_DT!P$13)*(1-Scenario_DT!P$14)+Scenario_DT!P$13-Scenario_DT!P$15)*Scenario_DT!P$16</f>
        <v>3033.9876796185058</v>
      </c>
      <c r="Z507" s="28">
        <f>((Scenario_DT!Q$11*(IF(Scenario_DT!Q$18=1,1,1+$M507/Scenario_DT!$C$19)*(1+$N507)^MAX(0,Scenario_DT!Q$18-3))*(Scenario_DT!Q$12+$O507)-Scenario_DT!Q$13)*(1-Scenario_DT!Q$14)+Scenario_DT!Q$13-Scenario_DT!Q$15)*Scenario_DT!Q$16</f>
        <v>3196.7594971501144</v>
      </c>
      <c r="AA507" s="28">
        <f>((Scenario_DT!R$11*(IF(Scenario_DT!R$18=1,1,1+$M507/Scenario_DT!$C$19)*(1+$N507)^MAX(0,Scenario_DT!R$18-3))*(Scenario_DT!R$12+$O507)-Scenario_DT!R$13)*(1-Scenario_DT!R$14)+Scenario_DT!R$13-Scenario_DT!R$15)*Scenario_DT!R$16</f>
        <v>3368.2729178512895</v>
      </c>
      <c r="AB507" s="17">
        <f>(Scenario_DT!$R$11*(1+$M507/Scenario_DT!$C$19)*(1+$N507)^7*(Scenario_DT!$R$12+$O507)*(1+MIN(DCF_FCFF!$C$26+$Q507,(DCF_FCFF!$C$25+$P507)-0.02))*(1-DCF_FCFF!$C$27)*(1-DCF_FCFF!$C$28)/((DCF_FCFF!$C$25+$P507)-MIN(DCF_FCFF!$C$26+$Q507,(DCF_FCFF!$C$25+$P507)-0.02)))*(1+(DCF_FCFF!$C$25+$P507))^(-(Inputs!$C$9+9))</f>
        <v>36438.944236381867</v>
      </c>
      <c r="AC507" s="17">
        <f>SUMPRODUCT(R507:AA507*(1+(DCF_FCFF!$C$25+$P507))^(-Scenario_DT!$I$17:$R$17))+AB507</f>
        <v>53236.680516308108</v>
      </c>
      <c r="AD507" s="68">
        <f>((AC507-DCF_FCFF!$C$48)*(1-DCF_FCFF!$C$50)+DCF_FCFF!$C$57+DCF_FCFF!$C$58)/DCF_FCFF!$C$60</f>
        <v>414.56214273543577</v>
      </c>
      <c r="AE507" s="6"/>
      <c r="AF507" s="6"/>
      <c r="AG507" s="6"/>
    </row>
    <row r="508" spans="1:33" x14ac:dyDescent="0.3">
      <c r="A508" s="6"/>
      <c r="B508" s="72">
        <v>477</v>
      </c>
      <c r="C508" s="73">
        <v>0.84766646799797296</v>
      </c>
      <c r="D508" s="73">
        <v>0.23753567205225901</v>
      </c>
      <c r="E508" s="73">
        <v>0.150600594337264</v>
      </c>
      <c r="F508" s="73">
        <v>8.6172571337520508E-3</v>
      </c>
      <c r="G508" s="73">
        <v>4.7250338856485101E-2</v>
      </c>
      <c r="H508" s="15">
        <f t="shared" si="71"/>
        <v>1.0264764385996505</v>
      </c>
      <c r="I508" s="15">
        <f t="shared" si="72"/>
        <v>-0.71425203786675828</v>
      </c>
      <c r="J508" s="15">
        <f t="shared" si="73"/>
        <v>-1.0338609162814023</v>
      </c>
      <c r="K508" s="15">
        <f t="shared" si="74"/>
        <v>-2.3816661459275004</v>
      </c>
      <c r="L508" s="15">
        <f t="shared" si="75"/>
        <v>-1.672119918005343</v>
      </c>
      <c r="M508" s="18">
        <f t="shared" si="76"/>
        <v>2.0529528771993013E-2</v>
      </c>
      <c r="N508" s="18">
        <f t="shared" si="77"/>
        <v>-8.4257752158073721E-4</v>
      </c>
      <c r="O508" s="18">
        <f t="shared" si="78"/>
        <v>-1.2406330995376828E-2</v>
      </c>
      <c r="P508" s="18">
        <f t="shared" si="79"/>
        <v>-1.4289996875565002E-2</v>
      </c>
      <c r="Q508" s="18">
        <f t="shared" si="80"/>
        <v>-6.6884796720213724E-3</v>
      </c>
      <c r="R508" s="28">
        <f>((Scenario_DT!I$11*(IF(Scenario_DT!I$18=1,1,1+$M508/Scenario_DT!$C$19)*(1+$N508)^MAX(0,Scenario_DT!I$18-3))*(Scenario_DT!I$12+$O508)-Scenario_DT!I$13)*(1-Scenario_DT!I$14)+Scenario_DT!I$13-Scenario_DT!I$15)*Scenario_DT!I$16</f>
        <v>893.49294595604442</v>
      </c>
      <c r="S508" s="28">
        <f>((Scenario_DT!J$11*(IF(Scenario_DT!J$18=1,1,1+$M508/Scenario_DT!$C$19)*(1+$N508)^MAX(0,Scenario_DT!J$18-3))*(Scenario_DT!J$12+$O508)-Scenario_DT!J$13)*(1-Scenario_DT!J$14)+Scenario_DT!J$13-Scenario_DT!J$15)*Scenario_DT!J$16</f>
        <v>1841.7059813889832</v>
      </c>
      <c r="T508" s="28">
        <f>((Scenario_DT!K$11*(IF(Scenario_DT!K$18=1,1,1+$M508/Scenario_DT!$C$19)*(1+$N508)^MAX(0,Scenario_DT!K$18-3))*(Scenario_DT!K$12+$O508)-Scenario_DT!K$13)*(1-Scenario_DT!K$14)+Scenario_DT!K$13-Scenario_DT!K$15)*Scenario_DT!K$16</f>
        <v>2107.3446174676083</v>
      </c>
      <c r="U508" s="28">
        <f>((Scenario_DT!L$11*(IF(Scenario_DT!L$18=1,1,1+$M508/Scenario_DT!$C$19)*(1+$N508)^MAX(0,Scenario_DT!L$18-3))*(Scenario_DT!L$12+$O508)-Scenario_DT!L$13)*(1-Scenario_DT!L$14)+Scenario_DT!L$13-Scenario_DT!L$15)*Scenario_DT!L$16</f>
        <v>2506.9158810510362</v>
      </c>
      <c r="V508" s="28">
        <f>((Scenario_DT!M$11*(IF(Scenario_DT!M$18=1,1,1+$M508/Scenario_DT!$C$19)*(1+$N508)^MAX(0,Scenario_DT!M$18-3))*(Scenario_DT!M$12+$O508)-Scenario_DT!M$13)*(1-Scenario_DT!M$14)+Scenario_DT!M$13-Scenario_DT!M$15)*Scenario_DT!M$16</f>
        <v>2629.307431481649</v>
      </c>
      <c r="W508" s="28">
        <f>((Scenario_DT!N$11*(IF(Scenario_DT!N$18=1,1,1+$M508/Scenario_DT!$C$19)*(1+$N508)^MAX(0,Scenario_DT!N$18-3))*(Scenario_DT!N$12+$O508)-Scenario_DT!N$13)*(1-Scenario_DT!N$14)+Scenario_DT!N$13-Scenario_DT!N$15)*Scenario_DT!N$16</f>
        <v>2757.6658380488507</v>
      </c>
      <c r="X508" s="28">
        <f>((Scenario_DT!O$11*(IF(Scenario_DT!O$18=1,1,1+$M508/Scenario_DT!$C$19)*(1+$N508)^MAX(0,Scenario_DT!O$18-3))*(Scenario_DT!O$12+$O508)-Scenario_DT!O$13)*(1-Scenario_DT!O$14)+Scenario_DT!O$13-Scenario_DT!O$15)*Scenario_DT!O$16</f>
        <v>2892.2842638748371</v>
      </c>
      <c r="Y508" s="28">
        <f>((Scenario_DT!P$11*(IF(Scenario_DT!P$18=1,1,1+$M508/Scenario_DT!$C$19)*(1+$N508)^MAX(0,Scenario_DT!P$18-3))*(Scenario_DT!P$12+$O508)-Scenario_DT!P$13)*(1-Scenario_DT!P$14)+Scenario_DT!P$13-Scenario_DT!P$15)*Scenario_DT!P$16</f>
        <v>3033.4702964269559</v>
      </c>
      <c r="Z508" s="28">
        <f>((Scenario_DT!Q$11*(IF(Scenario_DT!Q$18=1,1,1+$M508/Scenario_DT!$C$19)*(1+$N508)^MAX(0,Scenario_DT!Q$18-3))*(Scenario_DT!Q$12+$O508)-Scenario_DT!Q$13)*(1-Scenario_DT!Q$14)+Scenario_DT!Q$13-Scenario_DT!Q$15)*Scenario_DT!Q$16</f>
        <v>3181.5466573391964</v>
      </c>
      <c r="AA508" s="28">
        <f>((Scenario_DT!R$11*(IF(Scenario_DT!R$18=1,1,1+$M508/Scenario_DT!$C$19)*(1+$N508)^MAX(0,Scenario_DT!R$18-3))*(Scenario_DT!R$12+$O508)-Scenario_DT!R$13)*(1-Scenario_DT!R$14)+Scenario_DT!R$13-Scenario_DT!R$15)*Scenario_DT!R$16</f>
        <v>3336.8519471606046</v>
      </c>
      <c r="AB508" s="17">
        <f>(Scenario_DT!$R$11*(1+$M508/Scenario_DT!$C$19)*(1+$N508)^7*(Scenario_DT!$R$12+$O508)*(1+MIN(DCF_FCFF!$C$26+$Q508,(DCF_FCFF!$C$25+$P508)-0.02))*(1-DCF_FCFF!$C$27)*(1-DCF_FCFF!$C$28)/((DCF_FCFF!$C$25+$P508)-MIN(DCF_FCFF!$C$26+$Q508,(DCF_FCFF!$C$25+$P508)-0.02)))*(1+(DCF_FCFF!$C$25+$P508))^(-(Inputs!$C$9+9))</f>
        <v>37316.115872305738</v>
      </c>
      <c r="AC508" s="17">
        <f>SUMPRODUCT(R508:AA508*(1+(DCF_FCFF!$C$25+$P508))^(-Scenario_DT!$I$17:$R$17))+AB508</f>
        <v>54815.590344430049</v>
      </c>
      <c r="AD508" s="68">
        <f>((AC508-DCF_FCFF!$C$48)*(1-DCF_FCFF!$C$50)+DCF_FCFF!$C$57+DCF_FCFF!$C$58)/DCF_FCFF!$C$60</f>
        <v>429.71773261518916</v>
      </c>
      <c r="AE508" s="6"/>
      <c r="AF508" s="6"/>
      <c r="AG508" s="6"/>
    </row>
    <row r="509" spans="1:33" x14ac:dyDescent="0.3">
      <c r="A509" s="6"/>
      <c r="B509" s="72">
        <v>478</v>
      </c>
      <c r="C509" s="73">
        <v>0.76225134830351204</v>
      </c>
      <c r="D509" s="73">
        <v>0.98718633204169404</v>
      </c>
      <c r="E509" s="73">
        <v>4.4880322476276602E-2</v>
      </c>
      <c r="F509" s="73">
        <v>0.74807095907989296</v>
      </c>
      <c r="G509" s="73">
        <v>7.1862165840960099E-2</v>
      </c>
      <c r="H509" s="15">
        <f t="shared" si="71"/>
        <v>0.7135632266821833</v>
      </c>
      <c r="I509" s="15">
        <f t="shared" si="72"/>
        <v>2.2318128313973302</v>
      </c>
      <c r="J509" s="15">
        <f t="shared" si="73"/>
        <v>-1.6966616609822152</v>
      </c>
      <c r="K509" s="15">
        <f t="shared" si="74"/>
        <v>0.66843167536989023</v>
      </c>
      <c r="L509" s="15">
        <f t="shared" si="75"/>
        <v>-1.4620615949976425</v>
      </c>
      <c r="M509" s="18">
        <f t="shared" si="76"/>
        <v>1.4271264533643666E-2</v>
      </c>
      <c r="N509" s="18">
        <f t="shared" si="77"/>
        <v>1.8316705774586044E-2</v>
      </c>
      <c r="O509" s="18">
        <f t="shared" si="78"/>
        <v>-2.0359939931786582E-2</v>
      </c>
      <c r="P509" s="18">
        <f t="shared" si="79"/>
        <v>4.0105900522193413E-3</v>
      </c>
      <c r="Q509" s="18">
        <f t="shared" si="80"/>
        <v>-5.8482463799905699E-3</v>
      </c>
      <c r="R509" s="28">
        <f>((Scenario_DT!I$11*(IF(Scenario_DT!I$18=1,1,1+$M509/Scenario_DT!$C$19)*(1+$N509)^MAX(0,Scenario_DT!I$18-3))*(Scenario_DT!I$12+$O509)-Scenario_DT!I$13)*(1-Scenario_DT!I$14)+Scenario_DT!I$13-Scenario_DT!I$15)*Scenario_DT!I$16</f>
        <v>882.27921329481364</v>
      </c>
      <c r="S509" s="28">
        <f>((Scenario_DT!J$11*(IF(Scenario_DT!J$18=1,1,1+$M509/Scenario_DT!$C$19)*(1+$N509)^MAX(0,Scenario_DT!J$18-3))*(Scenario_DT!J$12+$O509)-Scenario_DT!J$13)*(1-Scenario_DT!J$14)+Scenario_DT!J$13-Scenario_DT!J$15)*Scenario_DT!J$16</f>
        <v>1801.873451985427</v>
      </c>
      <c r="T509" s="28">
        <f>((Scenario_DT!K$11*(IF(Scenario_DT!K$18=1,1,1+$M509/Scenario_DT!$C$19)*(1+$N509)^MAX(0,Scenario_DT!K$18-3))*(Scenario_DT!K$12+$O509)-Scenario_DT!K$13)*(1-Scenario_DT!K$14)+Scenario_DT!K$13-Scenario_DT!K$15)*Scenario_DT!K$16</f>
        <v>2065.8522744568299</v>
      </c>
      <c r="U509" s="28">
        <f>((Scenario_DT!L$11*(IF(Scenario_DT!L$18=1,1,1+$M509/Scenario_DT!$C$19)*(1+$N509)^MAX(0,Scenario_DT!L$18-3))*(Scenario_DT!L$12+$O509)-Scenario_DT!L$13)*(1-Scenario_DT!L$14)+Scenario_DT!L$13-Scenario_DT!L$15)*Scenario_DT!L$16</f>
        <v>2510.4481092066271</v>
      </c>
      <c r="V509" s="28">
        <f>((Scenario_DT!M$11*(IF(Scenario_DT!M$18=1,1,1+$M509/Scenario_DT!$C$19)*(1+$N509)^MAX(0,Scenario_DT!M$18-3))*(Scenario_DT!M$12+$O509)-Scenario_DT!M$13)*(1-Scenario_DT!M$14)+Scenario_DT!M$13-Scenario_DT!M$15)*Scenario_DT!M$16</f>
        <v>2683.8559280357063</v>
      </c>
      <c r="W509" s="28">
        <f>((Scenario_DT!N$11*(IF(Scenario_DT!N$18=1,1,1+$M509/Scenario_DT!$C$19)*(1+$N509)^MAX(0,Scenario_DT!N$18-3))*(Scenario_DT!N$12+$O509)-Scenario_DT!N$13)*(1-Scenario_DT!N$14)+Scenario_DT!N$13-Scenario_DT!N$15)*Scenario_DT!N$16</f>
        <v>2869.2562569931533</v>
      </c>
      <c r="X509" s="28">
        <f>((Scenario_DT!O$11*(IF(Scenario_DT!O$18=1,1,1+$M509/Scenario_DT!$C$19)*(1+$N509)^MAX(0,Scenario_DT!O$18-3))*(Scenario_DT!O$12+$O509)-Scenario_DT!O$13)*(1-Scenario_DT!O$14)+Scenario_DT!O$13-Scenario_DT!O$15)*Scenario_DT!O$16</f>
        <v>3067.481907779219</v>
      </c>
      <c r="Y509" s="28">
        <f>((Scenario_DT!P$11*(IF(Scenario_DT!P$18=1,1,1+$M509/Scenario_DT!$C$19)*(1+$N509)^MAX(0,Scenario_DT!P$18-3))*(Scenario_DT!P$12+$O509)-Scenario_DT!P$13)*(1-Scenario_DT!P$14)+Scenario_DT!P$13-Scenario_DT!P$15)*Scenario_DT!P$16</f>
        <v>3279.423493187272</v>
      </c>
      <c r="Z509" s="28">
        <f>((Scenario_DT!Q$11*(IF(Scenario_DT!Q$18=1,1,1+$M509/Scenario_DT!$C$19)*(1+$N509)^MAX(0,Scenario_DT!Q$18-3))*(Scenario_DT!Q$12+$O509)-Scenario_DT!Q$13)*(1-Scenario_DT!Q$14)+Scenario_DT!Q$13-Scenario_DT!Q$15)*Scenario_DT!Q$16</f>
        <v>3506.0334354611114</v>
      </c>
      <c r="AA509" s="28">
        <f>((Scenario_DT!R$11*(IF(Scenario_DT!R$18=1,1,1+$M509/Scenario_DT!$C$19)*(1+$N509)^MAX(0,Scenario_DT!R$18-3))*(Scenario_DT!R$12+$O509)-Scenario_DT!R$13)*(1-Scenario_DT!R$14)+Scenario_DT!R$13-Scenario_DT!R$15)*Scenario_DT!R$16</f>
        <v>3748.330252456477</v>
      </c>
      <c r="AB509" s="17">
        <f>(Scenario_DT!$R$11*(1+$M509/Scenario_DT!$C$19)*(1+$N509)^7*(Scenario_DT!$R$12+$O509)*(1+MIN(DCF_FCFF!$C$26+$Q509,(DCF_FCFF!$C$25+$P509)-0.02))*(1-DCF_FCFF!$C$27)*(1-DCF_FCFF!$C$28)/((DCF_FCFF!$C$25+$P509)-MIN(DCF_FCFF!$C$26+$Q509,(DCF_FCFF!$C$25+$P509)-0.02)))*(1+(DCF_FCFF!$C$25+$P509))^(-(Inputs!$C$9+9))</f>
        <v>25373.883872287359</v>
      </c>
      <c r="AC509" s="17">
        <f>SUMPRODUCT(R509:AA509*(1+(DCF_FCFF!$C$25+$P509))^(-Scenario_DT!$I$17:$R$17))+AB509</f>
        <v>42160.937339542856</v>
      </c>
      <c r="AD509" s="68">
        <f>((AC509-DCF_FCFF!$C$48)*(1-DCF_FCFF!$C$50)+DCF_FCFF!$C$57+DCF_FCFF!$C$58)/DCF_FCFF!$C$60</f>
        <v>308.24864831619163</v>
      </c>
      <c r="AE509" s="6"/>
      <c r="AF509" s="6"/>
      <c r="AG509" s="6"/>
    </row>
    <row r="510" spans="1:33" x14ac:dyDescent="0.3">
      <c r="A510" s="6"/>
      <c r="B510" s="72">
        <v>479</v>
      </c>
      <c r="C510" s="73">
        <v>0.59213282490366703</v>
      </c>
      <c r="D510" s="73">
        <v>0.75607528242823796</v>
      </c>
      <c r="E510" s="73">
        <v>0.35920439726773801</v>
      </c>
      <c r="F510" s="73">
        <v>1.09347211106637E-2</v>
      </c>
      <c r="G510" s="73">
        <v>0.59518935212542601</v>
      </c>
      <c r="H510" s="15">
        <f t="shared" si="71"/>
        <v>0.23303484232968538</v>
      </c>
      <c r="I510" s="15">
        <f t="shared" si="72"/>
        <v>0.69373336935008245</v>
      </c>
      <c r="J510" s="15">
        <f t="shared" si="73"/>
        <v>-0.36058621673479868</v>
      </c>
      <c r="K510" s="15">
        <f t="shared" si="74"/>
        <v>-2.2926278042046766</v>
      </c>
      <c r="L510" s="15">
        <f t="shared" si="75"/>
        <v>0.24091461348702253</v>
      </c>
      <c r="M510" s="18">
        <f t="shared" si="76"/>
        <v>4.6606968465937081E-3</v>
      </c>
      <c r="N510" s="18">
        <f t="shared" si="77"/>
        <v>5.7384651397998946E-3</v>
      </c>
      <c r="O510" s="18">
        <f t="shared" si="78"/>
        <v>-4.3270346008175845E-3</v>
      </c>
      <c r="P510" s="18">
        <f t="shared" si="79"/>
        <v>-1.375576682522806E-2</v>
      </c>
      <c r="Q510" s="18">
        <f t="shared" si="80"/>
        <v>9.636584539480901E-4</v>
      </c>
      <c r="R510" s="28">
        <f>((Scenario_DT!I$11*(IF(Scenario_DT!I$18=1,1,1+$M510/Scenario_DT!$C$19)*(1+$N510)^MAX(0,Scenario_DT!I$18-3))*(Scenario_DT!I$12+$O510)-Scenario_DT!I$13)*(1-Scenario_DT!I$14)+Scenario_DT!I$13-Scenario_DT!I$15)*Scenario_DT!I$16</f>
        <v>904.88388440722827</v>
      </c>
      <c r="S510" s="28">
        <f>((Scenario_DT!J$11*(IF(Scenario_DT!J$18=1,1,1+$M510/Scenario_DT!$C$19)*(1+$N510)^MAX(0,Scenario_DT!J$18-3))*(Scenario_DT!J$12+$O510)-Scenario_DT!J$13)*(1-Scenario_DT!J$14)+Scenario_DT!J$13-Scenario_DT!J$15)*Scenario_DT!J$16</f>
        <v>1829.5631574332938</v>
      </c>
      <c r="T510" s="28">
        <f>((Scenario_DT!K$11*(IF(Scenario_DT!K$18=1,1,1+$M510/Scenario_DT!$C$19)*(1+$N510)^MAX(0,Scenario_DT!K$18-3))*(Scenario_DT!K$12+$O510)-Scenario_DT!K$13)*(1-Scenario_DT!K$14)+Scenario_DT!K$13-Scenario_DT!K$15)*Scenario_DT!K$16</f>
        <v>2094.2211030957415</v>
      </c>
      <c r="U510" s="28">
        <f>((Scenario_DT!L$11*(IF(Scenario_DT!L$18=1,1,1+$M510/Scenario_DT!$C$19)*(1+$N510)^MAX(0,Scenario_DT!L$18-3))*(Scenario_DT!L$12+$O510)-Scenario_DT!L$13)*(1-Scenario_DT!L$14)+Scenario_DT!L$13-Scenario_DT!L$15)*Scenario_DT!L$16</f>
        <v>2509.5248547733172</v>
      </c>
      <c r="V510" s="28">
        <f>((Scenario_DT!M$11*(IF(Scenario_DT!M$18=1,1,1+$M510/Scenario_DT!$C$19)*(1+$N510)^MAX(0,Scenario_DT!M$18-3))*(Scenario_DT!M$12+$O510)-Scenario_DT!M$13)*(1-Scenario_DT!M$14)+Scenario_DT!M$13-Scenario_DT!M$15)*Scenario_DT!M$16</f>
        <v>2649.5022073660853</v>
      </c>
      <c r="W510" s="28">
        <f>((Scenario_DT!N$11*(IF(Scenario_DT!N$18=1,1,1+$M510/Scenario_DT!$C$19)*(1+$N510)^MAX(0,Scenario_DT!N$18-3))*(Scenario_DT!N$12+$O510)-Scenario_DT!N$13)*(1-Scenario_DT!N$14)+Scenario_DT!N$13-Scenario_DT!N$15)*Scenario_DT!N$16</f>
        <v>2797.2882202064075</v>
      </c>
      <c r="X510" s="28">
        <f>((Scenario_DT!O$11*(IF(Scenario_DT!O$18=1,1,1+$M510/Scenario_DT!$C$19)*(1+$N510)^MAX(0,Scenario_DT!O$18-3))*(Scenario_DT!O$12+$O510)-Scenario_DT!O$13)*(1-Scenario_DT!O$14)+Scenario_DT!O$13-Scenario_DT!O$15)*Scenario_DT!O$16</f>
        <v>2953.3213140452135</v>
      </c>
      <c r="Y510" s="28">
        <f>((Scenario_DT!P$11*(IF(Scenario_DT!P$18=1,1,1+$M510/Scenario_DT!$C$19)*(1+$N510)^MAX(0,Scenario_DT!P$18-3))*(Scenario_DT!P$12+$O510)-Scenario_DT!P$13)*(1-Scenario_DT!P$14)+Scenario_DT!P$13-Scenario_DT!P$15)*Scenario_DT!P$16</f>
        <v>3118.0645383660935</v>
      </c>
      <c r="Z510" s="28">
        <f>((Scenario_DT!Q$11*(IF(Scenario_DT!Q$18=1,1,1+$M510/Scenario_DT!$C$19)*(1+$N510)^MAX(0,Scenario_DT!Q$18-3))*(Scenario_DT!Q$12+$O510)-Scenario_DT!Q$13)*(1-Scenario_DT!Q$14)+Scenario_DT!Q$13-Scenario_DT!Q$15)*Scenario_DT!Q$16</f>
        <v>3292.0069543971495</v>
      </c>
      <c r="AA510" s="28">
        <f>((Scenario_DT!R$11*(IF(Scenario_DT!R$18=1,1,1+$M510/Scenario_DT!$C$19)*(1+$N510)^MAX(0,Scenario_DT!R$18-3))*(Scenario_DT!R$12+$O510)-Scenario_DT!R$13)*(1-Scenario_DT!R$14)+Scenario_DT!R$13-Scenario_DT!R$15)*Scenario_DT!R$16</f>
        <v>3475.665095750001</v>
      </c>
      <c r="AB510" s="17">
        <f>(Scenario_DT!$R$11*(1+$M510/Scenario_DT!$C$19)*(1+$N510)^7*(Scenario_DT!$R$12+$O510)*(1+MIN(DCF_FCFF!$C$26+$Q510,(DCF_FCFF!$C$25+$P510)-0.02))*(1-DCF_FCFF!$C$27)*(1-DCF_FCFF!$C$28)/((DCF_FCFF!$C$25+$P510)-MIN(DCF_FCFF!$C$26+$Q510,(DCF_FCFF!$C$25+$P510)-0.02)))*(1+(DCF_FCFF!$C$25+$P510))^(-(Inputs!$C$9+9))</f>
        <v>46732.215439365355</v>
      </c>
      <c r="AC510" s="17">
        <f>SUMPRODUCT(R510:AA510*(1+(DCF_FCFF!$C$25+$P510))^(-Scenario_DT!$I$17:$R$17))+AB510</f>
        <v>64446.793068303101</v>
      </c>
      <c r="AD510" s="68">
        <f>((AC510-DCF_FCFF!$C$48)*(1-DCF_FCFF!$C$50)+DCF_FCFF!$C$57+DCF_FCFF!$C$58)/DCF_FCFF!$C$60</f>
        <v>522.16541767736044</v>
      </c>
      <c r="AE510" s="6"/>
      <c r="AF510" s="6"/>
      <c r="AG510" s="6"/>
    </row>
    <row r="511" spans="1:33" x14ac:dyDescent="0.3">
      <c r="A511" s="6"/>
      <c r="B511" s="72">
        <v>480</v>
      </c>
      <c r="C511" s="73">
        <v>0.99124462814002801</v>
      </c>
      <c r="D511" s="73">
        <v>0.25761742283849598</v>
      </c>
      <c r="E511" s="73">
        <v>0.18949127718721601</v>
      </c>
      <c r="F511" s="73">
        <v>0.123925892753515</v>
      </c>
      <c r="G511" s="73">
        <v>0.55525561990005601</v>
      </c>
      <c r="H511" s="15">
        <f t="shared" si="71"/>
        <v>2.375804373662207</v>
      </c>
      <c r="I511" s="15">
        <f t="shared" si="72"/>
        <v>-0.65070823592891835</v>
      </c>
      <c r="J511" s="15">
        <f t="shared" si="73"/>
        <v>-0.87977251960472891</v>
      </c>
      <c r="K511" s="15">
        <f t="shared" si="74"/>
        <v>-1.1555829495842651</v>
      </c>
      <c r="L511" s="15">
        <f t="shared" si="75"/>
        <v>0.13895113850801147</v>
      </c>
      <c r="M511" s="18">
        <f t="shared" si="76"/>
        <v>4.7516087473244144E-2</v>
      </c>
      <c r="N511" s="18">
        <f t="shared" si="77"/>
        <v>4.9949785925192183E-3</v>
      </c>
      <c r="O511" s="18">
        <f t="shared" si="78"/>
        <v>-1.0557270235256747E-2</v>
      </c>
      <c r="P511" s="18">
        <f t="shared" si="79"/>
        <v>-6.9334976975055909E-3</v>
      </c>
      <c r="Q511" s="18">
        <f t="shared" si="80"/>
        <v>5.5580455403204585E-4</v>
      </c>
      <c r="R511" s="28">
        <f>((Scenario_DT!I$11*(IF(Scenario_DT!I$18=1,1,1+$M511/Scenario_DT!$C$19)*(1+$N511)^MAX(0,Scenario_DT!I$18-3))*(Scenario_DT!I$12+$O511)-Scenario_DT!I$13)*(1-Scenario_DT!I$14)+Scenario_DT!I$13-Scenario_DT!I$15)*Scenario_DT!I$16</f>
        <v>896.09992263847073</v>
      </c>
      <c r="S511" s="28">
        <f>((Scenario_DT!J$11*(IF(Scenario_DT!J$18=1,1,1+$M511/Scenario_DT!$C$19)*(1+$N511)^MAX(0,Scenario_DT!J$18-3))*(Scenario_DT!J$12+$O511)-Scenario_DT!J$13)*(1-Scenario_DT!J$14)+Scenario_DT!J$13-Scenario_DT!J$15)*Scenario_DT!J$16</f>
        <v>1911.3033398067746</v>
      </c>
      <c r="T511" s="28">
        <f>((Scenario_DT!K$11*(IF(Scenario_DT!K$18=1,1,1+$M511/Scenario_DT!$C$19)*(1+$N511)^MAX(0,Scenario_DT!K$18-3))*(Scenario_DT!K$12+$O511)-Scenario_DT!K$13)*(1-Scenario_DT!K$14)+Scenario_DT!K$13-Scenario_DT!K$15)*Scenario_DT!K$16</f>
        <v>2180.3878762813529</v>
      </c>
      <c r="U511" s="28">
        <f>((Scenario_DT!L$11*(IF(Scenario_DT!L$18=1,1,1+$M511/Scenario_DT!$C$19)*(1+$N511)^MAX(0,Scenario_DT!L$18-3))*(Scenario_DT!L$12+$O511)-Scenario_DT!L$13)*(1-Scenario_DT!L$14)+Scenario_DT!L$13-Scenario_DT!L$15)*Scenario_DT!L$16</f>
        <v>2599.6041182245576</v>
      </c>
      <c r="V511" s="28">
        <f>((Scenario_DT!M$11*(IF(Scenario_DT!M$18=1,1,1+$M511/Scenario_DT!$C$19)*(1+$N511)^MAX(0,Scenario_DT!M$18-3))*(Scenario_DT!M$12+$O511)-Scenario_DT!M$13)*(1-Scenario_DT!M$14)+Scenario_DT!M$13-Scenario_DT!M$15)*Scenario_DT!M$16</f>
        <v>2742.5856137559067</v>
      </c>
      <c r="W511" s="28">
        <f>((Scenario_DT!N$11*(IF(Scenario_DT!N$18=1,1,1+$M511/Scenario_DT!$C$19)*(1+$N511)^MAX(0,Scenario_DT!N$18-3))*(Scenario_DT!N$12+$O511)-Scenario_DT!N$13)*(1-Scenario_DT!N$14)+Scenario_DT!N$13-Scenario_DT!N$15)*Scenario_DT!N$16</f>
        <v>2893.4312358804668</v>
      </c>
      <c r="X511" s="28">
        <f>((Scenario_DT!O$11*(IF(Scenario_DT!O$18=1,1,1+$M511/Scenario_DT!$C$19)*(1+$N511)^MAX(0,Scenario_DT!O$18-3))*(Scenario_DT!O$12+$O511)-Scenario_DT!O$13)*(1-Scenario_DT!O$14)+Scenario_DT!O$13-Scenario_DT!O$15)*Scenario_DT!O$16</f>
        <v>3052.5762789510923</v>
      </c>
      <c r="Y511" s="28">
        <f>((Scenario_DT!P$11*(IF(Scenario_DT!P$18=1,1,1+$M511/Scenario_DT!$C$19)*(1+$N511)^MAX(0,Scenario_DT!P$18-3))*(Scenario_DT!P$12+$O511)-Scenario_DT!P$13)*(1-Scenario_DT!P$14)+Scenario_DT!P$13-Scenario_DT!P$15)*Scenario_DT!P$16</f>
        <v>3220.4801465043242</v>
      </c>
      <c r="Z511" s="28">
        <f>((Scenario_DT!Q$11*(IF(Scenario_DT!Q$18=1,1,1+$M511/Scenario_DT!$C$19)*(1+$N511)^MAX(0,Scenario_DT!Q$18-3))*(Scenario_DT!Q$12+$O511)-Scenario_DT!Q$13)*(1-Scenario_DT!Q$14)+Scenario_DT!Q$13-Scenario_DT!Q$15)*Scenario_DT!Q$16</f>
        <v>3397.6276861385154</v>
      </c>
      <c r="AA511" s="28">
        <f>((Scenario_DT!R$11*(IF(Scenario_DT!R$18=1,1,1+$M511/Scenario_DT!$C$19)*(1+$N511)^MAX(0,Scenario_DT!R$18-3))*(Scenario_DT!R$12+$O511)-Scenario_DT!R$13)*(1-Scenario_DT!R$14)+Scenario_DT!R$13-Scenario_DT!R$15)*Scenario_DT!R$16</f>
        <v>3584.5305982713066</v>
      </c>
      <c r="AB511" s="17">
        <f>(Scenario_DT!$R$11*(1+$M511/Scenario_DT!$C$19)*(1+$N511)^7*(Scenario_DT!$R$12+$O511)*(1+MIN(DCF_FCFF!$C$26+$Q511,(DCF_FCFF!$C$25+$P511)-0.02))*(1-DCF_FCFF!$C$27)*(1-DCF_FCFF!$C$28)/((DCF_FCFF!$C$25+$P511)-MIN(DCF_FCFF!$C$26+$Q511,(DCF_FCFF!$C$25+$P511)-0.02)))*(1+(DCF_FCFF!$C$25+$P511))^(-(Inputs!$C$9+9))</f>
        <v>37723.612218284223</v>
      </c>
      <c r="AC511" s="17">
        <f>SUMPRODUCT(R511:AA511*(1+(DCF_FCFF!$C$25+$P511))^(-Scenario_DT!$I$17:$R$17))+AB511</f>
        <v>55491.316580260747</v>
      </c>
      <c r="AD511" s="68">
        <f>((AC511-DCF_FCFF!$C$48)*(1-DCF_FCFF!$C$50)+DCF_FCFF!$C$57+DCF_FCFF!$C$58)/DCF_FCFF!$C$60</f>
        <v>436.20387230400274</v>
      </c>
      <c r="AE511" s="6"/>
      <c r="AF511" s="6"/>
      <c r="AG511" s="6"/>
    </row>
    <row r="512" spans="1:33" x14ac:dyDescent="0.3">
      <c r="A512" s="6"/>
      <c r="B512" s="72">
        <v>481</v>
      </c>
      <c r="C512" s="73">
        <v>0.59644509936027301</v>
      </c>
      <c r="D512" s="73">
        <v>0.79227083717040203</v>
      </c>
      <c r="E512" s="73">
        <v>0.75307327362051002</v>
      </c>
      <c r="F512" s="73">
        <v>0.89254149479508704</v>
      </c>
      <c r="G512" s="73">
        <v>0.80577269834230103</v>
      </c>
      <c r="H512" s="15">
        <f t="shared" si="71"/>
        <v>0.24415626026670967</v>
      </c>
      <c r="I512" s="15">
        <f t="shared" si="72"/>
        <v>0.81432581341370425</v>
      </c>
      <c r="J512" s="15">
        <f t="shared" si="73"/>
        <v>0.68419276106126614</v>
      </c>
      <c r="K512" s="15">
        <f t="shared" si="74"/>
        <v>1.2401578628543135</v>
      </c>
      <c r="L512" s="15">
        <f t="shared" si="75"/>
        <v>0.86242333648753378</v>
      </c>
      <c r="M512" s="18">
        <f t="shared" si="76"/>
        <v>4.8831252053341935E-3</v>
      </c>
      <c r="N512" s="18">
        <f t="shared" si="77"/>
        <v>6.6184397720563965E-3</v>
      </c>
      <c r="O512" s="18">
        <f t="shared" si="78"/>
        <v>8.2103131327351947E-3</v>
      </c>
      <c r="P512" s="18">
        <f t="shared" si="79"/>
        <v>7.4409471771258815E-3</v>
      </c>
      <c r="Q512" s="18">
        <f t="shared" si="80"/>
        <v>3.4496933459501351E-3</v>
      </c>
      <c r="R512" s="28">
        <f>((Scenario_DT!I$11*(IF(Scenario_DT!I$18=1,1,1+$M512/Scenario_DT!$C$19)*(1+$N512)^MAX(0,Scenario_DT!I$18-3))*(Scenario_DT!I$12+$O512)-Scenario_DT!I$13)*(1-Scenario_DT!I$14)+Scenario_DT!I$13-Scenario_DT!I$15)*Scenario_DT!I$16</f>
        <v>922.5601954867634</v>
      </c>
      <c r="S512" s="28">
        <f>((Scenario_DT!J$11*(IF(Scenario_DT!J$18=1,1,1+$M512/Scenario_DT!$C$19)*(1+$N512)^MAX(0,Scenario_DT!J$18-3))*(Scenario_DT!J$12+$O512)-Scenario_DT!J$13)*(1-Scenario_DT!J$14)+Scenario_DT!J$13-Scenario_DT!J$15)*Scenario_DT!J$16</f>
        <v>1869.2578432225632</v>
      </c>
      <c r="T512" s="28">
        <f>((Scenario_DT!K$11*(IF(Scenario_DT!K$18=1,1,1+$M512/Scenario_DT!$C$19)*(1+$N512)^MAX(0,Scenario_DT!K$18-3))*(Scenario_DT!K$12+$O512)-Scenario_DT!K$13)*(1-Scenario_DT!K$14)+Scenario_DT!K$13-Scenario_DT!K$15)*Scenario_DT!K$16</f>
        <v>2135.3653650037795</v>
      </c>
      <c r="U512" s="28">
        <f>((Scenario_DT!L$11*(IF(Scenario_DT!L$18=1,1,1+$M512/Scenario_DT!$C$19)*(1+$N512)^MAX(0,Scenario_DT!L$18-3))*(Scenario_DT!L$12+$O512)-Scenario_DT!L$13)*(1-Scenario_DT!L$14)+Scenario_DT!L$13-Scenario_DT!L$15)*Scenario_DT!L$16</f>
        <v>2555.7105031314659</v>
      </c>
      <c r="V512" s="28">
        <f>((Scenario_DT!M$11*(IF(Scenario_DT!M$18=1,1,1+$M512/Scenario_DT!$C$19)*(1+$N512)^MAX(0,Scenario_DT!M$18-3))*(Scenario_DT!M$12+$O512)-Scenario_DT!M$13)*(1-Scenario_DT!M$14)+Scenario_DT!M$13-Scenario_DT!M$15)*Scenario_DT!M$16</f>
        <v>2700.6524249815925</v>
      </c>
      <c r="W512" s="28">
        <f>((Scenario_DT!N$11*(IF(Scenario_DT!N$18=1,1,1+$M512/Scenario_DT!$C$19)*(1+$N512)^MAX(0,Scenario_DT!N$18-3))*(Scenario_DT!N$12+$O512)-Scenario_DT!N$13)*(1-Scenario_DT!N$14)+Scenario_DT!N$13-Scenario_DT!N$15)*Scenario_DT!N$16</f>
        <v>2853.8165176541006</v>
      </c>
      <c r="X512" s="28">
        <f>((Scenario_DT!O$11*(IF(Scenario_DT!O$18=1,1,1+$M512/Scenario_DT!$C$19)*(1+$N512)^MAX(0,Scenario_DT!O$18-3))*(Scenario_DT!O$12+$O512)-Scenario_DT!O$13)*(1-Scenario_DT!O$14)+Scenario_DT!O$13-Scenario_DT!O$15)*Scenario_DT!O$16</f>
        <v>3015.6720781489257</v>
      </c>
      <c r="Y512" s="28">
        <f>((Scenario_DT!P$11*(IF(Scenario_DT!P$18=1,1,1+$M512/Scenario_DT!$C$19)*(1+$N512)^MAX(0,Scenario_DT!P$18-3))*(Scenario_DT!P$12+$O512)-Scenario_DT!P$13)*(1-Scenario_DT!P$14)+Scenario_DT!P$13-Scenario_DT!P$15)*Scenario_DT!P$16</f>
        <v>3186.7152010841605</v>
      </c>
      <c r="Z512" s="28">
        <f>((Scenario_DT!Q$11*(IF(Scenario_DT!Q$18=1,1,1+$M512/Scenario_DT!$C$19)*(1+$N512)^MAX(0,Scenario_DT!Q$18-3))*(Scenario_DT!Q$12+$O512)-Scenario_DT!Q$13)*(1-Scenario_DT!Q$14)+Scenario_DT!Q$13-Scenario_DT!Q$15)*Scenario_DT!Q$16</f>
        <v>3367.4703082231326</v>
      </c>
      <c r="AA512" s="28">
        <f>((Scenario_DT!R$11*(IF(Scenario_DT!R$18=1,1,1+$M512/Scenario_DT!$C$19)*(1+$N512)^MAX(0,Scenario_DT!R$18-3))*(Scenario_DT!R$12+$O512)-Scenario_DT!R$13)*(1-Scenario_DT!R$14)+Scenario_DT!R$13-Scenario_DT!R$15)*Scenario_DT!R$16</f>
        <v>3558.4917652610816</v>
      </c>
      <c r="AB512" s="17">
        <f>(Scenario_DT!$R$11*(1+$M512/Scenario_DT!$C$19)*(1+$N512)^7*(Scenario_DT!$R$12+$O512)*(1+MIN(DCF_FCFF!$C$26+$Q512,(DCF_FCFF!$C$25+$P512)-0.02))*(1-DCF_FCFF!$C$27)*(1-DCF_FCFF!$C$28)/((DCF_FCFF!$C$25+$P512)-MIN(DCF_FCFF!$C$26+$Q512,(DCF_FCFF!$C$25+$P512)-0.02)))*(1+(DCF_FCFF!$C$25+$P512))^(-(Inputs!$C$9+9))</f>
        <v>26151.4753232248</v>
      </c>
      <c r="AC512" s="17">
        <f>SUMPRODUCT(R512:AA512*(1+(DCF_FCFF!$C$25+$P512))^(-Scenario_DT!$I$17:$R$17))+AB512</f>
        <v>42662.789878315962</v>
      </c>
      <c r="AD512" s="68">
        <f>((AC512-DCF_FCFF!$C$48)*(1-DCF_FCFF!$C$50)+DCF_FCFF!$C$57+DCF_FCFF!$C$58)/DCF_FCFF!$C$60</f>
        <v>313.06581464341957</v>
      </c>
      <c r="AE512" s="6"/>
      <c r="AF512" s="6"/>
      <c r="AG512" s="6"/>
    </row>
    <row r="513" spans="1:33" x14ac:dyDescent="0.3">
      <c r="A513" s="6"/>
      <c r="B513" s="72">
        <v>482</v>
      </c>
      <c r="C513" s="73">
        <v>0.24726708307944401</v>
      </c>
      <c r="D513" s="73">
        <v>0.55587740487576098</v>
      </c>
      <c r="E513" s="73">
        <v>0.29741195909357998</v>
      </c>
      <c r="F513" s="73">
        <v>0.329785379551502</v>
      </c>
      <c r="G513" s="73">
        <v>0.93194436922999602</v>
      </c>
      <c r="H513" s="15">
        <f t="shared" si="71"/>
        <v>-0.68311501833499011</v>
      </c>
      <c r="I513" s="15">
        <f t="shared" si="72"/>
        <v>0.1405250140176422</v>
      </c>
      <c r="J513" s="15">
        <f t="shared" si="73"/>
        <v>-0.53185862103669457</v>
      </c>
      <c r="K513" s="15">
        <f t="shared" si="74"/>
        <v>-0.44050587367417188</v>
      </c>
      <c r="L513" s="15">
        <f t="shared" si="75"/>
        <v>1.4904298011906991</v>
      </c>
      <c r="M513" s="18">
        <f t="shared" si="76"/>
        <v>-1.3662300366699803E-2</v>
      </c>
      <c r="N513" s="18">
        <f t="shared" si="77"/>
        <v>-1.7588742172884207E-3</v>
      </c>
      <c r="O513" s="18">
        <f t="shared" si="78"/>
        <v>-6.382303452440335E-3</v>
      </c>
      <c r="P513" s="18">
        <f t="shared" si="79"/>
        <v>-2.6430352420450313E-3</v>
      </c>
      <c r="Q513" s="18">
        <f t="shared" si="80"/>
        <v>5.9617192047627969E-3</v>
      </c>
      <c r="R513" s="28">
        <f>((Scenario_DT!I$11*(IF(Scenario_DT!I$18=1,1,1+$M513/Scenario_DT!$C$19)*(1+$N513)^MAX(0,Scenario_DT!I$18-3))*(Scenario_DT!I$12+$O513)-Scenario_DT!I$13)*(1-Scenario_DT!I$14)+Scenario_DT!I$13-Scenario_DT!I$15)*Scenario_DT!I$16</f>
        <v>901.98617650716494</v>
      </c>
      <c r="S513" s="28">
        <f>((Scenario_DT!J$11*(IF(Scenario_DT!J$18=1,1,1+$M513/Scenario_DT!$C$19)*(1+$N513)^MAX(0,Scenario_DT!J$18-3))*(Scenario_DT!J$12+$O513)-Scenario_DT!J$13)*(1-Scenario_DT!J$14)+Scenario_DT!J$13-Scenario_DT!J$15)*Scenario_DT!J$16</f>
        <v>1779.6239877582861</v>
      </c>
      <c r="T513" s="28">
        <f>((Scenario_DT!K$11*(IF(Scenario_DT!K$18=1,1,1+$M513/Scenario_DT!$C$19)*(1+$N513)^MAX(0,Scenario_DT!K$18-3))*(Scenario_DT!K$12+$O513)-Scenario_DT!K$13)*(1-Scenario_DT!K$14)+Scenario_DT!K$13-Scenario_DT!K$15)*Scenario_DT!K$16</f>
        <v>2041.8447457243929</v>
      </c>
      <c r="U513" s="28">
        <f>((Scenario_DT!L$11*(IF(Scenario_DT!L$18=1,1,1+$M513/Scenario_DT!$C$19)*(1+$N513)^MAX(0,Scenario_DT!L$18-3))*(Scenario_DT!L$12+$O513)-Scenario_DT!L$13)*(1-Scenario_DT!L$14)+Scenario_DT!L$13-Scenario_DT!L$15)*Scenario_DT!L$16</f>
        <v>2435.1774538101204</v>
      </c>
      <c r="V513" s="28">
        <f>((Scenario_DT!M$11*(IF(Scenario_DT!M$18=1,1,1+$M513/Scenario_DT!$C$19)*(1+$N513)^MAX(0,Scenario_DT!M$18-3))*(Scenario_DT!M$12+$O513)-Scenario_DT!M$13)*(1-Scenario_DT!M$14)+Scenario_DT!M$13-Scenario_DT!M$15)*Scenario_DT!M$16</f>
        <v>2551.6864025010764</v>
      </c>
      <c r="W513" s="28">
        <f>((Scenario_DT!N$11*(IF(Scenario_DT!N$18=1,1,1+$M513/Scenario_DT!$C$19)*(1+$N513)^MAX(0,Scenario_DT!N$18-3))*(Scenario_DT!N$12+$O513)-Scenario_DT!N$13)*(1-Scenario_DT!N$14)+Scenario_DT!N$13-Scenario_DT!N$15)*Scenario_DT!N$16</f>
        <v>2673.7596811423687</v>
      </c>
      <c r="X513" s="28">
        <f>((Scenario_DT!O$11*(IF(Scenario_DT!O$18=1,1,1+$M513/Scenario_DT!$C$19)*(1+$N513)^MAX(0,Scenario_DT!O$18-3))*(Scenario_DT!O$12+$O513)-Scenario_DT!O$13)*(1-Scenario_DT!O$14)+Scenario_DT!O$13-Scenario_DT!O$15)*Scenario_DT!O$16</f>
        <v>2801.6652124400343</v>
      </c>
      <c r="Y513" s="28">
        <f>((Scenario_DT!P$11*(IF(Scenario_DT!P$18=1,1,1+$M513/Scenario_DT!$C$19)*(1+$N513)^MAX(0,Scenario_DT!P$18-3))*(Scenario_DT!P$12+$O513)-Scenario_DT!P$13)*(1-Scenario_DT!P$14)+Scenario_DT!P$13-Scenario_DT!P$15)*Scenario_DT!P$16</f>
        <v>2935.6838403461011</v>
      </c>
      <c r="Z513" s="28">
        <f>((Scenario_DT!Q$11*(IF(Scenario_DT!Q$18=1,1,1+$M513/Scenario_DT!$C$19)*(1+$N513)^MAX(0,Scenario_DT!Q$18-3))*(Scenario_DT!Q$12+$O513)-Scenario_DT!Q$13)*(1-Scenario_DT!Q$14)+Scenario_DT!Q$13-Scenario_DT!Q$15)*Scenario_DT!Q$16</f>
        <v>3076.1099533709571</v>
      </c>
      <c r="AA513" s="28">
        <f>((Scenario_DT!R$11*(IF(Scenario_DT!R$18=1,1,1+$M513/Scenario_DT!$C$19)*(1+$N513)^MAX(0,Scenario_DT!R$18-3))*(Scenario_DT!R$12+$O513)-Scenario_DT!R$13)*(1-Scenario_DT!R$14)+Scenario_DT!R$13-Scenario_DT!R$15)*Scenario_DT!R$16</f>
        <v>3223.2521379629438</v>
      </c>
      <c r="AB513" s="17">
        <f>(Scenario_DT!$R$11*(1+$M513/Scenario_DT!$C$19)*(1+$N513)^7*(Scenario_DT!$R$12+$O513)*(1+MIN(DCF_FCFF!$C$26+$Q513,(DCF_FCFF!$C$25+$P513)-0.02))*(1-DCF_FCFF!$C$27)*(1-DCF_FCFF!$C$28)/((DCF_FCFF!$C$25+$P513)-MIN(DCF_FCFF!$C$26+$Q513,(DCF_FCFF!$C$25+$P513)-0.02)))*(1+(DCF_FCFF!$C$25+$P513))^(-(Inputs!$C$9+9))</f>
        <v>33751.154029590194</v>
      </c>
      <c r="AC513" s="17">
        <f>SUMPRODUCT(R513:AA513*(1+(DCF_FCFF!$C$25+$P513))^(-Scenario_DT!$I$17:$R$17))+AB513</f>
        <v>49906.544807062091</v>
      </c>
      <c r="AD513" s="68">
        <f>((AC513-DCF_FCFF!$C$48)*(1-DCF_FCFF!$C$50)+DCF_FCFF!$C$57+DCF_FCFF!$C$58)/DCF_FCFF!$C$60</f>
        <v>382.59694107899469</v>
      </c>
      <c r="AE513" s="6"/>
      <c r="AF513" s="6"/>
      <c r="AG513" s="6"/>
    </row>
    <row r="514" spans="1:33" x14ac:dyDescent="0.3">
      <c r="A514" s="6"/>
      <c r="B514" s="72">
        <v>483</v>
      </c>
      <c r="C514" s="73">
        <v>0.68189590506707398</v>
      </c>
      <c r="D514" s="73">
        <v>0.97459041325110596</v>
      </c>
      <c r="E514" s="73">
        <v>0.41691253671874501</v>
      </c>
      <c r="F514" s="73">
        <v>0.53743757335397702</v>
      </c>
      <c r="G514" s="73">
        <v>0.48711541991642199</v>
      </c>
      <c r="H514" s="15">
        <f t="shared" si="71"/>
        <v>0.4730069933218532</v>
      </c>
      <c r="I514" s="15">
        <f t="shared" si="72"/>
        <v>1.9530035587992594</v>
      </c>
      <c r="J514" s="15">
        <f t="shared" si="73"/>
        <v>-0.20979833395700398</v>
      </c>
      <c r="K514" s="15">
        <f t="shared" si="74"/>
        <v>9.398024019816946E-2</v>
      </c>
      <c r="L514" s="15">
        <f t="shared" si="75"/>
        <v>-3.23024695312411E-2</v>
      </c>
      <c r="M514" s="18">
        <f t="shared" si="76"/>
        <v>9.4601398664370638E-3</v>
      </c>
      <c r="N514" s="18">
        <f t="shared" si="77"/>
        <v>1.5422833538100006E-2</v>
      </c>
      <c r="O514" s="18">
        <f t="shared" si="78"/>
        <v>-2.5175800074840478E-3</v>
      </c>
      <c r="P514" s="18">
        <f t="shared" si="79"/>
        <v>5.6388144118901676E-4</v>
      </c>
      <c r="Q514" s="18">
        <f t="shared" si="80"/>
        <v>-1.292098781249644E-4</v>
      </c>
      <c r="R514" s="28">
        <f>((Scenario_DT!I$11*(IF(Scenario_DT!I$18=1,1,1+$M514/Scenario_DT!$C$19)*(1+$N514)^MAX(0,Scenario_DT!I$18-3))*(Scenario_DT!I$12+$O514)-Scenario_DT!I$13)*(1-Scenario_DT!I$14)+Scenario_DT!I$13-Scenario_DT!I$15)*Scenario_DT!I$16</f>
        <v>907.4350206567608</v>
      </c>
      <c r="S514" s="28">
        <f>((Scenario_DT!J$11*(IF(Scenario_DT!J$18=1,1,1+$M514/Scenario_DT!$C$19)*(1+$N514)^MAX(0,Scenario_DT!J$18-3))*(Scenario_DT!J$12+$O514)-Scenario_DT!J$13)*(1-Scenario_DT!J$14)+Scenario_DT!J$13-Scenario_DT!J$15)*Scenario_DT!J$16</f>
        <v>1846.6750938738969</v>
      </c>
      <c r="T514" s="28">
        <f>((Scenario_DT!K$11*(IF(Scenario_DT!K$18=1,1,1+$M514/Scenario_DT!$C$19)*(1+$N514)^MAX(0,Scenario_DT!K$18-3))*(Scenario_DT!K$12+$O514)-Scenario_DT!K$13)*(1-Scenario_DT!K$14)+Scenario_DT!K$13-Scenario_DT!K$15)*Scenario_DT!K$16</f>
        <v>2112.1178655558938</v>
      </c>
      <c r="U514" s="28">
        <f>((Scenario_DT!L$11*(IF(Scenario_DT!L$18=1,1,1+$M514/Scenario_DT!$C$19)*(1+$N514)^MAX(0,Scenario_DT!L$18-3))*(Scenario_DT!L$12+$O514)-Scenario_DT!L$13)*(1-Scenario_DT!L$14)+Scenario_DT!L$13-Scenario_DT!L$15)*Scenario_DT!L$16</f>
        <v>2553.1472826049912</v>
      </c>
      <c r="V514" s="28">
        <f>((Scenario_DT!M$11*(IF(Scenario_DT!M$18=1,1,1+$M514/Scenario_DT!$C$19)*(1+$N514)^MAX(0,Scenario_DT!M$18-3))*(Scenario_DT!M$12+$O514)-Scenario_DT!M$13)*(1-Scenario_DT!M$14)+Scenario_DT!M$13-Scenario_DT!M$15)*Scenario_DT!M$16</f>
        <v>2721.7020921388848</v>
      </c>
      <c r="W514" s="28">
        <f>((Scenario_DT!N$11*(IF(Scenario_DT!N$18=1,1,1+$M514/Scenario_DT!$C$19)*(1+$N514)^MAX(0,Scenario_DT!N$18-3))*(Scenario_DT!N$12+$O514)-Scenario_DT!N$13)*(1-Scenario_DT!N$14)+Scenario_DT!N$13-Scenario_DT!N$15)*Scenario_DT!N$16</f>
        <v>2901.3965048644864</v>
      </c>
      <c r="X514" s="28">
        <f>((Scenario_DT!O$11*(IF(Scenario_DT!O$18=1,1,1+$M514/Scenario_DT!$C$19)*(1+$N514)^MAX(0,Scenario_DT!O$18-3))*(Scenario_DT!O$12+$O514)-Scenario_DT!O$13)*(1-Scenario_DT!O$14)+Scenario_DT!O$13-Scenario_DT!O$15)*Scenario_DT!O$16</f>
        <v>3092.9700665268019</v>
      </c>
      <c r="Y514" s="28">
        <f>((Scenario_DT!P$11*(IF(Scenario_DT!P$18=1,1,1+$M514/Scenario_DT!$C$19)*(1+$N514)^MAX(0,Scenario_DT!P$18-3))*(Scenario_DT!P$12+$O514)-Scenario_DT!P$13)*(1-Scenario_DT!P$14)+Scenario_DT!P$13-Scenario_DT!P$15)*Scenario_DT!P$16</f>
        <v>3297.2114019629394</v>
      </c>
      <c r="Z514" s="28">
        <f>((Scenario_DT!Q$11*(IF(Scenario_DT!Q$18=1,1,1+$M514/Scenario_DT!$C$19)*(1+$N514)^MAX(0,Scenario_DT!Q$18-3))*(Scenario_DT!Q$12+$O514)-Scenario_DT!Q$13)*(1-Scenario_DT!Q$14)+Scenario_DT!Q$13-Scenario_DT!Q$15)*Scenario_DT!Q$16</f>
        <v>3514.9614696862786</v>
      </c>
      <c r="AA514" s="28">
        <f>((Scenario_DT!R$11*(IF(Scenario_DT!R$18=1,1,1+$M514/Scenario_DT!$C$19)*(1+$N514)^MAX(0,Scenario_DT!R$18-3))*(Scenario_DT!R$12+$O514)-Scenario_DT!R$13)*(1-Scenario_DT!R$14)+Scenario_DT!R$13-Scenario_DT!R$15)*Scenario_DT!R$16</f>
        <v>3747.1170321649874</v>
      </c>
      <c r="AB514" s="17">
        <f>(Scenario_DT!$R$11*(1+$M514/Scenario_DT!$C$19)*(1+$N514)^7*(Scenario_DT!$R$12+$O514)*(1+MIN(DCF_FCFF!$C$26+$Q514,(DCF_FCFF!$C$25+$P514)-0.02))*(1-DCF_FCFF!$C$27)*(1-DCF_FCFF!$C$28)/((DCF_FCFF!$C$25+$P514)-MIN(DCF_FCFF!$C$26+$Q514,(DCF_FCFF!$C$25+$P514)-0.02)))*(1+(DCF_FCFF!$C$25+$P514))^(-(Inputs!$C$9+9))</f>
        <v>30994.106359699057</v>
      </c>
      <c r="AC514" s="17">
        <f>SUMPRODUCT(R514:AA514*(1+(DCF_FCFF!$C$25+$P514))^(-Scenario_DT!$I$17:$R$17))+AB514</f>
        <v>48246.770873497328</v>
      </c>
      <c r="AD514" s="68">
        <f>((AC514-DCF_FCFF!$C$48)*(1-DCF_FCFF!$C$50)+DCF_FCFF!$C$57+DCF_FCFF!$C$58)/DCF_FCFF!$C$60</f>
        <v>366.66515537332617</v>
      </c>
      <c r="AE514" s="6"/>
      <c r="AF514" s="6"/>
      <c r="AG514" s="6"/>
    </row>
    <row r="515" spans="1:33" x14ac:dyDescent="0.3">
      <c r="A515" s="6"/>
      <c r="B515" s="72">
        <v>484</v>
      </c>
      <c r="C515" s="73">
        <v>0.107287057523727</v>
      </c>
      <c r="D515" s="73">
        <v>0.23670199452660301</v>
      </c>
      <c r="E515" s="73">
        <v>0.52763636060448205</v>
      </c>
      <c r="F515" s="73">
        <v>6.7374305133006199E-2</v>
      </c>
      <c r="G515" s="73">
        <v>0.93146192930888905</v>
      </c>
      <c r="H515" s="15">
        <f t="shared" si="71"/>
        <v>-1.2410856365409384</v>
      </c>
      <c r="I515" s="15">
        <f t="shared" si="72"/>
        <v>-0.7169515553191963</v>
      </c>
      <c r="J515" s="15">
        <f t="shared" si="73"/>
        <v>6.9329582703558698E-2</v>
      </c>
      <c r="K515" s="15">
        <f t="shared" si="74"/>
        <v>-1.4956357170424248</v>
      </c>
      <c r="L515" s="15">
        <f t="shared" si="75"/>
        <v>1.4867678277730831</v>
      </c>
      <c r="M515" s="18">
        <f t="shared" si="76"/>
        <v>-2.4821712730818769E-2</v>
      </c>
      <c r="N515" s="18">
        <f t="shared" si="77"/>
        <v>-9.9315286276772594E-3</v>
      </c>
      <c r="O515" s="18">
        <f t="shared" si="78"/>
        <v>8.3195499244270439E-4</v>
      </c>
      <c r="P515" s="18">
        <f t="shared" si="79"/>
        <v>-8.9738143022545496E-3</v>
      </c>
      <c r="Q515" s="18">
        <f t="shared" si="80"/>
        <v>5.9470713110923324E-3</v>
      </c>
      <c r="R515" s="28">
        <f>((Scenario_DT!I$11*(IF(Scenario_DT!I$18=1,1,1+$M515/Scenario_DT!$C$19)*(1+$N515)^MAX(0,Scenario_DT!I$18-3))*(Scenario_DT!I$12+$O515)-Scenario_DT!I$13)*(1-Scenario_DT!I$14)+Scenario_DT!I$13-Scenario_DT!I$15)*Scenario_DT!I$16</f>
        <v>912.15750454161332</v>
      </c>
      <c r="S515" s="28">
        <f>((Scenario_DT!J$11*(IF(Scenario_DT!J$18=1,1,1+$M515/Scenario_DT!$C$19)*(1+$N515)^MAX(0,Scenario_DT!J$18-3))*(Scenario_DT!J$12+$O515)-Scenario_DT!J$13)*(1-Scenario_DT!J$14)+Scenario_DT!J$13-Scenario_DT!J$15)*Scenario_DT!J$16</f>
        <v>1774.946798866637</v>
      </c>
      <c r="T515" s="28">
        <f>((Scenario_DT!K$11*(IF(Scenario_DT!K$18=1,1,1+$M515/Scenario_DT!$C$19)*(1+$N515)^MAX(0,Scenario_DT!K$18-3))*(Scenario_DT!K$12+$O515)-Scenario_DT!K$13)*(1-Scenario_DT!K$14)+Scenario_DT!K$13-Scenario_DT!K$15)*Scenario_DT!K$16</f>
        <v>2036.6182043762947</v>
      </c>
      <c r="U515" s="28">
        <f>((Scenario_DT!L$11*(IF(Scenario_DT!L$18=1,1,1+$M515/Scenario_DT!$C$19)*(1+$N515)^MAX(0,Scenario_DT!L$18-3))*(Scenario_DT!L$12+$O515)-Scenario_DT!L$13)*(1-Scenario_DT!L$14)+Scenario_DT!L$13-Scenario_DT!L$15)*Scenario_DT!L$16</f>
        <v>2409.6080606483142</v>
      </c>
      <c r="V515" s="28">
        <f>((Scenario_DT!M$11*(IF(Scenario_DT!M$18=1,1,1+$M515/Scenario_DT!$C$19)*(1+$N515)^MAX(0,Scenario_DT!M$18-3))*(Scenario_DT!M$12+$O515)-Scenario_DT!M$13)*(1-Scenario_DT!M$14)+Scenario_DT!M$13-Scenario_DT!M$15)*Scenario_DT!M$16</f>
        <v>2504.063414868112</v>
      </c>
      <c r="W515" s="28">
        <f>((Scenario_DT!N$11*(IF(Scenario_DT!N$18=1,1,1+$M515/Scenario_DT!$C$19)*(1+$N515)^MAX(0,Scenario_DT!N$18-3))*(Scenario_DT!N$12+$O515)-Scenario_DT!N$13)*(1-Scenario_DT!N$14)+Scenario_DT!N$13-Scenario_DT!N$15)*Scenario_DT!N$16</f>
        <v>2602.1971685672834</v>
      </c>
      <c r="X515" s="28">
        <f>((Scenario_DT!O$11*(IF(Scenario_DT!O$18=1,1,1+$M515/Scenario_DT!$C$19)*(1+$N515)^MAX(0,Scenario_DT!O$18-3))*(Scenario_DT!O$12+$O515)-Scenario_DT!O$13)*(1-Scenario_DT!O$14)+Scenario_DT!O$13-Scenario_DT!O$15)*Scenario_DT!O$16</f>
        <v>2704.1538244595704</v>
      </c>
      <c r="Y515" s="28">
        <f>((Scenario_DT!P$11*(IF(Scenario_DT!P$18=1,1,1+$M515/Scenario_DT!$C$19)*(1+$N515)^MAX(0,Scenario_DT!P$18-3))*(Scenario_DT!P$12+$O515)-Scenario_DT!P$13)*(1-Scenario_DT!P$14)+Scenario_DT!P$13-Scenario_DT!P$15)*Scenario_DT!P$16</f>
        <v>2810.0835731407637</v>
      </c>
      <c r="Z515" s="28">
        <f>((Scenario_DT!Q$11*(IF(Scenario_DT!Q$18=1,1,1+$M515/Scenario_DT!$C$19)*(1+$N515)^MAX(0,Scenario_DT!Q$18-3))*(Scenario_DT!Q$12+$O515)-Scenario_DT!Q$13)*(1-Scenario_DT!Q$14)+Scenario_DT!Q$13-Scenario_DT!Q$15)*Scenario_DT!Q$16</f>
        <v>2920.142517032029</v>
      </c>
      <c r="AA515" s="28">
        <f>((Scenario_DT!R$11*(IF(Scenario_DT!R$18=1,1,1+$M515/Scenario_DT!$C$19)*(1+$N515)^MAX(0,Scenario_DT!R$18-3))*(Scenario_DT!R$12+$O515)-Scenario_DT!R$13)*(1-Scenario_DT!R$14)+Scenario_DT!R$13-Scenario_DT!R$15)*Scenario_DT!R$16</f>
        <v>3034.492903139032</v>
      </c>
      <c r="AB515" s="17">
        <f>(Scenario_DT!$R$11*(1+$M515/Scenario_DT!$C$19)*(1+$N515)^7*(Scenario_DT!$R$12+$O515)*(1+MIN(DCF_FCFF!$C$26+$Q515,(DCF_FCFF!$C$25+$P515)-0.02))*(1-DCF_FCFF!$C$27)*(1-DCF_FCFF!$C$28)/((DCF_FCFF!$C$25+$P515)-MIN(DCF_FCFF!$C$26+$Q515,(DCF_FCFF!$C$25+$P515)-0.02)))*(1+(DCF_FCFF!$C$25+$P515))^(-(Inputs!$C$9+9))</f>
        <v>39580.10836067496</v>
      </c>
      <c r="AC515" s="17">
        <f>SUMPRODUCT(R515:AA515*(1+(DCF_FCFF!$C$25+$P515))^(-Scenario_DT!$I$17:$R$17))+AB515</f>
        <v>55764.821516817166</v>
      </c>
      <c r="AD515" s="68">
        <f>((AC515-DCF_FCFF!$C$48)*(1-DCF_FCFF!$C$50)+DCF_FCFF!$C$57+DCF_FCFF!$C$58)/DCF_FCFF!$C$60</f>
        <v>438.82918286620736</v>
      </c>
      <c r="AE515" s="6"/>
      <c r="AF515" s="6"/>
      <c r="AG515" s="6"/>
    </row>
    <row r="516" spans="1:33" x14ac:dyDescent="0.3">
      <c r="A516" s="6"/>
      <c r="B516" s="72">
        <v>485</v>
      </c>
      <c r="C516" s="73">
        <v>0.123843681943371</v>
      </c>
      <c r="D516" s="73">
        <v>0.19798074641690699</v>
      </c>
      <c r="E516" s="73">
        <v>0.765321223938637</v>
      </c>
      <c r="F516" s="73">
        <v>9.6934541789313697E-2</v>
      </c>
      <c r="G516" s="73">
        <v>0.90027809961540906</v>
      </c>
      <c r="H516" s="15">
        <f t="shared" si="71"/>
        <v>-1.1559848255636445</v>
      </c>
      <c r="I516" s="15">
        <f t="shared" si="72"/>
        <v>-0.84885587786384176</v>
      </c>
      <c r="J516" s="15">
        <f t="shared" si="73"/>
        <v>0.72352475312217557</v>
      </c>
      <c r="K516" s="15">
        <f t="shared" si="74"/>
        <v>-1.2992181233633771</v>
      </c>
      <c r="L516" s="15">
        <f t="shared" si="75"/>
        <v>1.2831378056643259</v>
      </c>
      <c r="M516" s="18">
        <f t="shared" si="76"/>
        <v>-2.3119696511272891E-2</v>
      </c>
      <c r="N516" s="18">
        <f t="shared" si="77"/>
        <v>-1.0504985337309199E-2</v>
      </c>
      <c r="O516" s="18">
        <f t="shared" si="78"/>
        <v>8.6822970374661069E-3</v>
      </c>
      <c r="P516" s="18">
        <f t="shared" si="79"/>
        <v>-7.7953087401802625E-3</v>
      </c>
      <c r="Q516" s="18">
        <f t="shared" si="80"/>
        <v>5.132551222657304E-3</v>
      </c>
      <c r="R516" s="28">
        <f>((Scenario_DT!I$11*(IF(Scenario_DT!I$18=1,1,1+$M516/Scenario_DT!$C$19)*(1+$N516)^MAX(0,Scenario_DT!I$18-3))*(Scenario_DT!I$12+$O516)-Scenario_DT!I$13)*(1-Scenario_DT!I$14)+Scenario_DT!I$13-Scenario_DT!I$15)*Scenario_DT!I$16</f>
        <v>923.22564199920487</v>
      </c>
      <c r="S516" s="28">
        <f>((Scenario_DT!J$11*(IF(Scenario_DT!J$18=1,1,1+$M516/Scenario_DT!$C$19)*(1+$N516)^MAX(0,Scenario_DT!J$18-3))*(Scenario_DT!J$12+$O516)-Scenario_DT!J$13)*(1-Scenario_DT!J$14)+Scenario_DT!J$13-Scenario_DT!J$15)*Scenario_DT!J$16</f>
        <v>1802.8270646360565</v>
      </c>
      <c r="T516" s="28">
        <f>((Scenario_DT!K$11*(IF(Scenario_DT!K$18=1,1,1+$M516/Scenario_DT!$C$19)*(1+$N516)^MAX(0,Scenario_DT!K$18-3))*(Scenario_DT!K$12+$O516)-Scenario_DT!K$13)*(1-Scenario_DT!K$14)+Scenario_DT!K$13-Scenario_DT!K$15)*Scenario_DT!K$16</f>
        <v>2065.5691654182369</v>
      </c>
      <c r="U516" s="28">
        <f>((Scenario_DT!L$11*(IF(Scenario_DT!L$18=1,1,1+$M516/Scenario_DT!$C$19)*(1+$N516)^MAX(0,Scenario_DT!L$18-3))*(Scenario_DT!L$12+$O516)-Scenario_DT!L$13)*(1-Scenario_DT!L$14)+Scenario_DT!L$13-Scenario_DT!L$15)*Scenario_DT!L$16</f>
        <v>2438.6191672589725</v>
      </c>
      <c r="V516" s="28">
        <f>((Scenario_DT!M$11*(IF(Scenario_DT!M$18=1,1,1+$M516/Scenario_DT!$C$19)*(1+$N516)^MAX(0,Scenario_DT!M$18-3))*(Scenario_DT!M$12+$O516)-Scenario_DT!M$13)*(1-Scenario_DT!M$14)+Scenario_DT!M$13-Scenario_DT!M$15)*Scenario_DT!M$16</f>
        <v>2532.7440204283462</v>
      </c>
      <c r="W516" s="28">
        <f>((Scenario_DT!N$11*(IF(Scenario_DT!N$18=1,1,1+$M516/Scenario_DT!$C$19)*(1+$N516)^MAX(0,Scenario_DT!N$18-3))*(Scenario_DT!N$12+$O516)-Scenario_DT!N$13)*(1-Scenario_DT!N$14)+Scenario_DT!N$13-Scenario_DT!N$15)*Scenario_DT!N$16</f>
        <v>2630.4765767318618</v>
      </c>
      <c r="X516" s="28">
        <f>((Scenario_DT!O$11*(IF(Scenario_DT!O$18=1,1,1+$M516/Scenario_DT!$C$19)*(1+$N516)^MAX(0,Scenario_DT!O$18-3))*(Scenario_DT!O$12+$O516)-Scenario_DT!O$13)*(1-Scenario_DT!O$14)+Scenario_DT!O$13-Scenario_DT!O$15)*Scenario_DT!O$16</f>
        <v>2731.9562959430623</v>
      </c>
      <c r="Y516" s="28">
        <f>((Scenario_DT!P$11*(IF(Scenario_DT!P$18=1,1,1+$M516/Scenario_DT!$C$19)*(1+$N516)^MAX(0,Scenario_DT!P$18-3))*(Scenario_DT!P$12+$O516)-Scenario_DT!P$13)*(1-Scenario_DT!P$14)+Scenario_DT!P$13-Scenario_DT!P$15)*Scenario_DT!P$16</f>
        <v>2837.3280386580068</v>
      </c>
      <c r="Z516" s="28">
        <f>((Scenario_DT!Q$11*(IF(Scenario_DT!Q$18=1,1,1+$M516/Scenario_DT!$C$19)*(1+$N516)^MAX(0,Scenario_DT!Q$18-3))*(Scenario_DT!Q$12+$O516)-Scenario_DT!Q$13)*(1-Scenario_DT!Q$14)+Scenario_DT!Q$13-Scenario_DT!Q$15)*Scenario_DT!Q$16</f>
        <v>2946.7422754692161</v>
      </c>
      <c r="AA516" s="28">
        <f>((Scenario_DT!R$11*(IF(Scenario_DT!R$18=1,1,1+$M516/Scenario_DT!$C$19)*(1+$N516)^MAX(0,Scenario_DT!R$18-3))*(Scenario_DT!R$12+$O516)-Scenario_DT!R$13)*(1-Scenario_DT!R$14)+Scenario_DT!R$13-Scenario_DT!R$15)*Scenario_DT!R$16</f>
        <v>3060.3553042380904</v>
      </c>
      <c r="AB516" s="17">
        <f>(Scenario_DT!$R$11*(1+$M516/Scenario_DT!$C$19)*(1+$N516)^7*(Scenario_DT!$R$12+$O516)*(1+MIN(DCF_FCFF!$C$26+$Q516,(DCF_FCFF!$C$25+$P516)-0.02))*(1-DCF_FCFF!$C$27)*(1-DCF_FCFF!$C$28)/((DCF_FCFF!$C$25+$P516)-MIN(DCF_FCFF!$C$26+$Q516,(DCF_FCFF!$C$25+$P516)-0.02)))*(1+(DCF_FCFF!$C$25+$P516))^(-(Inputs!$C$9+9))</f>
        <v>37374.30167032576</v>
      </c>
      <c r="AC516" s="17">
        <f>SUMPRODUCT(R516:AA516*(1+(DCF_FCFF!$C$25+$P516))^(-Scenario_DT!$I$17:$R$17))+AB516</f>
        <v>53662.37486857226</v>
      </c>
      <c r="AD516" s="68">
        <f>((AC516-DCF_FCFF!$C$48)*(1-DCF_FCFF!$C$50)+DCF_FCFF!$C$57+DCF_FCFF!$C$58)/DCF_FCFF!$C$60</f>
        <v>418.64828426304712</v>
      </c>
      <c r="AE516" s="6"/>
      <c r="AF516" s="6"/>
      <c r="AG516" s="6"/>
    </row>
    <row r="517" spans="1:33" x14ac:dyDescent="0.3">
      <c r="A517" s="6"/>
      <c r="B517" s="72">
        <v>486</v>
      </c>
      <c r="C517" s="73">
        <v>0.72570097072253603</v>
      </c>
      <c r="D517" s="73">
        <v>6.8620857108858901E-2</v>
      </c>
      <c r="E517" s="73">
        <v>0.69184706128565299</v>
      </c>
      <c r="F517" s="73">
        <v>0.63162854217131803</v>
      </c>
      <c r="G517" s="73">
        <v>0.75734943273991895</v>
      </c>
      <c r="H517" s="15">
        <f t="shared" si="71"/>
        <v>0.59986222616955265</v>
      </c>
      <c r="I517" s="15">
        <f t="shared" si="72"/>
        <v>-1.4861414358748477</v>
      </c>
      <c r="J517" s="15">
        <f t="shared" si="73"/>
        <v>0.50109270959830232</v>
      </c>
      <c r="K517" s="15">
        <f t="shared" si="74"/>
        <v>0.3361696799131591</v>
      </c>
      <c r="L517" s="15">
        <f t="shared" si="75"/>
        <v>0.69780182996096385</v>
      </c>
      <c r="M517" s="18">
        <f t="shared" si="76"/>
        <v>1.1997244523391053E-2</v>
      </c>
      <c r="N517" s="18">
        <f t="shared" si="77"/>
        <v>-7.8968409919961905E-3</v>
      </c>
      <c r="O517" s="18">
        <f t="shared" si="78"/>
        <v>6.0131125151796283E-3</v>
      </c>
      <c r="P517" s="18">
        <f t="shared" si="79"/>
        <v>2.0170180794789549E-3</v>
      </c>
      <c r="Q517" s="18">
        <f t="shared" si="80"/>
        <v>2.7912073198438554E-3</v>
      </c>
      <c r="R517" s="28">
        <f>((Scenario_DT!I$11*(IF(Scenario_DT!I$18=1,1,1+$M517/Scenario_DT!$C$19)*(1+$N517)^MAX(0,Scenario_DT!I$18-3))*(Scenario_DT!I$12+$O517)-Scenario_DT!I$13)*(1-Scenario_DT!I$14)+Scenario_DT!I$13-Scenario_DT!I$15)*Scenario_DT!I$16</f>
        <v>919.46237907092632</v>
      </c>
      <c r="S517" s="28">
        <f>((Scenario_DT!J$11*(IF(Scenario_DT!J$18=1,1,1+$M517/Scenario_DT!$C$19)*(1+$N517)^MAX(0,Scenario_DT!J$18-3))*(Scenario_DT!J$12+$O517)-Scenario_DT!J$13)*(1-Scenario_DT!J$14)+Scenario_DT!J$13-Scenario_DT!J$15)*Scenario_DT!J$16</f>
        <v>1879.5826934145207</v>
      </c>
      <c r="T517" s="28">
        <f>((Scenario_DT!K$11*(IF(Scenario_DT!K$18=1,1,1+$M517/Scenario_DT!$C$19)*(1+$N517)^MAX(0,Scenario_DT!K$18-3))*(Scenario_DT!K$12+$O517)-Scenario_DT!K$13)*(1-Scenario_DT!K$14)+Scenario_DT!K$13-Scenario_DT!K$15)*Scenario_DT!K$16</f>
        <v>2146.3071860012287</v>
      </c>
      <c r="U517" s="28">
        <f>((Scenario_DT!L$11*(IF(Scenario_DT!L$18=1,1,1+$M517/Scenario_DT!$C$19)*(1+$N517)^MAX(0,Scenario_DT!L$18-3))*(Scenario_DT!L$12+$O517)-Scenario_DT!L$13)*(1-Scenario_DT!L$14)+Scenario_DT!L$13-Scenario_DT!L$15)*Scenario_DT!L$16</f>
        <v>2530.1402539606834</v>
      </c>
      <c r="V517" s="28">
        <f>((Scenario_DT!M$11*(IF(Scenario_DT!M$18=1,1,1+$M517/Scenario_DT!$C$19)*(1+$N517)^MAX(0,Scenario_DT!M$18-3))*(Scenario_DT!M$12+$O517)-Scenario_DT!M$13)*(1-Scenario_DT!M$14)+Scenario_DT!M$13-Scenario_DT!M$15)*Scenario_DT!M$16</f>
        <v>2634.8067946809588</v>
      </c>
      <c r="W517" s="28">
        <f>((Scenario_DT!N$11*(IF(Scenario_DT!N$18=1,1,1+$M517/Scenario_DT!$C$19)*(1+$N517)^MAX(0,Scenario_DT!N$18-3))*(Scenario_DT!N$12+$O517)-Scenario_DT!N$13)*(1-Scenario_DT!N$14)+Scenario_DT!N$13-Scenario_DT!N$15)*Scenario_DT!N$16</f>
        <v>2743.782766653796</v>
      </c>
      <c r="X517" s="28">
        <f>((Scenario_DT!O$11*(IF(Scenario_DT!O$18=1,1,1+$M517/Scenario_DT!$C$19)*(1+$N517)^MAX(0,Scenario_DT!O$18-3))*(Scenario_DT!O$12+$O517)-Scenario_DT!O$13)*(1-Scenario_DT!O$14)+Scenario_DT!O$13-Scenario_DT!O$15)*Scenario_DT!O$16</f>
        <v>2857.2471096593163</v>
      </c>
      <c r="Y517" s="28">
        <f>((Scenario_DT!P$11*(IF(Scenario_DT!P$18=1,1,1+$M517/Scenario_DT!$C$19)*(1+$N517)^MAX(0,Scenario_DT!P$18-3))*(Scenario_DT!P$12+$O517)-Scenario_DT!P$13)*(1-Scenario_DT!P$14)+Scenario_DT!P$13-Scenario_DT!P$15)*Scenario_DT!P$16</f>
        <v>2975.3862089082299</v>
      </c>
      <c r="Z517" s="28">
        <f>((Scenario_DT!Q$11*(IF(Scenario_DT!Q$18=1,1,1+$M517/Scenario_DT!$C$19)*(1+$N517)^MAX(0,Scenario_DT!Q$18-3))*(Scenario_DT!Q$12+$O517)-Scenario_DT!Q$13)*(1-Scenario_DT!Q$14)+Scenario_DT!Q$13-Scenario_DT!Q$15)*Scenario_DT!Q$16</f>
        <v>3098.3942050014875</v>
      </c>
      <c r="AA517" s="28">
        <f>((Scenario_DT!R$11*(IF(Scenario_DT!R$18=1,1,1+$M517/Scenario_DT!$C$19)*(1+$N517)^MAX(0,Scenario_DT!R$18-3))*(Scenario_DT!R$12+$O517)-Scenario_DT!R$13)*(1-Scenario_DT!R$14)+Scenario_DT!R$13-Scenario_DT!R$15)*Scenario_DT!R$16</f>
        <v>3226.4733167963632</v>
      </c>
      <c r="AB517" s="17">
        <f>(Scenario_DT!$R$11*(1+$M517/Scenario_DT!$C$19)*(1+$N517)^7*(Scenario_DT!$R$12+$O517)*(1+MIN(DCF_FCFF!$C$26+$Q517,(DCF_FCFF!$C$25+$P517)-0.02))*(1-DCF_FCFF!$C$27)*(1-DCF_FCFF!$C$28)/((DCF_FCFF!$C$25+$P517)-MIN(DCF_FCFF!$C$26+$Q517,(DCF_FCFF!$C$25+$P517)-0.02)))*(1+(DCF_FCFF!$C$25+$P517))^(-(Inputs!$C$9+9))</f>
        <v>27241.512137144367</v>
      </c>
      <c r="AC517" s="17">
        <f>SUMPRODUCT(R517:AA517*(1+(DCF_FCFF!$C$25+$P517))^(-Scenario_DT!$I$17:$R$17))+AB517</f>
        <v>43522.557337437451</v>
      </c>
      <c r="AD517" s="68">
        <f>((AC517-DCF_FCFF!$C$48)*(1-DCF_FCFF!$C$50)+DCF_FCFF!$C$57+DCF_FCFF!$C$58)/DCF_FCFF!$C$60</f>
        <v>321.31852342407365</v>
      </c>
      <c r="AE517" s="6"/>
      <c r="AF517" s="6"/>
      <c r="AG517" s="6"/>
    </row>
    <row r="518" spans="1:33" x14ac:dyDescent="0.3">
      <c r="A518" s="6"/>
      <c r="B518" s="72">
        <v>487</v>
      </c>
      <c r="C518" s="73">
        <v>0.82819785248933597</v>
      </c>
      <c r="D518" s="73">
        <v>0.71835056317315504</v>
      </c>
      <c r="E518" s="73">
        <v>0.58617629527097204</v>
      </c>
      <c r="F518" s="73">
        <v>0.32246331858177801</v>
      </c>
      <c r="G518" s="73">
        <v>0.697273661829929</v>
      </c>
      <c r="H518" s="15">
        <f t="shared" si="71"/>
        <v>0.94706767526990288</v>
      </c>
      <c r="I518" s="15">
        <f t="shared" si="72"/>
        <v>0.57794852350641779</v>
      </c>
      <c r="J518" s="15">
        <f t="shared" si="73"/>
        <v>0.2177198334977487</v>
      </c>
      <c r="K518" s="15">
        <f t="shared" si="74"/>
        <v>-0.46082155303617039</v>
      </c>
      <c r="L518" s="15">
        <f t="shared" si="75"/>
        <v>0.51657527904187361</v>
      </c>
      <c r="M518" s="18">
        <f t="shared" si="76"/>
        <v>1.8941353505398058E-2</v>
      </c>
      <c r="N518" s="18">
        <f t="shared" si="77"/>
        <v>7.7924155285697362E-3</v>
      </c>
      <c r="O518" s="18">
        <f t="shared" si="78"/>
        <v>2.6126380019729843E-3</v>
      </c>
      <c r="P518" s="18">
        <f t="shared" si="79"/>
        <v>-2.7649293182170223E-3</v>
      </c>
      <c r="Q518" s="18">
        <f t="shared" si="80"/>
        <v>2.0663011161674944E-3</v>
      </c>
      <c r="R518" s="28">
        <f>((Scenario_DT!I$11*(IF(Scenario_DT!I$18=1,1,1+$M518/Scenario_DT!$C$19)*(1+$N518)^MAX(0,Scenario_DT!I$18-3))*(Scenario_DT!I$12+$O518)-Scenario_DT!I$13)*(1-Scenario_DT!I$14)+Scenario_DT!I$13-Scenario_DT!I$15)*Scenario_DT!I$16</f>
        <v>914.66807595427838</v>
      </c>
      <c r="S518" s="28">
        <f>((Scenario_DT!J$11*(IF(Scenario_DT!J$18=1,1,1+$M518/Scenario_DT!$C$19)*(1+$N518)^MAX(0,Scenario_DT!J$18-3))*(Scenario_DT!J$12+$O518)-Scenario_DT!J$13)*(1-Scenario_DT!J$14)+Scenario_DT!J$13-Scenario_DT!J$15)*Scenario_DT!J$16</f>
        <v>1885.5799990027022</v>
      </c>
      <c r="T518" s="28">
        <f>((Scenario_DT!K$11*(IF(Scenario_DT!K$18=1,1,1+$M518/Scenario_DT!$C$19)*(1+$N518)^MAX(0,Scenario_DT!K$18-3))*(Scenario_DT!K$12+$O518)-Scenario_DT!K$13)*(1-Scenario_DT!K$14)+Scenario_DT!K$13-Scenario_DT!K$15)*Scenario_DT!K$16</f>
        <v>2152.7584723587515</v>
      </c>
      <c r="U518" s="28">
        <f>((Scenario_DT!L$11*(IF(Scenario_DT!L$18=1,1,1+$M518/Scenario_DT!$C$19)*(1+$N518)^MAX(0,Scenario_DT!L$18-3))*(Scenario_DT!L$12+$O518)-Scenario_DT!L$13)*(1-Scenario_DT!L$14)+Scenario_DT!L$13-Scenario_DT!L$15)*Scenario_DT!L$16</f>
        <v>2577.322307771728</v>
      </c>
      <c r="V518" s="28">
        <f>((Scenario_DT!M$11*(IF(Scenario_DT!M$18=1,1,1+$M518/Scenario_DT!$C$19)*(1+$N518)^MAX(0,Scenario_DT!M$18-3))*(Scenario_DT!M$12+$O518)-Scenario_DT!M$13)*(1-Scenario_DT!M$14)+Scenario_DT!M$13-Scenario_DT!M$15)*Scenario_DT!M$16</f>
        <v>2726.6928089382309</v>
      </c>
      <c r="W518" s="28">
        <f>((Scenario_DT!N$11*(IF(Scenario_DT!N$18=1,1,1+$M518/Scenario_DT!$C$19)*(1+$N518)^MAX(0,Scenario_DT!N$18-3))*(Scenario_DT!N$12+$O518)-Scenario_DT!N$13)*(1-Scenario_DT!N$14)+Scenario_DT!N$13-Scenario_DT!N$15)*Scenario_DT!N$16</f>
        <v>2884.723740257004</v>
      </c>
      <c r="X518" s="28">
        <f>((Scenario_DT!O$11*(IF(Scenario_DT!O$18=1,1,1+$M518/Scenario_DT!$C$19)*(1+$N518)^MAX(0,Scenario_DT!O$18-3))*(Scenario_DT!O$12+$O518)-Scenario_DT!O$13)*(1-Scenario_DT!O$14)+Scenario_DT!O$13-Scenario_DT!O$15)*Scenario_DT!O$16</f>
        <v>3051.9201823505214</v>
      </c>
      <c r="Y518" s="28">
        <f>((Scenario_DT!P$11*(IF(Scenario_DT!P$18=1,1,1+$M518/Scenario_DT!$C$19)*(1+$N518)^MAX(0,Scenario_DT!P$18-3))*(Scenario_DT!P$12+$O518)-Scenario_DT!P$13)*(1-Scenario_DT!P$14)+Scenario_DT!P$13-Scenario_DT!P$15)*Scenario_DT!P$16</f>
        <v>3228.8166811363658</v>
      </c>
      <c r="Z518" s="28">
        <f>((Scenario_DT!Q$11*(IF(Scenario_DT!Q$18=1,1,1+$M518/Scenario_DT!$C$19)*(1+$N518)^MAX(0,Scenario_DT!Q$18-3))*(Scenario_DT!Q$12+$O518)-Scenario_DT!Q$13)*(1-Scenario_DT!Q$14)+Scenario_DT!Q$13-Scenario_DT!Q$15)*Scenario_DT!Q$16</f>
        <v>3415.9789659211601</v>
      </c>
      <c r="AA518" s="28">
        <f>((Scenario_DT!R$11*(IF(Scenario_DT!R$18=1,1,1+$M518/Scenario_DT!$C$19)*(1+$N518)^MAX(0,Scenario_DT!R$18-3))*(Scenario_DT!R$12+$O518)-Scenario_DT!R$13)*(1-Scenario_DT!R$14)+Scenario_DT!R$13-Scenario_DT!R$15)*Scenario_DT!R$16</f>
        <v>3614.0057676249126</v>
      </c>
      <c r="AB518" s="17">
        <f>(Scenario_DT!$R$11*(1+$M518/Scenario_DT!$C$19)*(1+$N518)^7*(Scenario_DT!$R$12+$O518)*(1+MIN(DCF_FCFF!$C$26+$Q518,(DCF_FCFF!$C$25+$P518)-0.02))*(1-DCF_FCFF!$C$27)*(1-DCF_FCFF!$C$28)/((DCF_FCFF!$C$25+$P518)-MIN(DCF_FCFF!$C$26+$Q518,(DCF_FCFF!$C$25+$P518)-0.02)))*(1+(DCF_FCFF!$C$25+$P518))^(-(Inputs!$C$9+9))</f>
        <v>34583.870087600058</v>
      </c>
      <c r="AC518" s="17">
        <f>SUMPRODUCT(R518:AA518*(1+(DCF_FCFF!$C$25+$P518))^(-Scenario_DT!$I$17:$R$17))+AB518</f>
        <v>51999.392157529444</v>
      </c>
      <c r="AD518" s="68">
        <f>((AC518-DCF_FCFF!$C$48)*(1-DCF_FCFF!$C$50)+DCF_FCFF!$C$57+DCF_FCFF!$C$58)/DCF_FCFF!$C$60</f>
        <v>402.68569824528566</v>
      </c>
      <c r="AE518" s="6"/>
      <c r="AF518" s="6"/>
      <c r="AG518" s="6"/>
    </row>
    <row r="519" spans="1:33" x14ac:dyDescent="0.3">
      <c r="A519" s="6"/>
      <c r="B519" s="72">
        <v>488</v>
      </c>
      <c r="C519" s="73">
        <v>0.95697158463078003</v>
      </c>
      <c r="D519" s="73">
        <v>0.58752178052887405</v>
      </c>
      <c r="E519" s="73">
        <v>0.664344868434254</v>
      </c>
      <c r="F519" s="73">
        <v>0.437128042199801</v>
      </c>
      <c r="G519" s="73">
        <v>0.75612080974307405</v>
      </c>
      <c r="H519" s="15">
        <f t="shared" si="71"/>
        <v>1.7165751248651682</v>
      </c>
      <c r="I519" s="15">
        <f t="shared" si="72"/>
        <v>0.22117466016807313</v>
      </c>
      <c r="J519" s="15">
        <f t="shared" si="73"/>
        <v>0.42435043399299144</v>
      </c>
      <c r="K519" s="15">
        <f t="shared" si="74"/>
        <v>-0.15825472284443573</v>
      </c>
      <c r="L519" s="15">
        <f t="shared" si="75"/>
        <v>0.69387854354391398</v>
      </c>
      <c r="M519" s="18">
        <f t="shared" si="76"/>
        <v>3.4331502497303365E-2</v>
      </c>
      <c r="N519" s="18">
        <f t="shared" si="77"/>
        <v>8.3986434944922049E-3</v>
      </c>
      <c r="O519" s="18">
        <f t="shared" si="78"/>
        <v>5.092205207915897E-3</v>
      </c>
      <c r="P519" s="18">
        <f t="shared" si="79"/>
        <v>-9.4952833706661436E-4</v>
      </c>
      <c r="Q519" s="18">
        <f t="shared" si="80"/>
        <v>2.7755141741756559E-3</v>
      </c>
      <c r="R519" s="28">
        <f>((Scenario_DT!I$11*(IF(Scenario_DT!I$18=1,1,1+$M519/Scenario_DT!$C$19)*(1+$N519)^MAX(0,Scenario_DT!I$18-3))*(Scenario_DT!I$12+$O519)-Scenario_DT!I$13)*(1-Scenario_DT!I$14)+Scenario_DT!I$13-Scenario_DT!I$15)*Scenario_DT!I$16</f>
        <v>918.1639988724537</v>
      </c>
      <c r="S519" s="28">
        <f>((Scenario_DT!J$11*(IF(Scenario_DT!J$18=1,1,1+$M519/Scenario_DT!$C$19)*(1+$N519)^MAX(0,Scenario_DT!J$18-3))*(Scenario_DT!J$12+$O519)-Scenario_DT!J$13)*(1-Scenario_DT!J$14)+Scenario_DT!J$13-Scenario_DT!J$15)*Scenario_DT!J$16</f>
        <v>1930.5786407365304</v>
      </c>
      <c r="T519" s="28">
        <f>((Scenario_DT!K$11*(IF(Scenario_DT!K$18=1,1,1+$M519/Scenario_DT!$C$19)*(1+$N519)^MAX(0,Scenario_DT!K$18-3))*(Scenario_DT!K$12+$O519)-Scenario_DT!K$13)*(1-Scenario_DT!K$14)+Scenario_DT!K$13-Scenario_DT!K$15)*Scenario_DT!K$16</f>
        <v>2199.9151017620793</v>
      </c>
      <c r="U519" s="28">
        <f>((Scenario_DT!L$11*(IF(Scenario_DT!L$18=1,1,1+$M519/Scenario_DT!$C$19)*(1+$N519)^MAX(0,Scenario_DT!L$18-3))*(Scenario_DT!L$12+$O519)-Scenario_DT!L$13)*(1-Scenario_DT!L$14)+Scenario_DT!L$13-Scenario_DT!L$15)*Scenario_DT!L$16</f>
        <v>2629.3731668656624</v>
      </c>
      <c r="V519" s="28">
        <f>((Scenario_DT!M$11*(IF(Scenario_DT!M$18=1,1,1+$M519/Scenario_DT!$C$19)*(1+$N519)^MAX(0,Scenario_DT!M$18-3))*(Scenario_DT!M$12+$O519)-Scenario_DT!M$13)*(1-Scenario_DT!M$14)+Scenario_DT!M$13-Scenario_DT!M$15)*Scenario_DT!M$16</f>
        <v>2783.4565340546064</v>
      </c>
      <c r="W519" s="28">
        <f>((Scenario_DT!N$11*(IF(Scenario_DT!N$18=1,1,1+$M519/Scenario_DT!$C$19)*(1+$N519)^MAX(0,Scenario_DT!N$18-3))*(Scenario_DT!N$12+$O519)-Scenario_DT!N$13)*(1-Scenario_DT!N$14)+Scenario_DT!N$13-Scenario_DT!N$15)*Scenario_DT!N$16</f>
        <v>2946.5736119611374</v>
      </c>
      <c r="X519" s="28">
        <f>((Scenario_DT!O$11*(IF(Scenario_DT!O$18=1,1,1+$M519/Scenario_DT!$C$19)*(1+$N519)^MAX(0,Scenario_DT!O$18-3))*(Scenario_DT!O$12+$O519)-Scenario_DT!O$13)*(1-Scenario_DT!O$14)+Scenario_DT!O$13-Scenario_DT!O$15)*Scenario_DT!O$16</f>
        <v>3119.2570269652306</v>
      </c>
      <c r="Y519" s="28">
        <f>((Scenario_DT!P$11*(IF(Scenario_DT!P$18=1,1,1+$M519/Scenario_DT!$C$19)*(1+$N519)^MAX(0,Scenario_DT!P$18-3))*(Scenario_DT!P$12+$O519)-Scenario_DT!P$13)*(1-Scenario_DT!P$14)+Scenario_DT!P$13-Scenario_DT!P$15)*Scenario_DT!P$16</f>
        <v>3302.0708161774924</v>
      </c>
      <c r="Z519" s="28">
        <f>((Scenario_DT!Q$11*(IF(Scenario_DT!Q$18=1,1,1+$M519/Scenario_DT!$C$19)*(1+$N519)^MAX(0,Scenario_DT!Q$18-3))*(Scenario_DT!Q$12+$O519)-Scenario_DT!Q$13)*(1-Scenario_DT!Q$14)+Scenario_DT!Q$13-Scenario_DT!Q$15)*Scenario_DT!Q$16</f>
        <v>3495.6122788835692</v>
      </c>
      <c r="AA519" s="28">
        <f>((Scenario_DT!R$11*(IF(Scenario_DT!R$18=1,1,1+$M519/Scenario_DT!$C$19)*(1+$N519)^MAX(0,Scenario_DT!R$18-3))*(Scenario_DT!R$12+$O519)-Scenario_DT!R$13)*(1-Scenario_DT!R$14)+Scenario_DT!R$13-Scenario_DT!R$15)*Scenario_DT!R$16</f>
        <v>3700.5139370634206</v>
      </c>
      <c r="AB519" s="17">
        <f>(Scenario_DT!$R$11*(1+$M519/Scenario_DT!$C$19)*(1+$N519)^7*(Scenario_DT!$R$12+$O519)*(1+MIN(DCF_FCFF!$C$26+$Q519,(DCF_FCFF!$C$25+$P519)-0.02))*(1-DCF_FCFF!$C$27)*(1-DCF_FCFF!$C$28)/((DCF_FCFF!$C$25+$P519)-MIN(DCF_FCFF!$C$26+$Q519,(DCF_FCFF!$C$25+$P519)-0.02)))*(1+(DCF_FCFF!$C$25+$P519))^(-(Inputs!$C$9+9))</f>
        <v>34047.601238157673</v>
      </c>
      <c r="AC519" s="17">
        <f>SUMPRODUCT(R519:AA519*(1+(DCF_FCFF!$C$25+$P519))^(-Scenario_DT!$I$17:$R$17))+AB519</f>
        <v>51694.851969786236</v>
      </c>
      <c r="AD519" s="68">
        <f>((AC519-DCF_FCFF!$C$48)*(1-DCF_FCFF!$C$50)+DCF_FCFF!$C$57+DCF_FCFF!$C$58)/DCF_FCFF!$C$60</f>
        <v>399.76248749244036</v>
      </c>
      <c r="AE519" s="6"/>
      <c r="AF519" s="6"/>
      <c r="AG519" s="6"/>
    </row>
    <row r="520" spans="1:33" x14ac:dyDescent="0.3">
      <c r="A520" s="6"/>
      <c r="B520" s="72">
        <v>489</v>
      </c>
      <c r="C520" s="73">
        <v>0.99766739233863599</v>
      </c>
      <c r="D520" s="73">
        <v>0.16038932406773601</v>
      </c>
      <c r="E520" s="73">
        <v>0.202405279503762</v>
      </c>
      <c r="F520" s="73">
        <v>0.53943775866439003</v>
      </c>
      <c r="G520" s="73">
        <v>0.48137539726165801</v>
      </c>
      <c r="H520" s="15">
        <f t="shared" si="71"/>
        <v>2.8292848675876745</v>
      </c>
      <c r="I520" s="15">
        <f t="shared" si="72"/>
        <v>-0.99285905034156552</v>
      </c>
      <c r="J520" s="15">
        <f t="shared" si="73"/>
        <v>-0.83306058922746151</v>
      </c>
      <c r="K520" s="15">
        <f t="shared" si="74"/>
        <v>9.9017364889183265E-2</v>
      </c>
      <c r="L520" s="15">
        <f t="shared" si="75"/>
        <v>-4.6701926970210847E-2</v>
      </c>
      <c r="M520" s="18">
        <f t="shared" si="76"/>
        <v>5.6585697351753492E-2</v>
      </c>
      <c r="N520" s="18">
        <f t="shared" si="77"/>
        <v>4.4384101905659903E-3</v>
      </c>
      <c r="O520" s="18">
        <f t="shared" si="78"/>
        <v>-9.9967270707295389E-3</v>
      </c>
      <c r="P520" s="18">
        <f t="shared" si="79"/>
        <v>5.941041893350996E-4</v>
      </c>
      <c r="Q520" s="18">
        <f t="shared" si="80"/>
        <v>-1.868077078808434E-4</v>
      </c>
      <c r="R520" s="28">
        <f>((Scenario_DT!I$11*(IF(Scenario_DT!I$18=1,1,1+$M520/Scenario_DT!$C$19)*(1+$N520)^MAX(0,Scenario_DT!I$18-3))*(Scenario_DT!I$12+$O520)-Scenario_DT!I$13)*(1-Scenario_DT!I$14)+Scenario_DT!I$13-Scenario_DT!I$15)*Scenario_DT!I$16</f>
        <v>896.89022817679233</v>
      </c>
      <c r="S520" s="28">
        <f>((Scenario_DT!J$11*(IF(Scenario_DT!J$18=1,1,1+$M520/Scenario_DT!$C$19)*(1+$N520)^MAX(0,Scenario_DT!J$18-3))*(Scenario_DT!J$12+$O520)-Scenario_DT!J$13)*(1-Scenario_DT!J$14)+Scenario_DT!J$13-Scenario_DT!J$15)*Scenario_DT!J$16</f>
        <v>1934.5669542064707</v>
      </c>
      <c r="T520" s="28">
        <f>((Scenario_DT!K$11*(IF(Scenario_DT!K$18=1,1,1+$M520/Scenario_DT!$C$19)*(1+$N520)^MAX(0,Scenario_DT!K$18-3))*(Scenario_DT!K$12+$O520)-Scenario_DT!K$13)*(1-Scenario_DT!K$14)+Scenario_DT!K$13-Scenario_DT!K$15)*Scenario_DT!K$16</f>
        <v>2204.8049863052647</v>
      </c>
      <c r="U520" s="28">
        <f>((Scenario_DT!L$11*(IF(Scenario_DT!L$18=1,1,1+$M520/Scenario_DT!$C$19)*(1+$N520)^MAX(0,Scenario_DT!L$18-3))*(Scenario_DT!L$12+$O520)-Scenario_DT!L$13)*(1-Scenario_DT!L$14)+Scenario_DT!L$13-Scenario_DT!L$15)*Scenario_DT!L$16</f>
        <v>2624.1957010835372</v>
      </c>
      <c r="V520" s="28">
        <f>((Scenario_DT!M$11*(IF(Scenario_DT!M$18=1,1,1+$M520/Scenario_DT!$C$19)*(1+$N520)^MAX(0,Scenario_DT!M$18-3))*(Scenario_DT!M$12+$O520)-Scenario_DT!M$13)*(1-Scenario_DT!M$14)+Scenario_DT!M$13-Scenario_DT!M$15)*Scenario_DT!M$16</f>
        <v>2766.9923186552237</v>
      </c>
      <c r="W520" s="28">
        <f>((Scenario_DT!N$11*(IF(Scenario_DT!N$18=1,1,1+$M520/Scenario_DT!$C$19)*(1+$N520)^MAX(0,Scenario_DT!N$18-3))*(Scenario_DT!N$12+$O520)-Scenario_DT!N$13)*(1-Scenario_DT!N$14)+Scenario_DT!N$13-Scenario_DT!N$15)*Scenario_DT!N$16</f>
        <v>2917.5584847155355</v>
      </c>
      <c r="X520" s="28">
        <f>((Scenario_DT!O$11*(IF(Scenario_DT!O$18=1,1,1+$M520/Scenario_DT!$C$19)*(1+$N520)^MAX(0,Scenario_DT!O$18-3))*(Scenario_DT!O$12+$O520)-Scenario_DT!O$13)*(1-Scenario_DT!O$14)+Scenario_DT!O$13-Scenario_DT!O$15)*Scenario_DT!O$16</f>
        <v>3076.3196572802995</v>
      </c>
      <c r="Y520" s="28">
        <f>((Scenario_DT!P$11*(IF(Scenario_DT!P$18=1,1,1+$M520/Scenario_DT!$C$19)*(1+$N520)^MAX(0,Scenario_DT!P$18-3))*(Scenario_DT!P$12+$O520)-Scenario_DT!P$13)*(1-Scenario_DT!P$14)+Scenario_DT!P$13-Scenario_DT!P$15)*Scenario_DT!P$16</f>
        <v>3243.724608082875</v>
      </c>
      <c r="Z520" s="28">
        <f>((Scenario_DT!Q$11*(IF(Scenario_DT!Q$18=1,1,1+$M520/Scenario_DT!$C$19)*(1+$N520)^MAX(0,Scenario_DT!Q$18-3))*(Scenario_DT!Q$12+$O520)-Scenario_DT!Q$13)*(1-Scenario_DT!Q$14)+Scenario_DT!Q$13-Scenario_DT!Q$15)*Scenario_DT!Q$16</f>
        <v>3420.2466997292568</v>
      </c>
      <c r="AA520" s="28">
        <f>((Scenario_DT!R$11*(IF(Scenario_DT!R$18=1,1,1+$M520/Scenario_DT!$C$19)*(1+$N520)^MAX(0,Scenario_DT!R$18-3))*(Scenario_DT!R$12+$O520)-Scenario_DT!R$13)*(1-Scenario_DT!R$14)+Scenario_DT!R$13-Scenario_DT!R$15)*Scenario_DT!R$16</f>
        <v>3606.3852327905556</v>
      </c>
      <c r="AB520" s="17">
        <f>(Scenario_DT!$R$11*(1+$M520/Scenario_DT!$C$19)*(1+$N520)^7*(Scenario_DT!$R$12+$O520)*(1+MIN(DCF_FCFF!$C$26+$Q520,(DCF_FCFF!$C$25+$P520)-0.02))*(1-DCF_FCFF!$C$27)*(1-DCF_FCFF!$C$28)/((DCF_FCFF!$C$25+$P520)-MIN(DCF_FCFF!$C$26+$Q520,(DCF_FCFF!$C$25+$P520)-0.02)))*(1+(DCF_FCFF!$C$25+$P520))^(-(Inputs!$C$9+9))</f>
        <v>29778.08045690068</v>
      </c>
      <c r="AC520" s="17">
        <f>SUMPRODUCT(R520:AA520*(1+(DCF_FCFF!$C$25+$P520))^(-Scenario_DT!$I$17:$R$17))+AB520</f>
        <v>47123.595335196733</v>
      </c>
      <c r="AD520" s="68">
        <f>((AC520-DCF_FCFF!$C$48)*(1-DCF_FCFF!$C$50)+DCF_FCFF!$C$57+DCF_FCFF!$C$58)/DCF_FCFF!$C$60</f>
        <v>355.88405342673644</v>
      </c>
      <c r="AE520" s="6"/>
      <c r="AF520" s="6"/>
      <c r="AG520" s="6"/>
    </row>
    <row r="521" spans="1:33" x14ac:dyDescent="0.3">
      <c r="A521" s="6"/>
      <c r="B521" s="72">
        <v>490</v>
      </c>
      <c r="C521" s="73">
        <v>0.57156978450671903</v>
      </c>
      <c r="D521" s="73">
        <v>4.9074047724272998E-2</v>
      </c>
      <c r="E521" s="73">
        <v>0.40427645633044901</v>
      </c>
      <c r="F521" s="73">
        <v>0.58297826206556103</v>
      </c>
      <c r="G521" s="73">
        <v>0.58519135130496303</v>
      </c>
      <c r="H521" s="15">
        <f t="shared" si="71"/>
        <v>0.18037213193753146</v>
      </c>
      <c r="I521" s="15">
        <f t="shared" si="72"/>
        <v>-1.6538987068718438</v>
      </c>
      <c r="J521" s="15">
        <f t="shared" si="73"/>
        <v>-0.24229329006154454</v>
      </c>
      <c r="K521" s="15">
        <f t="shared" si="74"/>
        <v>0.20951852444405161</v>
      </c>
      <c r="L521" s="15">
        <f t="shared" si="75"/>
        <v>0.21519242393998483</v>
      </c>
      <c r="M521" s="18">
        <f t="shared" si="76"/>
        <v>3.6074426387506294E-3</v>
      </c>
      <c r="N521" s="18">
        <f t="shared" si="77"/>
        <v>-1.073705783574787E-2</v>
      </c>
      <c r="O521" s="18">
        <f t="shared" si="78"/>
        <v>-2.9075194807385344E-3</v>
      </c>
      <c r="P521" s="18">
        <f t="shared" si="79"/>
        <v>1.2571111466643096E-3</v>
      </c>
      <c r="Q521" s="18">
        <f t="shared" si="80"/>
        <v>8.6076969575993941E-4</v>
      </c>
      <c r="R521" s="28">
        <f>((Scenario_DT!I$11*(IF(Scenario_DT!I$18=1,1,1+$M521/Scenario_DT!$C$19)*(1+$N521)^MAX(0,Scenario_DT!I$18-3))*(Scenario_DT!I$12+$O521)-Scenario_DT!I$13)*(1-Scenario_DT!I$14)+Scenario_DT!I$13-Scenario_DT!I$15)*Scenario_DT!I$16</f>
        <v>906.88524796337117</v>
      </c>
      <c r="S521" s="28">
        <f>((Scenario_DT!J$11*(IF(Scenario_DT!J$18=1,1,1+$M521/Scenario_DT!$C$19)*(1+$N521)^MAX(0,Scenario_DT!J$18-3))*(Scenario_DT!J$12+$O521)-Scenario_DT!J$13)*(1-Scenario_DT!J$14)+Scenario_DT!J$13-Scenario_DT!J$15)*Scenario_DT!J$16</f>
        <v>1831.4827223335237</v>
      </c>
      <c r="T521" s="28">
        <f>((Scenario_DT!K$11*(IF(Scenario_DT!K$18=1,1,1+$M521/Scenario_DT!$C$19)*(1+$N521)^MAX(0,Scenario_DT!K$18-3))*(Scenario_DT!K$12+$O521)-Scenario_DT!K$13)*(1-Scenario_DT!K$14)+Scenario_DT!K$13-Scenario_DT!K$15)*Scenario_DT!K$16</f>
        <v>2096.1745885475066</v>
      </c>
      <c r="U521" s="28">
        <f>((Scenario_DT!L$11*(IF(Scenario_DT!L$18=1,1,1+$M521/Scenario_DT!$C$19)*(1+$N521)^MAX(0,Scenario_DT!L$18-3))*(Scenario_DT!L$12+$O521)-Scenario_DT!L$13)*(1-Scenario_DT!L$14)+Scenario_DT!L$13-Scenario_DT!L$15)*Scenario_DT!L$16</f>
        <v>2470.1904870717203</v>
      </c>
      <c r="V521" s="28">
        <f>((Scenario_DT!M$11*(IF(Scenario_DT!M$18=1,1,1+$M521/Scenario_DT!$C$19)*(1+$N521)^MAX(0,Scenario_DT!M$18-3))*(Scenario_DT!M$12+$O521)-Scenario_DT!M$13)*(1-Scenario_DT!M$14)+Scenario_DT!M$13-Scenario_DT!M$15)*Scenario_DT!M$16</f>
        <v>2564.9396287203881</v>
      </c>
      <c r="W521" s="28">
        <f>((Scenario_DT!N$11*(IF(Scenario_DT!N$18=1,1,1+$M521/Scenario_DT!$C$19)*(1+$N521)^MAX(0,Scenario_DT!N$18-3))*(Scenario_DT!N$12+$O521)-Scenario_DT!N$13)*(1-Scenario_DT!N$14)+Scenario_DT!N$13-Scenario_DT!N$15)*Scenario_DT!N$16</f>
        <v>2663.2973323797719</v>
      </c>
      <c r="X521" s="28">
        <f>((Scenario_DT!O$11*(IF(Scenario_DT!O$18=1,1,1+$M521/Scenario_DT!$C$19)*(1+$N521)^MAX(0,Scenario_DT!O$18-3))*(Scenario_DT!O$12+$O521)-Scenario_DT!O$13)*(1-Scenario_DT!O$14)+Scenario_DT!O$13-Scenario_DT!O$15)*Scenario_DT!O$16</f>
        <v>2765.4021824117212</v>
      </c>
      <c r="Y521" s="28">
        <f>((Scenario_DT!P$11*(IF(Scenario_DT!P$18=1,1,1+$M521/Scenario_DT!$C$19)*(1+$N521)^MAX(0,Scenario_DT!P$18-3))*(Scenario_DT!P$12+$O521)-Scenario_DT!P$13)*(1-Scenario_DT!P$14)+Scenario_DT!P$13-Scenario_DT!P$15)*Scenario_DT!P$16</f>
        <v>2871.3980946885681</v>
      </c>
      <c r="Z521" s="28">
        <f>((Scenario_DT!Q$11*(IF(Scenario_DT!Q$18=1,1,1+$M521/Scenario_DT!$C$19)*(1+$N521)^MAX(0,Scenario_DT!Q$18-3))*(Scenario_DT!Q$12+$O521)-Scenario_DT!Q$13)*(1-Scenario_DT!Q$14)+Scenario_DT!Q$13-Scenario_DT!Q$15)*Scenario_DT!Q$16</f>
        <v>2981.4345217029449</v>
      </c>
      <c r="AA521" s="28">
        <f>((Scenario_DT!R$11*(IF(Scenario_DT!R$18=1,1,1+$M521/Scenario_DT!$C$19)*(1+$N521)^MAX(0,Scenario_DT!R$18-3))*(Scenario_DT!R$12+$O521)-Scenario_DT!R$13)*(1-Scenario_DT!R$14)+Scenario_DT!R$13-Scenario_DT!R$15)*Scenario_DT!R$16</f>
        <v>3095.6666655649019</v>
      </c>
      <c r="AB521" s="17">
        <f>(Scenario_DT!$R$11*(1+$M521/Scenario_DT!$C$19)*(1+$N521)^7*(Scenario_DT!$R$12+$O521)*(1+MIN(DCF_FCFF!$C$26+$Q521,(DCF_FCFF!$C$25+$P521)-0.02))*(1-DCF_FCFF!$C$27)*(1-DCF_FCFF!$C$28)/((DCF_FCFF!$C$25+$P521)-MIN(DCF_FCFF!$C$26+$Q521,(DCF_FCFF!$C$25+$P521)-0.02)))*(1+(DCF_FCFF!$C$25+$P521))^(-(Inputs!$C$9+9))</f>
        <v>25665.432583619142</v>
      </c>
      <c r="AC521" s="17">
        <f>SUMPRODUCT(R521:AA521*(1+(DCF_FCFF!$C$25+$P521))^(-Scenario_DT!$I$17:$R$17))+AB521</f>
        <v>41523.286522048445</v>
      </c>
      <c r="AD521" s="68">
        <f>((AC521-DCF_FCFF!$C$48)*(1-DCF_FCFF!$C$50)+DCF_FCFF!$C$57+DCF_FCFF!$C$58)/DCF_FCFF!$C$60</f>
        <v>302.12798575249747</v>
      </c>
      <c r="AE521" s="6"/>
      <c r="AF521" s="6"/>
      <c r="AG521" s="6"/>
    </row>
    <row r="522" spans="1:33" x14ac:dyDescent="0.3">
      <c r="A522" s="6"/>
      <c r="B522" s="72">
        <v>491</v>
      </c>
      <c r="C522" s="73">
        <v>0.657333961768374</v>
      </c>
      <c r="D522" s="73">
        <v>0.72021602900266402</v>
      </c>
      <c r="E522" s="73">
        <v>0.64154720334085702</v>
      </c>
      <c r="F522" s="73">
        <v>0.79024315538943501</v>
      </c>
      <c r="G522" s="73">
        <v>0.62476063468459198</v>
      </c>
      <c r="H522" s="15">
        <f t="shared" si="71"/>
        <v>0.40519786196008534</v>
      </c>
      <c r="I522" s="15">
        <f t="shared" si="72"/>
        <v>0.58348338025060986</v>
      </c>
      <c r="J522" s="15">
        <f t="shared" si="73"/>
        <v>0.36259747958875815</v>
      </c>
      <c r="K522" s="15">
        <f t="shared" si="74"/>
        <v>0.80726523415415186</v>
      </c>
      <c r="L522" s="15">
        <f t="shared" si="75"/>
        <v>0.31800818183208285</v>
      </c>
      <c r="M522" s="18">
        <f t="shared" si="76"/>
        <v>8.1039572392017072E-3</v>
      </c>
      <c r="N522" s="18">
        <f t="shared" si="77"/>
        <v>5.6632828877046897E-3</v>
      </c>
      <c r="O522" s="18">
        <f t="shared" si="78"/>
        <v>4.3511697550650983E-3</v>
      </c>
      <c r="P522" s="18">
        <f t="shared" si="79"/>
        <v>4.8435914049249108E-3</v>
      </c>
      <c r="Q522" s="18">
        <f t="shared" si="80"/>
        <v>1.2720327273283314E-3</v>
      </c>
      <c r="R522" s="28">
        <f>((Scenario_DT!I$11*(IF(Scenario_DT!I$18=1,1,1+$M522/Scenario_DT!$C$19)*(1+$N522)^MAX(0,Scenario_DT!I$18-3))*(Scenario_DT!I$12+$O522)-Scenario_DT!I$13)*(1-Scenario_DT!I$14)+Scenario_DT!I$13-Scenario_DT!I$15)*Scenario_DT!I$16</f>
        <v>917.11921863153384</v>
      </c>
      <c r="S522" s="28">
        <f>((Scenario_DT!J$11*(IF(Scenario_DT!J$18=1,1,1+$M522/Scenario_DT!$C$19)*(1+$N522)^MAX(0,Scenario_DT!J$18-3))*(Scenario_DT!J$12+$O522)-Scenario_DT!J$13)*(1-Scenario_DT!J$14)+Scenario_DT!J$13-Scenario_DT!J$15)*Scenario_DT!J$16</f>
        <v>1864.9666785437043</v>
      </c>
      <c r="T522" s="28">
        <f>((Scenario_DT!K$11*(IF(Scenario_DT!K$18=1,1,1+$M522/Scenario_DT!$C$19)*(1+$N522)^MAX(0,Scenario_DT!K$18-3))*(Scenario_DT!K$12+$O522)-Scenario_DT!K$13)*(1-Scenario_DT!K$14)+Scenario_DT!K$13-Scenario_DT!K$15)*Scenario_DT!K$16</f>
        <v>2131.0278270077151</v>
      </c>
      <c r="U522" s="28">
        <f>((Scenario_DT!L$11*(IF(Scenario_DT!L$18=1,1,1+$M522/Scenario_DT!$C$19)*(1+$N522)^MAX(0,Scenario_DT!L$18-3))*(Scenario_DT!L$12+$O522)-Scenario_DT!L$13)*(1-Scenario_DT!L$14)+Scenario_DT!L$13-Scenario_DT!L$15)*Scenario_DT!L$16</f>
        <v>2548.6378561077322</v>
      </c>
      <c r="V522" s="28">
        <f>((Scenario_DT!M$11*(IF(Scenario_DT!M$18=1,1,1+$M522/Scenario_DT!$C$19)*(1+$N522)^MAX(0,Scenario_DT!M$18-3))*(Scenario_DT!M$12+$O522)-Scenario_DT!M$13)*(1-Scenario_DT!M$14)+Scenario_DT!M$13-Scenario_DT!M$15)*Scenario_DT!M$16</f>
        <v>2690.6040047151305</v>
      </c>
      <c r="W522" s="28">
        <f>((Scenario_DT!N$11*(IF(Scenario_DT!N$18=1,1,1+$M522/Scenario_DT!$C$19)*(1+$N522)^MAX(0,Scenario_DT!N$18-3))*(Scenario_DT!N$12+$O522)-Scenario_DT!N$13)*(1-Scenario_DT!N$14)+Scenario_DT!N$13-Scenario_DT!N$15)*Scenario_DT!N$16</f>
        <v>2840.4789060807789</v>
      </c>
      <c r="X522" s="28">
        <f>((Scenario_DT!O$11*(IF(Scenario_DT!O$18=1,1,1+$M522/Scenario_DT!$C$19)*(1+$N522)^MAX(0,Scenario_DT!O$18-3))*(Scenario_DT!O$12+$O522)-Scenario_DT!O$13)*(1-Scenario_DT!O$14)+Scenario_DT!O$13-Scenario_DT!O$15)*Scenario_DT!O$16</f>
        <v>2998.7059547729064</v>
      </c>
      <c r="Y522" s="28">
        <f>((Scenario_DT!P$11*(IF(Scenario_DT!P$18=1,1,1+$M522/Scenario_DT!$C$19)*(1+$N522)^MAX(0,Scenario_DT!P$18-3))*(Scenario_DT!P$12+$O522)-Scenario_DT!P$13)*(1-Scenario_DT!P$14)+Scenario_DT!P$13-Scenario_DT!P$15)*Scenario_DT!P$16</f>
        <v>3165.7534172877436</v>
      </c>
      <c r="Z522" s="28">
        <f>((Scenario_DT!Q$11*(IF(Scenario_DT!Q$18=1,1,1+$M522/Scenario_DT!$C$19)*(1+$N522)^MAX(0,Scenario_DT!Q$18-3))*(Scenario_DT!Q$12+$O522)-Scenario_DT!Q$13)*(1-Scenario_DT!Q$14)+Scenario_DT!Q$13-Scenario_DT!Q$15)*Scenario_DT!Q$16</f>
        <v>3342.1158267023643</v>
      </c>
      <c r="AA522" s="28">
        <f>((Scenario_DT!R$11*(IF(Scenario_DT!R$18=1,1,1+$M522/Scenario_DT!$C$19)*(1+$N522)^MAX(0,Scenario_DT!R$18-3))*(Scenario_DT!R$12+$O522)-Scenario_DT!R$13)*(1-Scenario_DT!R$14)+Scenario_DT!R$13-Scenario_DT!R$15)*Scenario_DT!R$16</f>
        <v>3528.3154554958678</v>
      </c>
      <c r="AB522" s="17">
        <f>(Scenario_DT!$R$11*(1+$M522/Scenario_DT!$C$19)*(1+$N522)^7*(Scenario_DT!$R$12+$O522)*(1+MIN(DCF_FCFF!$C$26+$Q522,(DCF_FCFF!$C$25+$P522)-0.02))*(1-DCF_FCFF!$C$27)*(1-DCF_FCFF!$C$28)/((DCF_FCFF!$C$25+$P522)-MIN(DCF_FCFF!$C$26+$Q522,(DCF_FCFF!$C$25+$P522)-0.02)))*(1+(DCF_FCFF!$C$25+$P522))^(-(Inputs!$C$9+9))</f>
        <v>26670.239783271321</v>
      </c>
      <c r="AC522" s="17">
        <f>SUMPRODUCT(R522:AA522*(1+(DCF_FCFF!$C$25+$P522))^(-Scenario_DT!$I$17:$R$17))+AB522</f>
        <v>43282.360035881917</v>
      </c>
      <c r="AD522" s="68">
        <f>((AC522-DCF_FCFF!$C$48)*(1-DCF_FCFF!$C$50)+DCF_FCFF!$C$57+DCF_FCFF!$C$58)/DCF_FCFF!$C$60</f>
        <v>319.01292513862296</v>
      </c>
      <c r="AE522" s="6"/>
      <c r="AF522" s="6"/>
      <c r="AG522" s="6"/>
    </row>
    <row r="523" spans="1:33" x14ac:dyDescent="0.3">
      <c r="A523" s="6"/>
      <c r="B523" s="72">
        <v>492</v>
      </c>
      <c r="C523" s="73">
        <v>0.53750766253720506</v>
      </c>
      <c r="D523" s="73">
        <v>0.606196428887811</v>
      </c>
      <c r="E523" s="73">
        <v>0.101193366753332</v>
      </c>
      <c r="F523" s="73">
        <v>0.27315654072551998</v>
      </c>
      <c r="G523" s="73">
        <v>0.52739978065813098</v>
      </c>
      <c r="H523" s="15">
        <f t="shared" si="71"/>
        <v>9.4156706767686615E-2</v>
      </c>
      <c r="I523" s="15">
        <f t="shared" si="72"/>
        <v>0.26941916171036945</v>
      </c>
      <c r="J523" s="15">
        <f t="shared" si="73"/>
        <v>-1.2747810961135102</v>
      </c>
      <c r="K523" s="15">
        <f t="shared" si="74"/>
        <v>-0.60329406356683213</v>
      </c>
      <c r="L523" s="15">
        <f t="shared" si="75"/>
        <v>6.8735150023377128E-2</v>
      </c>
      <c r="M523" s="18">
        <f t="shared" si="76"/>
        <v>1.8831341353537324E-3</v>
      </c>
      <c r="N523" s="18">
        <f t="shared" si="77"/>
        <v>2.2432175335306477E-3</v>
      </c>
      <c r="O523" s="18">
        <f t="shared" si="78"/>
        <v>-1.5297373153362123E-2</v>
      </c>
      <c r="P523" s="18">
        <f t="shared" si="79"/>
        <v>-3.619764381400993E-3</v>
      </c>
      <c r="Q523" s="18">
        <f t="shared" si="80"/>
        <v>2.7494060009350852E-4</v>
      </c>
      <c r="R523" s="28">
        <f>((Scenario_DT!I$11*(IF(Scenario_DT!I$18=1,1,1+$M523/Scenario_DT!$C$19)*(1+$N523)^MAX(0,Scenario_DT!I$18-3))*(Scenario_DT!I$12+$O523)-Scenario_DT!I$13)*(1-Scenario_DT!I$14)+Scenario_DT!I$13-Scenario_DT!I$15)*Scenario_DT!I$16</f>
        <v>889.41688763696038</v>
      </c>
      <c r="S523" s="28">
        <f>((Scenario_DT!J$11*(IF(Scenario_DT!J$18=1,1,1+$M523/Scenario_DT!$C$19)*(1+$N523)^MAX(0,Scenario_DT!J$18-3))*(Scenario_DT!J$12+$O523)-Scenario_DT!J$13)*(1-Scenario_DT!J$14)+Scenario_DT!J$13-Scenario_DT!J$15)*Scenario_DT!J$16</f>
        <v>1788.786066618517</v>
      </c>
      <c r="T523" s="28">
        <f>((Scenario_DT!K$11*(IF(Scenario_DT!K$18=1,1,1+$M523/Scenario_DT!$C$19)*(1+$N523)^MAX(0,Scenario_DT!K$18-3))*(Scenario_DT!K$12+$O523)-Scenario_DT!K$13)*(1-Scenario_DT!K$14)+Scenario_DT!K$13-Scenario_DT!K$15)*Scenario_DT!K$16</f>
        <v>2051.8682355199276</v>
      </c>
      <c r="U523" s="28">
        <f>((Scenario_DT!L$11*(IF(Scenario_DT!L$18=1,1,1+$M523/Scenario_DT!$C$19)*(1+$N523)^MAX(0,Scenario_DT!L$18-3))*(Scenario_DT!L$12+$O523)-Scenario_DT!L$13)*(1-Scenario_DT!L$14)+Scenario_DT!L$13-Scenario_DT!L$15)*Scenario_DT!L$16</f>
        <v>2455.6746681776563</v>
      </c>
      <c r="V523" s="28">
        <f>((Scenario_DT!M$11*(IF(Scenario_DT!M$18=1,1,1+$M523/Scenario_DT!$C$19)*(1+$N523)^MAX(0,Scenario_DT!M$18-3))*(Scenario_DT!M$12+$O523)-Scenario_DT!M$13)*(1-Scenario_DT!M$14)+Scenario_DT!M$13-Scenario_DT!M$15)*Scenario_DT!M$16</f>
        <v>2583.5607616192465</v>
      </c>
      <c r="W523" s="28">
        <f>((Scenario_DT!N$11*(IF(Scenario_DT!N$18=1,1,1+$M523/Scenario_DT!$C$19)*(1+$N523)^MAX(0,Scenario_DT!N$18-3))*(Scenario_DT!N$12+$O523)-Scenario_DT!N$13)*(1-Scenario_DT!N$14)+Scenario_DT!N$13-Scenario_DT!N$15)*Scenario_DT!N$16</f>
        <v>2718.1030103748371</v>
      </c>
      <c r="X523" s="28">
        <f>((Scenario_DT!O$11*(IF(Scenario_DT!O$18=1,1,1+$M523/Scenario_DT!$C$19)*(1+$N523)^MAX(0,Scenario_DT!O$18-3))*(Scenario_DT!O$12+$O523)-Scenario_DT!O$13)*(1-Scenario_DT!O$14)+Scenario_DT!O$13-Scenario_DT!O$15)*Scenario_DT!O$16</f>
        <v>2859.6503922759457</v>
      </c>
      <c r="Y523" s="28">
        <f>((Scenario_DT!P$11*(IF(Scenario_DT!P$18=1,1,1+$M523/Scenario_DT!$C$19)*(1+$N523)^MAX(0,Scenario_DT!P$18-3))*(Scenario_DT!P$12+$O523)-Scenario_DT!P$13)*(1-Scenario_DT!P$14)+Scenario_DT!P$13-Scenario_DT!P$15)*Scenario_DT!P$16</f>
        <v>3008.5702005570834</v>
      </c>
      <c r="Z523" s="28">
        <f>((Scenario_DT!Q$11*(IF(Scenario_DT!Q$18=1,1,1+$M523/Scenario_DT!$C$19)*(1+$N523)^MAX(0,Scenario_DT!Q$18-3))*(Scenario_DT!Q$12+$O523)-Scenario_DT!Q$13)*(1-Scenario_DT!Q$14)+Scenario_DT!Q$13-Scenario_DT!Q$15)*Scenario_DT!Q$16</f>
        <v>3165.2490049807793</v>
      </c>
      <c r="AA523" s="28">
        <f>((Scenario_DT!R$11*(IF(Scenario_DT!R$18=1,1,1+$M523/Scenario_DT!$C$19)*(1+$N523)^MAX(0,Scenario_DT!R$18-3))*(Scenario_DT!R$12+$O523)-Scenario_DT!R$13)*(1-Scenario_DT!R$14)+Scenario_DT!R$13-Scenario_DT!R$15)*Scenario_DT!R$16</f>
        <v>3330.0936633838023</v>
      </c>
      <c r="AB523" s="17">
        <f>(Scenario_DT!$R$11*(1+$M523/Scenario_DT!$C$19)*(1+$N523)^7*(Scenario_DT!$R$12+$O523)*(1+MIN(DCF_FCFF!$C$26+$Q523,(DCF_FCFF!$C$25+$P523)-0.02))*(1-DCF_FCFF!$C$27)*(1-DCF_FCFF!$C$28)/((DCF_FCFF!$C$25+$P523)-MIN(DCF_FCFF!$C$26+$Q523,(DCF_FCFF!$C$25+$P523)-0.02)))*(1+(DCF_FCFF!$C$25+$P523))^(-(Inputs!$C$9+9))</f>
        <v>31425.284368807497</v>
      </c>
      <c r="AC523" s="17">
        <f>SUMPRODUCT(R523:AA523*(1+(DCF_FCFF!$C$25+$P523))^(-Scenario_DT!$I$17:$R$17))+AB523</f>
        <v>47893.29191672906</v>
      </c>
      <c r="AD523" s="68">
        <f>((AC523-DCF_FCFF!$C$48)*(1-DCF_FCFF!$C$50)+DCF_FCFF!$C$57+DCF_FCFF!$C$58)/DCF_FCFF!$C$60</f>
        <v>363.27219270725982</v>
      </c>
      <c r="AE523" s="6"/>
      <c r="AF523" s="6"/>
      <c r="AG523" s="6"/>
    </row>
    <row r="524" spans="1:33" x14ac:dyDescent="0.3">
      <c r="A524" s="6"/>
      <c r="B524" s="72">
        <v>493</v>
      </c>
      <c r="C524" s="73">
        <v>0.87298721540170698</v>
      </c>
      <c r="D524" s="73">
        <v>0.67905155628799296</v>
      </c>
      <c r="E524" s="73">
        <v>9.0408078471897593E-2</v>
      </c>
      <c r="F524" s="73">
        <v>0.59227495044440404</v>
      </c>
      <c r="G524" s="73">
        <v>0.22173798763709901</v>
      </c>
      <c r="H524" s="15">
        <f t="shared" si="71"/>
        <v>1.1406260567592232</v>
      </c>
      <c r="I524" s="15">
        <f t="shared" si="72"/>
        <v>0.46504827323795939</v>
      </c>
      <c r="J524" s="15">
        <f t="shared" si="73"/>
        <v>-1.3382463114375864</v>
      </c>
      <c r="K524" s="15">
        <f t="shared" si="74"/>
        <v>0.23340091965601606</v>
      </c>
      <c r="L524" s="15">
        <f t="shared" si="75"/>
        <v>-0.76633671905517042</v>
      </c>
      <c r="M524" s="18">
        <f t="shared" si="76"/>
        <v>2.2812521135184467E-2</v>
      </c>
      <c r="N524" s="18">
        <f t="shared" si="77"/>
        <v>7.7844531759181709E-3</v>
      </c>
      <c r="O524" s="18">
        <f t="shared" si="78"/>
        <v>-1.6058955737251038E-2</v>
      </c>
      <c r="P524" s="18">
        <f t="shared" si="79"/>
        <v>1.4004055179360963E-3</v>
      </c>
      <c r="Q524" s="18">
        <f t="shared" si="80"/>
        <v>-3.0653468762206816E-3</v>
      </c>
      <c r="R524" s="28">
        <f>((Scenario_DT!I$11*(IF(Scenario_DT!I$18=1,1,1+$M524/Scenario_DT!$C$19)*(1+$N524)^MAX(0,Scenario_DT!I$18-3))*(Scenario_DT!I$12+$O524)-Scenario_DT!I$13)*(1-Scenario_DT!I$14)+Scenario_DT!I$13-Scenario_DT!I$15)*Scenario_DT!I$16</f>
        <v>888.34313815248584</v>
      </c>
      <c r="S524" s="28">
        <f>((Scenario_DT!J$11*(IF(Scenario_DT!J$18=1,1,1+$M524/Scenario_DT!$C$19)*(1+$N524)^MAX(0,Scenario_DT!J$18-3))*(Scenario_DT!J$12+$O524)-Scenario_DT!J$13)*(1-Scenario_DT!J$14)+Scenario_DT!J$13-Scenario_DT!J$15)*Scenario_DT!J$16</f>
        <v>1835.4564336323469</v>
      </c>
      <c r="T524" s="28">
        <f>((Scenario_DT!K$11*(IF(Scenario_DT!K$18=1,1,1+$M524/Scenario_DT!$C$19)*(1+$N524)^MAX(0,Scenario_DT!K$18-3))*(Scenario_DT!K$12+$O524)-Scenario_DT!K$13)*(1-Scenario_DT!K$14)+Scenario_DT!K$13-Scenario_DT!K$15)*Scenario_DT!K$16</f>
        <v>2100.945664672126</v>
      </c>
      <c r="U524" s="28">
        <f>((Scenario_DT!L$11*(IF(Scenario_DT!L$18=1,1,1+$M524/Scenario_DT!$C$19)*(1+$N524)^MAX(0,Scenario_DT!L$18-3))*(Scenario_DT!L$12+$O524)-Scenario_DT!L$13)*(1-Scenario_DT!L$14)+Scenario_DT!L$13-Scenario_DT!L$15)*Scenario_DT!L$16</f>
        <v>2521.8599114923823</v>
      </c>
      <c r="V524" s="28">
        <f>((Scenario_DT!M$11*(IF(Scenario_DT!M$18=1,1,1+$M524/Scenario_DT!$C$19)*(1+$N524)^MAX(0,Scenario_DT!M$18-3))*(Scenario_DT!M$12+$O524)-Scenario_DT!M$13)*(1-Scenario_DT!M$14)+Scenario_DT!M$13-Scenario_DT!M$15)*Scenario_DT!M$16</f>
        <v>2667.9822724882197</v>
      </c>
      <c r="W524" s="28">
        <f>((Scenario_DT!N$11*(IF(Scenario_DT!N$18=1,1,1+$M524/Scenario_DT!$C$19)*(1+$N524)^MAX(0,Scenario_DT!N$18-3))*(Scenario_DT!N$12+$O524)-Scenario_DT!N$13)*(1-Scenario_DT!N$14)+Scenario_DT!N$13-Scenario_DT!N$15)*Scenario_DT!N$16</f>
        <v>2822.574845489748</v>
      </c>
      <c r="X524" s="28">
        <f>((Scenario_DT!O$11*(IF(Scenario_DT!O$18=1,1,1+$M524/Scenario_DT!$C$19)*(1+$N524)^MAX(0,Scenario_DT!O$18-3))*(Scenario_DT!O$12+$O524)-Scenario_DT!O$13)*(1-Scenario_DT!O$14)+Scenario_DT!O$13-Scenario_DT!O$15)*Scenario_DT!O$16</f>
        <v>2986.1315720111265</v>
      </c>
      <c r="Y524" s="28">
        <f>((Scenario_DT!P$11*(IF(Scenario_DT!P$18=1,1,1+$M524/Scenario_DT!$C$19)*(1+$N524)^MAX(0,Scenario_DT!P$18-3))*(Scenario_DT!P$12+$O524)-Scenario_DT!P$13)*(1-Scenario_DT!P$14)+Scenario_DT!P$13-Scenario_DT!P$15)*Scenario_DT!P$16</f>
        <v>3159.1752065870519</v>
      </c>
      <c r="Z524" s="28">
        <f>((Scenario_DT!Q$11*(IF(Scenario_DT!Q$18=1,1,1+$M524/Scenario_DT!$C$19)*(1+$N524)^MAX(0,Scenario_DT!Q$18-3))*(Scenario_DT!Q$12+$O524)-Scenario_DT!Q$13)*(1-Scenario_DT!Q$14)+Scenario_DT!Q$13-Scenario_DT!Q$15)*Scenario_DT!Q$16</f>
        <v>3342.2589966729383</v>
      </c>
      <c r="AA524" s="28">
        <f>((Scenario_DT!R$11*(IF(Scenario_DT!R$18=1,1,1+$M524/Scenario_DT!$C$19)*(1+$N524)^MAX(0,Scenario_DT!R$18-3))*(Scenario_DT!R$12+$O524)-Scenario_DT!R$13)*(1-Scenario_DT!R$14)+Scenario_DT!R$13-Scenario_DT!R$15)*Scenario_DT!R$16</f>
        <v>3535.9684604391937</v>
      </c>
      <c r="AB524" s="17">
        <f>(Scenario_DT!$R$11*(1+$M524/Scenario_DT!$C$19)*(1+$N524)^7*(Scenario_DT!$R$12+$O524)*(1+MIN(DCF_FCFF!$C$26+$Q524,(DCF_FCFF!$C$25+$P524)-0.02))*(1-DCF_FCFF!$C$27)*(1-DCF_FCFF!$C$28)/((DCF_FCFF!$C$25+$P524)-MIN(DCF_FCFF!$C$26+$Q524,(DCF_FCFF!$C$25+$P524)-0.02)))*(1+(DCF_FCFF!$C$25+$P524))^(-(Inputs!$C$9+9))</f>
        <v>26975.069295041445</v>
      </c>
      <c r="AC524" s="17">
        <f>SUMPRODUCT(R524:AA524*(1+(DCF_FCFF!$C$25+$P524))^(-Scenario_DT!$I$17:$R$17))+AB524</f>
        <v>43694.505269277441</v>
      </c>
      <c r="AD524" s="68">
        <f>((AC524-DCF_FCFF!$C$48)*(1-DCF_FCFF!$C$50)+DCF_FCFF!$C$57+DCF_FCFF!$C$58)/DCF_FCFF!$C$60</f>
        <v>322.96901181120239</v>
      </c>
      <c r="AE524" s="6"/>
      <c r="AF524" s="6"/>
      <c r="AG524" s="6"/>
    </row>
    <row r="525" spans="1:33" x14ac:dyDescent="0.3">
      <c r="A525" s="6"/>
      <c r="B525" s="72">
        <v>494</v>
      </c>
      <c r="C525" s="73">
        <v>0.73401655978872304</v>
      </c>
      <c r="D525" s="73">
        <v>0.82744085250874699</v>
      </c>
      <c r="E525" s="73">
        <v>0.59345627258997302</v>
      </c>
      <c r="F525" s="73">
        <v>0.59136260975170996</v>
      </c>
      <c r="G525" s="73">
        <v>0.33859144321081402</v>
      </c>
      <c r="H525" s="15">
        <f t="shared" si="71"/>
        <v>0.62500636529562881</v>
      </c>
      <c r="I525" s="15">
        <f t="shared" si="72"/>
        <v>0.94410049780268279</v>
      </c>
      <c r="J525" s="15">
        <f t="shared" si="73"/>
        <v>0.23644490479796657</v>
      </c>
      <c r="K525" s="15">
        <f t="shared" si="74"/>
        <v>0.23105151615445177</v>
      </c>
      <c r="L525" s="15">
        <f t="shared" si="75"/>
        <v>-0.41631039582157781</v>
      </c>
      <c r="M525" s="18">
        <f t="shared" si="76"/>
        <v>1.2500127305912576E-2</v>
      </c>
      <c r="N525" s="18">
        <f t="shared" si="77"/>
        <v>9.0409455797637785E-3</v>
      </c>
      <c r="O525" s="18">
        <f t="shared" si="78"/>
        <v>2.8373388575755987E-3</v>
      </c>
      <c r="P525" s="18">
        <f t="shared" si="79"/>
        <v>1.3863090969267106E-3</v>
      </c>
      <c r="Q525" s="18">
        <f t="shared" si="80"/>
        <v>-1.6652415832863112E-3</v>
      </c>
      <c r="R525" s="28">
        <f>((Scenario_DT!I$11*(IF(Scenario_DT!I$18=1,1,1+$M525/Scenario_DT!$C$19)*(1+$N525)^MAX(0,Scenario_DT!I$18-3))*(Scenario_DT!I$12+$O525)-Scenario_DT!I$13)*(1-Scenario_DT!I$14)+Scenario_DT!I$13-Scenario_DT!I$15)*Scenario_DT!I$16</f>
        <v>914.98487997917118</v>
      </c>
      <c r="S525" s="28">
        <f>((Scenario_DT!J$11*(IF(Scenario_DT!J$18=1,1,1+$M525/Scenario_DT!$C$19)*(1+$N525)^MAX(0,Scenario_DT!J$18-3))*(Scenario_DT!J$12+$O525)-Scenario_DT!J$13)*(1-Scenario_DT!J$14)+Scenario_DT!J$13-Scenario_DT!J$15)*Scenario_DT!J$16</f>
        <v>1870.7971483817209</v>
      </c>
      <c r="T525" s="28">
        <f>((Scenario_DT!K$11*(IF(Scenario_DT!K$18=1,1,1+$M525/Scenario_DT!$C$19)*(1+$N525)^MAX(0,Scenario_DT!K$18-3))*(Scenario_DT!K$12+$O525)-Scenario_DT!K$13)*(1-Scenario_DT!K$14)+Scenario_DT!K$13-Scenario_DT!K$15)*Scenario_DT!K$16</f>
        <v>2137.2195820764859</v>
      </c>
      <c r="U525" s="28">
        <f>((Scenario_DT!L$11*(IF(Scenario_DT!L$18=1,1,1+$M525/Scenario_DT!$C$19)*(1+$N525)^MAX(0,Scenario_DT!L$18-3))*(Scenario_DT!L$12+$O525)-Scenario_DT!L$13)*(1-Scenario_DT!L$14)+Scenario_DT!L$13-Scenario_DT!L$15)*Scenario_DT!L$16</f>
        <v>2563.88819514644</v>
      </c>
      <c r="V525" s="28">
        <f>((Scenario_DT!M$11*(IF(Scenario_DT!M$18=1,1,1+$M525/Scenario_DT!$C$19)*(1+$N525)^MAX(0,Scenario_DT!M$18-3))*(Scenario_DT!M$12+$O525)-Scenario_DT!M$13)*(1-Scenario_DT!M$14)+Scenario_DT!M$13-Scenario_DT!M$15)*Scenario_DT!M$16</f>
        <v>2715.8603405507101</v>
      </c>
      <c r="W525" s="28">
        <f>((Scenario_DT!N$11*(IF(Scenario_DT!N$18=1,1,1+$M525/Scenario_DT!$C$19)*(1+$N525)^MAX(0,Scenario_DT!N$18-3))*(Scenario_DT!N$12+$O525)-Scenario_DT!N$13)*(1-Scenario_DT!N$14)+Scenario_DT!N$13-Scenario_DT!N$15)*Scenario_DT!N$16</f>
        <v>2876.8455658215485</v>
      </c>
      <c r="X525" s="28">
        <f>((Scenario_DT!O$11*(IF(Scenario_DT!O$18=1,1,1+$M525/Scenario_DT!$C$19)*(1+$N525)^MAX(0,Scenario_DT!O$18-3))*(Scenario_DT!O$12+$O525)-Scenario_DT!O$13)*(1-Scenario_DT!O$14)+Scenario_DT!O$13-Scenario_DT!O$15)*Scenario_DT!O$16</f>
        <v>3047.3814442544171</v>
      </c>
      <c r="Y525" s="28">
        <f>((Scenario_DT!P$11*(IF(Scenario_DT!P$18=1,1,1+$M525/Scenario_DT!$C$19)*(1+$N525)^MAX(0,Scenario_DT!P$18-3))*(Scenario_DT!P$12+$O525)-Scenario_DT!P$13)*(1-Scenario_DT!P$14)+Scenario_DT!P$13-Scenario_DT!P$15)*Scenario_DT!P$16</f>
        <v>3228.0376173461314</v>
      </c>
      <c r="Z525" s="28">
        <f>((Scenario_DT!Q$11*(IF(Scenario_DT!Q$18=1,1,1+$M525/Scenario_DT!$C$19)*(1+$N525)^MAX(0,Scenario_DT!Q$18-3))*(Scenario_DT!Q$12+$O525)-Scenario_DT!Q$13)*(1-Scenario_DT!Q$14)+Scenario_DT!Q$13-Scenario_DT!Q$15)*Scenario_DT!Q$16</f>
        <v>3419.4177067149581</v>
      </c>
      <c r="AA525" s="28">
        <f>((Scenario_DT!R$11*(IF(Scenario_DT!R$18=1,1,1+$M525/Scenario_DT!$C$19)*(1+$N525)^MAX(0,Scenario_DT!R$18-3))*(Scenario_DT!R$12+$O525)-Scenario_DT!R$13)*(1-Scenario_DT!R$14)+Scenario_DT!R$13-Scenario_DT!R$15)*Scenario_DT!R$16</f>
        <v>3622.1613399498628</v>
      </c>
      <c r="AB525" s="17">
        <f>(Scenario_DT!$R$11*(1+$M525/Scenario_DT!$C$19)*(1+$N525)^7*(Scenario_DT!$R$12+$O525)*(1+MIN(DCF_FCFF!$C$26+$Q525,(DCF_FCFF!$C$25+$P525)-0.02))*(1-DCF_FCFF!$C$27)*(1-DCF_FCFF!$C$28)/((DCF_FCFF!$C$25+$P525)-MIN(DCF_FCFF!$C$26+$Q525,(DCF_FCFF!$C$25+$P525)-0.02)))*(1+(DCF_FCFF!$C$25+$P525))^(-(Inputs!$C$9+9))</f>
        <v>28400.164101271603</v>
      </c>
      <c r="AC525" s="17">
        <f>SUMPRODUCT(R525:AA525*(1+(DCF_FCFF!$C$25+$P525))^(-Scenario_DT!$I$17:$R$17))+AB525</f>
        <v>45462.005921097472</v>
      </c>
      <c r="AD525" s="68">
        <f>((AC525-DCF_FCFF!$C$48)*(1-DCF_FCFF!$C$50)+DCF_FCFF!$C$57+DCF_FCFF!$C$58)/DCF_FCFF!$C$60</f>
        <v>339.93484134375018</v>
      </c>
      <c r="AE525" s="6"/>
      <c r="AF525" s="6"/>
      <c r="AG525" s="6"/>
    </row>
    <row r="526" spans="1:33" x14ac:dyDescent="0.3">
      <c r="A526" s="6"/>
      <c r="B526" s="72">
        <v>495</v>
      </c>
      <c r="C526" s="73">
        <v>0.44625002116130902</v>
      </c>
      <c r="D526" s="73">
        <v>0.86410835381534601</v>
      </c>
      <c r="E526" s="73">
        <v>0.72332033096715698</v>
      </c>
      <c r="F526" s="73">
        <v>0.51975365969584297</v>
      </c>
      <c r="G526" s="73">
        <v>0.36823238624837101</v>
      </c>
      <c r="H526" s="15">
        <f t="shared" si="71"/>
        <v>-0.13514144503915157</v>
      </c>
      <c r="I526" s="15">
        <f t="shared" si="72"/>
        <v>1.0989650922794814</v>
      </c>
      <c r="J526" s="15">
        <f t="shared" si="73"/>
        <v>0.59273376914443343</v>
      </c>
      <c r="K526" s="15">
        <f t="shared" si="74"/>
        <v>4.9535332346999222E-2</v>
      </c>
      <c r="L526" s="15">
        <f t="shared" si="75"/>
        <v>-0.33653856838480611</v>
      </c>
      <c r="M526" s="18">
        <f t="shared" si="76"/>
        <v>-2.7028289007830315E-3</v>
      </c>
      <c r="N526" s="18">
        <f t="shared" si="77"/>
        <v>7.0732877221341191E-3</v>
      </c>
      <c r="O526" s="18">
        <f t="shared" si="78"/>
        <v>7.112805229733201E-3</v>
      </c>
      <c r="P526" s="18">
        <f t="shared" si="79"/>
        <v>2.9721199408199535E-4</v>
      </c>
      <c r="Q526" s="18">
        <f t="shared" si="80"/>
        <v>-1.3461542735392245E-3</v>
      </c>
      <c r="R526" s="28">
        <f>((Scenario_DT!I$11*(IF(Scenario_DT!I$18=1,1,1+$M526/Scenario_DT!$C$19)*(1+$N526)^MAX(0,Scenario_DT!I$18-3))*(Scenario_DT!I$12+$O526)-Scenario_DT!I$13)*(1-Scenario_DT!I$14)+Scenario_DT!I$13-Scenario_DT!I$15)*Scenario_DT!I$16</f>
        <v>921.01282745342803</v>
      </c>
      <c r="S526" s="28">
        <f>((Scenario_DT!J$11*(IF(Scenario_DT!J$18=1,1,1+$M526/Scenario_DT!$C$19)*(1+$N526)^MAX(0,Scenario_DT!J$18-3))*(Scenario_DT!J$12+$O526)-Scenario_DT!J$13)*(1-Scenario_DT!J$14)+Scenario_DT!J$13-Scenario_DT!J$15)*Scenario_DT!J$16</f>
        <v>1847.473228156869</v>
      </c>
      <c r="T526" s="28">
        <f>((Scenario_DT!K$11*(IF(Scenario_DT!K$18=1,1,1+$M526/Scenario_DT!$C$19)*(1+$N526)^MAX(0,Scenario_DT!K$18-3))*(Scenario_DT!K$12+$O526)-Scenario_DT!K$13)*(1-Scenario_DT!K$14)+Scenario_DT!K$13-Scenario_DT!K$15)*Scenario_DT!K$16</f>
        <v>2112.5314299599863</v>
      </c>
      <c r="U526" s="28">
        <f>((Scenario_DT!L$11*(IF(Scenario_DT!L$18=1,1,1+$M526/Scenario_DT!$C$19)*(1+$N526)^MAX(0,Scenario_DT!L$18-3))*(Scenario_DT!L$12+$O526)-Scenario_DT!L$13)*(1-Scenario_DT!L$14)+Scenario_DT!L$13-Scenario_DT!L$15)*Scenario_DT!L$16</f>
        <v>2532.4569084416794</v>
      </c>
      <c r="V526" s="28">
        <f>((Scenario_DT!M$11*(IF(Scenario_DT!M$18=1,1,1+$M526/Scenario_DT!$C$19)*(1+$N526)^MAX(0,Scenario_DT!M$18-3))*(Scenario_DT!M$12+$O526)-Scenario_DT!M$13)*(1-Scenario_DT!M$14)+Scenario_DT!M$13-Scenario_DT!M$15)*Scenario_DT!M$16</f>
        <v>2677.2920891702352</v>
      </c>
      <c r="W526" s="28">
        <f>((Scenario_DT!N$11*(IF(Scenario_DT!N$18=1,1,1+$M526/Scenario_DT!$C$19)*(1+$N526)^MAX(0,Scenario_DT!N$18-3))*(Scenario_DT!N$12+$O526)-Scenario_DT!N$13)*(1-Scenario_DT!N$14)+Scenario_DT!N$13-Scenario_DT!N$15)*Scenario_DT!N$16</f>
        <v>2830.4132812786129</v>
      </c>
      <c r="X526" s="28">
        <f>((Scenario_DT!O$11*(IF(Scenario_DT!O$18=1,1,1+$M526/Scenario_DT!$C$19)*(1+$N526)^MAX(0,Scenario_DT!O$18-3))*(Scenario_DT!O$12+$O526)-Scenario_DT!O$13)*(1-Scenario_DT!O$14)+Scenario_DT!O$13-Scenario_DT!O$15)*Scenario_DT!O$16</f>
        <v>2992.2974327035627</v>
      </c>
      <c r="Y526" s="28">
        <f>((Scenario_DT!P$11*(IF(Scenario_DT!P$18=1,1,1+$M526/Scenario_DT!$C$19)*(1+$N526)^MAX(0,Scenario_DT!P$18-3))*(Scenario_DT!P$12+$O526)-Scenario_DT!P$13)*(1-Scenario_DT!P$14)+Scenario_DT!P$13-Scenario_DT!P$15)*Scenario_DT!P$16</f>
        <v>3163.4489552999835</v>
      </c>
      <c r="Z526" s="28">
        <f>((Scenario_DT!Q$11*(IF(Scenario_DT!Q$18=1,1,1+$M526/Scenario_DT!$C$19)*(1+$N526)^MAX(0,Scenario_DT!Q$18-3))*(Scenario_DT!Q$12+$O526)-Scenario_DT!Q$13)*(1-Scenario_DT!Q$14)+Scenario_DT!Q$13-Scenario_DT!Q$15)*Scenario_DT!Q$16</f>
        <v>3344.4013055550849</v>
      </c>
      <c r="AA526" s="28">
        <f>((Scenario_DT!R$11*(IF(Scenario_DT!R$18=1,1,1+$M526/Scenario_DT!$C$19)*(1+$N526)^MAX(0,Scenario_DT!R$18-3))*(Scenario_DT!R$12+$O526)-Scenario_DT!R$13)*(1-Scenario_DT!R$14)+Scenario_DT!R$13-Scenario_DT!R$15)*Scenario_DT!R$16</f>
        <v>3535.7186562376837</v>
      </c>
      <c r="AB526" s="17">
        <f>(Scenario_DT!$R$11*(1+$M526/Scenario_DT!$C$19)*(1+$N526)^7*(Scenario_DT!$R$12+$O526)*(1+MIN(DCF_FCFF!$C$26+$Q526,(DCF_FCFF!$C$25+$P526)-0.02))*(1-DCF_FCFF!$C$27)*(1-DCF_FCFF!$C$28)/((DCF_FCFF!$C$25+$P526)-MIN(DCF_FCFF!$C$26+$Q526,(DCF_FCFF!$C$25+$P526)-0.02)))*(1+(DCF_FCFF!$C$25+$P526))^(-(Inputs!$C$9+9))</f>
        <v>28757.223097377348</v>
      </c>
      <c r="AC526" s="17">
        <f>SUMPRODUCT(R526:AA526*(1+(DCF_FCFF!$C$25+$P526))^(-Scenario_DT!$I$17:$R$17))+AB526</f>
        <v>45635.199925379406</v>
      </c>
      <c r="AD526" s="68">
        <f>((AC526-DCF_FCFF!$C$48)*(1-DCF_FCFF!$C$50)+DCF_FCFF!$C$57+DCF_FCFF!$C$58)/DCF_FCFF!$C$60</f>
        <v>341.59729049174962</v>
      </c>
      <c r="AE526" s="6"/>
      <c r="AF526" s="6"/>
      <c r="AG526" s="6"/>
    </row>
    <row r="527" spans="1:33" x14ac:dyDescent="0.3">
      <c r="A527" s="6"/>
      <c r="B527" s="72">
        <v>496</v>
      </c>
      <c r="C527" s="73">
        <v>5.0379738288554403E-2</v>
      </c>
      <c r="D527" s="73">
        <v>0.14300740132638501</v>
      </c>
      <c r="E527" s="73">
        <v>0.19302518953937101</v>
      </c>
      <c r="F527" s="73">
        <v>0.37338354325867501</v>
      </c>
      <c r="G527" s="73">
        <v>0.94414364707627496</v>
      </c>
      <c r="H527" s="15">
        <f t="shared" si="71"/>
        <v>-1.6411827924535729</v>
      </c>
      <c r="I527" s="15">
        <f t="shared" si="72"/>
        <v>-1.0669048541708208</v>
      </c>
      <c r="J527" s="15">
        <f t="shared" si="73"/>
        <v>-0.86680223178059723</v>
      </c>
      <c r="K527" s="15">
        <f t="shared" si="74"/>
        <v>-0.32290513603231924</v>
      </c>
      <c r="L527" s="15">
        <f t="shared" si="75"/>
        <v>1.5905419132596399</v>
      </c>
      <c r="M527" s="18">
        <f t="shared" si="76"/>
        <v>-3.2823655849071459E-2</v>
      </c>
      <c r="N527" s="18">
        <f t="shared" si="77"/>
        <v>-1.3956464826877193E-2</v>
      </c>
      <c r="O527" s="18">
        <f t="shared" si="78"/>
        <v>-1.0401626781367168E-2</v>
      </c>
      <c r="P527" s="18">
        <f t="shared" si="79"/>
        <v>-1.9374308161939154E-3</v>
      </c>
      <c r="Q527" s="18">
        <f t="shared" si="80"/>
        <v>6.36216765303856E-3</v>
      </c>
      <c r="R527" s="28">
        <f>((Scenario_DT!I$11*(IF(Scenario_DT!I$18=1,1,1+$M527/Scenario_DT!$C$19)*(1+$N527)^MAX(0,Scenario_DT!I$18-3))*(Scenario_DT!I$12+$O527)-Scenario_DT!I$13)*(1-Scenario_DT!I$14)+Scenario_DT!I$13-Scenario_DT!I$15)*Scenario_DT!I$16</f>
        <v>896.31936315866028</v>
      </c>
      <c r="S527" s="28">
        <f>((Scenario_DT!J$11*(IF(Scenario_DT!J$18=1,1,1+$M527/Scenario_DT!$C$19)*(1+$N527)^MAX(0,Scenario_DT!J$18-3))*(Scenario_DT!J$12+$O527)-Scenario_DT!J$13)*(1-Scenario_DT!J$14)+Scenario_DT!J$13-Scenario_DT!J$15)*Scenario_DT!J$16</f>
        <v>1722.0573067683472</v>
      </c>
      <c r="T527" s="28">
        <f>((Scenario_DT!K$11*(IF(Scenario_DT!K$18=1,1,1+$M527/Scenario_DT!$C$19)*(1+$N527)^MAX(0,Scenario_DT!K$18-3))*(Scenario_DT!K$12+$O527)-Scenario_DT!K$13)*(1-Scenario_DT!K$14)+Scenario_DT!K$13-Scenario_DT!K$15)*Scenario_DT!K$16</f>
        <v>1981.5352819854056</v>
      </c>
      <c r="U527" s="28">
        <f>((Scenario_DT!L$11*(IF(Scenario_DT!L$18=1,1,1+$M527/Scenario_DT!$C$19)*(1+$N527)^MAX(0,Scenario_DT!L$18-3))*(Scenario_DT!L$12+$O527)-Scenario_DT!L$13)*(1-Scenario_DT!L$14)+Scenario_DT!L$13-Scenario_DT!L$15)*Scenario_DT!L$16</f>
        <v>2342.0741261563071</v>
      </c>
      <c r="V527" s="28">
        <f>((Scenario_DT!M$11*(IF(Scenario_DT!M$18=1,1,1+$M527/Scenario_DT!$C$19)*(1+$N527)^MAX(0,Scenario_DT!M$18-3))*(Scenario_DT!M$12+$O527)-Scenario_DT!M$13)*(1-Scenario_DT!M$14)+Scenario_DT!M$13-Scenario_DT!M$15)*Scenario_DT!M$16</f>
        <v>2423.8876844086981</v>
      </c>
      <c r="W527" s="28">
        <f>((Scenario_DT!N$11*(IF(Scenario_DT!N$18=1,1,1+$M527/Scenario_DT!$C$19)*(1+$N527)^MAX(0,Scenario_DT!N$18-3))*(Scenario_DT!N$12+$O527)-Scenario_DT!N$13)*(1-Scenario_DT!N$14)+Scenario_DT!N$13-Scenario_DT!N$15)*Scenario_DT!N$16</f>
        <v>2508.5270085380216</v>
      </c>
      <c r="X527" s="28">
        <f>((Scenario_DT!O$11*(IF(Scenario_DT!O$18=1,1,1+$M527/Scenario_DT!$C$19)*(1+$N527)^MAX(0,Scenario_DT!O$18-3))*(Scenario_DT!O$12+$O527)-Scenario_DT!O$13)*(1-Scenario_DT!O$14)+Scenario_DT!O$13-Scenario_DT!O$15)*Scenario_DT!O$16</f>
        <v>2596.0904060285407</v>
      </c>
      <c r="Y527" s="28">
        <f>((Scenario_DT!P$11*(IF(Scenario_DT!P$18=1,1,1+$M527/Scenario_DT!$C$19)*(1+$N527)^MAX(0,Scenario_DT!P$18-3))*(Scenario_DT!P$12+$O527)-Scenario_DT!P$13)*(1-Scenario_DT!P$14)+Scenario_DT!P$13-Scenario_DT!P$15)*Scenario_DT!P$16</f>
        <v>2686.6796039864162</v>
      </c>
      <c r="Z527" s="28">
        <f>((Scenario_DT!Q$11*(IF(Scenario_DT!Q$18=1,1,1+$M527/Scenario_DT!$C$19)*(1+$N527)^MAX(0,Scenario_DT!Q$18-3))*(Scenario_DT!Q$12+$O527)-Scenario_DT!Q$13)*(1-Scenario_DT!Q$14)+Scenario_DT!Q$13-Scenario_DT!Q$15)*Scenario_DT!Q$16</f>
        <v>2780.3998677635295</v>
      </c>
      <c r="AA527" s="28">
        <f>((Scenario_DT!R$11*(IF(Scenario_DT!R$18=1,1,1+$M527/Scenario_DT!$C$19)*(1+$N527)^MAX(0,Scenario_DT!R$18-3))*(Scenario_DT!R$12+$O527)-Scenario_DT!R$13)*(1-Scenario_DT!R$14)+Scenario_DT!R$13-Scenario_DT!R$15)*Scenario_DT!R$16</f>
        <v>2877.3601236794339</v>
      </c>
      <c r="AB527" s="17">
        <f>(Scenario_DT!$R$11*(1+$M527/Scenario_DT!$C$19)*(1+$N527)^7*(Scenario_DT!$R$12+$O527)*(1+MIN(DCF_FCFF!$C$26+$Q527,(DCF_FCFF!$C$25+$P527)-0.02))*(1-DCF_FCFF!$C$27)*(1-DCF_FCFF!$C$28)/((DCF_FCFF!$C$25+$P527)-MIN(DCF_FCFF!$C$26+$Q527,(DCF_FCFF!$C$25+$P527)-0.02)))*(1+(DCF_FCFF!$C$25+$P527))^(-(Inputs!$C$9+9))</f>
        <v>29770.119454661584</v>
      </c>
      <c r="AC527" s="17">
        <f>SUMPRODUCT(R527:AA527*(1+(DCF_FCFF!$C$25+$P527))^(-Scenario_DT!$I$17:$R$17))+AB527</f>
        <v>44921.652474683673</v>
      </c>
      <c r="AD527" s="68">
        <f>((AC527-DCF_FCFF!$C$48)*(1-DCF_FCFF!$C$50)+DCF_FCFF!$C$57+DCF_FCFF!$C$58)/DCF_FCFF!$C$60</f>
        <v>334.74811371808215</v>
      </c>
      <c r="AE527" s="6"/>
      <c r="AF527" s="6"/>
      <c r="AG527" s="6"/>
    </row>
    <row r="528" spans="1:33" x14ac:dyDescent="0.3">
      <c r="A528" s="6"/>
      <c r="B528" s="72">
        <v>497</v>
      </c>
      <c r="C528" s="73">
        <v>0.50515339485874899</v>
      </c>
      <c r="D528" s="73">
        <v>0.23484016325923099</v>
      </c>
      <c r="E528" s="73">
        <v>0.105750137461514</v>
      </c>
      <c r="F528" s="73">
        <v>0.33830552460296398</v>
      </c>
      <c r="G528" s="73">
        <v>0.81573063555105696</v>
      </c>
      <c r="H528" s="15">
        <f t="shared" si="71"/>
        <v>1.2918004535944416E-2</v>
      </c>
      <c r="I528" s="15">
        <f t="shared" si="72"/>
        <v>-0.72299928005120495</v>
      </c>
      <c r="J528" s="15">
        <f t="shared" si="73"/>
        <v>-1.2494506988785685</v>
      </c>
      <c r="K528" s="15">
        <f t="shared" si="74"/>
        <v>-0.4170920916509564</v>
      </c>
      <c r="L528" s="15">
        <f t="shared" si="75"/>
        <v>0.89921391690504726</v>
      </c>
      <c r="M528" s="18">
        <f t="shared" si="76"/>
        <v>2.5836009071888831E-4</v>
      </c>
      <c r="N528" s="18">
        <f t="shared" si="77"/>
        <v>-4.9574139293938474E-3</v>
      </c>
      <c r="O528" s="18">
        <f t="shared" si="78"/>
        <v>-1.4993408386542822E-2</v>
      </c>
      <c r="P528" s="18">
        <f t="shared" si="79"/>
        <v>-2.5025525499057385E-3</v>
      </c>
      <c r="Q528" s="18">
        <f t="shared" si="80"/>
        <v>3.5968556676201891E-3</v>
      </c>
      <c r="R528" s="28">
        <f>((Scenario_DT!I$11*(IF(Scenario_DT!I$18=1,1,1+$M528/Scenario_DT!$C$19)*(1+$N528)^MAX(0,Scenario_DT!I$18-3))*(Scenario_DT!I$12+$O528)-Scenario_DT!I$13)*(1-Scenario_DT!I$14)+Scenario_DT!I$13-Scenario_DT!I$15)*Scenario_DT!I$16</f>
        <v>889.84544524656826</v>
      </c>
      <c r="S528" s="28">
        <f>((Scenario_DT!J$11*(IF(Scenario_DT!J$18=1,1,1+$M528/Scenario_DT!$C$19)*(1+$N528)^MAX(0,Scenario_DT!J$18-3))*(Scenario_DT!J$12+$O528)-Scenario_DT!J$13)*(1-Scenario_DT!J$14)+Scenario_DT!J$13-Scenario_DT!J$15)*Scenario_DT!J$16</f>
        <v>1785.9196945059052</v>
      </c>
      <c r="T528" s="28">
        <f>((Scenario_DT!K$11*(IF(Scenario_DT!K$18=1,1,1+$M528/Scenario_DT!$C$19)*(1+$N528)^MAX(0,Scenario_DT!K$18-3))*(Scenario_DT!K$12+$O528)-Scenario_DT!K$13)*(1-Scenario_DT!K$14)+Scenario_DT!K$13-Scenario_DT!K$15)*Scenario_DT!K$16</f>
        <v>2048.8424895306598</v>
      </c>
      <c r="U528" s="28">
        <f>((Scenario_DT!L$11*(IF(Scenario_DT!L$18=1,1,1+$M528/Scenario_DT!$C$19)*(1+$N528)^MAX(0,Scenario_DT!L$18-3))*(Scenario_DT!L$12+$O528)-Scenario_DT!L$13)*(1-Scenario_DT!L$14)+Scenario_DT!L$13-Scenario_DT!L$15)*Scenario_DT!L$16</f>
        <v>2434.7138577256806</v>
      </c>
      <c r="V528" s="28">
        <f>((Scenario_DT!M$11*(IF(Scenario_DT!M$18=1,1,1+$M528/Scenario_DT!$C$19)*(1+$N528)^MAX(0,Scenario_DT!M$18-3))*(Scenario_DT!M$12+$O528)-Scenario_DT!M$13)*(1-Scenario_DT!M$14)+Scenario_DT!M$13-Scenario_DT!M$15)*Scenario_DT!M$16</f>
        <v>2542.9669036598684</v>
      </c>
      <c r="W528" s="28">
        <f>((Scenario_DT!N$11*(IF(Scenario_DT!N$18=1,1,1+$M528/Scenario_DT!$C$19)*(1+$N528)^MAX(0,Scenario_DT!N$18-3))*(Scenario_DT!N$12+$O528)-Scenario_DT!N$13)*(1-Scenario_DT!N$14)+Scenario_DT!N$13-Scenario_DT!N$15)*Scenario_DT!N$16</f>
        <v>2656.0179107221347</v>
      </c>
      <c r="X528" s="28">
        <f>((Scenario_DT!O$11*(IF(Scenario_DT!O$18=1,1,1+$M528/Scenario_DT!$C$19)*(1+$N528)^MAX(0,Scenario_DT!O$18-3))*(Scenario_DT!O$12+$O528)-Scenario_DT!O$13)*(1-Scenario_DT!O$14)+Scenario_DT!O$13-Scenario_DT!O$15)*Scenario_DT!O$16</f>
        <v>2774.0813772968177</v>
      </c>
      <c r="Y528" s="28">
        <f>((Scenario_DT!P$11*(IF(Scenario_DT!P$18=1,1,1+$M528/Scenario_DT!$C$19)*(1+$N528)^MAX(0,Scenario_DT!P$18-3))*(Scenario_DT!P$12+$O528)-Scenario_DT!P$13)*(1-Scenario_DT!P$14)+Scenario_DT!P$13-Scenario_DT!P$15)*Scenario_DT!P$16</f>
        <v>2897.381410399616</v>
      </c>
      <c r="Z528" s="28">
        <f>((Scenario_DT!Q$11*(IF(Scenario_DT!Q$18=1,1,1+$M528/Scenario_DT!$C$19)*(1+$N528)^MAX(0,Scenario_DT!Q$18-3))*(Scenario_DT!Q$12+$O528)-Scenario_DT!Q$13)*(1-Scenario_DT!Q$14)+Scenario_DT!Q$13-Scenario_DT!Q$15)*Scenario_DT!Q$16</f>
        <v>3026.1521563260917</v>
      </c>
      <c r="AA528" s="28">
        <f>((Scenario_DT!R$11*(IF(Scenario_DT!R$18=1,1,1+$M528/Scenario_DT!$C$19)*(1+$N528)^MAX(0,Scenario_DT!R$18-3))*(Scenario_DT!R$12+$O528)-Scenario_DT!R$13)*(1-Scenario_DT!R$14)+Scenario_DT!R$13-Scenario_DT!R$15)*Scenario_DT!R$16</f>
        <v>3160.6382506050213</v>
      </c>
      <c r="AB528" s="17">
        <f>(Scenario_DT!$R$11*(1+$M528/Scenario_DT!$C$19)*(1+$N528)^7*(Scenario_DT!$R$12+$O528)*(1+MIN(DCF_FCFF!$C$26+$Q528,(DCF_FCFF!$C$25+$P528)-0.02))*(1-DCF_FCFF!$C$27)*(1-DCF_FCFF!$C$28)/((DCF_FCFF!$C$25+$P528)-MIN(DCF_FCFF!$C$26+$Q528,(DCF_FCFF!$C$25+$P528)-0.02)))*(1+(DCF_FCFF!$C$25+$P528))^(-(Inputs!$C$9+9))</f>
        <v>31120.418445952397</v>
      </c>
      <c r="AC528" s="17">
        <f>SUMPRODUCT(R528:AA528*(1+(DCF_FCFF!$C$25+$P528))^(-Scenario_DT!$I$17:$R$17))+AB528</f>
        <v>47154.845675997887</v>
      </c>
      <c r="AD528" s="68">
        <f>((AC528-DCF_FCFF!$C$48)*(1-DCF_FCFF!$C$50)+DCF_FCFF!$C$57+DCF_FCFF!$C$58)/DCF_FCFF!$C$60</f>
        <v>356.1840182127865</v>
      </c>
      <c r="AE528" s="6"/>
      <c r="AF528" s="6"/>
      <c r="AG528" s="6"/>
    </row>
    <row r="529" spans="1:33" x14ac:dyDescent="0.3">
      <c r="A529" s="6"/>
      <c r="B529" s="72">
        <v>498</v>
      </c>
      <c r="C529" s="73">
        <v>0.38334279341050798</v>
      </c>
      <c r="D529" s="73">
        <v>0.77250580602241403</v>
      </c>
      <c r="E529" s="73">
        <v>0.80270497612687897</v>
      </c>
      <c r="F529" s="73">
        <v>0.110820769698704</v>
      </c>
      <c r="G529" s="73">
        <v>0.60865975262678396</v>
      </c>
      <c r="H529" s="15">
        <f t="shared" si="71"/>
        <v>-0.29671305813119397</v>
      </c>
      <c r="I529" s="15">
        <f t="shared" si="72"/>
        <v>0.74712454074042023</v>
      </c>
      <c r="J529" s="15">
        <f t="shared" si="73"/>
        <v>0.85132282736859322</v>
      </c>
      <c r="K529" s="15">
        <f t="shared" si="74"/>
        <v>-1.2221747787899064</v>
      </c>
      <c r="L529" s="15">
        <f t="shared" si="75"/>
        <v>0.27582758600336738</v>
      </c>
      <c r="M529" s="18">
        <f t="shared" si="76"/>
        <v>-5.9342611626238793E-3</v>
      </c>
      <c r="N529" s="18">
        <f t="shared" si="77"/>
        <v>3.9893784240511094E-3</v>
      </c>
      <c r="O529" s="18">
        <f t="shared" si="78"/>
        <v>1.0215873928423118E-2</v>
      </c>
      <c r="P529" s="18">
        <f t="shared" si="79"/>
        <v>-7.3330486727394388E-3</v>
      </c>
      <c r="Q529" s="18">
        <f t="shared" si="80"/>
        <v>1.1033103440134695E-3</v>
      </c>
      <c r="R529" s="28">
        <f>((Scenario_DT!I$11*(IF(Scenario_DT!I$18=1,1,1+$M529/Scenario_DT!$C$19)*(1+$N529)^MAX(0,Scenario_DT!I$18-3))*(Scenario_DT!I$12+$O529)-Scenario_DT!I$13)*(1-Scenario_DT!I$14)+Scenario_DT!I$13-Scenario_DT!I$15)*Scenario_DT!I$16</f>
        <v>925.38782037736325</v>
      </c>
      <c r="S529" s="28">
        <f>((Scenario_DT!J$11*(IF(Scenario_DT!J$18=1,1,1+$M529/Scenario_DT!$C$19)*(1+$N529)^MAX(0,Scenario_DT!J$18-3))*(Scenario_DT!J$12+$O529)-Scenario_DT!J$13)*(1-Scenario_DT!J$14)+Scenario_DT!J$13-Scenario_DT!J$15)*Scenario_DT!J$16</f>
        <v>1849.2366002404347</v>
      </c>
      <c r="T529" s="28">
        <f>((Scenario_DT!K$11*(IF(Scenario_DT!K$18=1,1,1+$M529/Scenario_DT!$C$19)*(1+$N529)^MAX(0,Scenario_DT!K$18-3))*(Scenario_DT!K$12+$O529)-Scenario_DT!K$13)*(1-Scenario_DT!K$14)+Scenario_DT!K$13-Scenario_DT!K$15)*Scenario_DT!K$16</f>
        <v>2114.248986265045</v>
      </c>
      <c r="U529" s="28">
        <f>((Scenario_DT!L$11*(IF(Scenario_DT!L$18=1,1,1+$M529/Scenario_DT!$C$19)*(1+$N529)^MAX(0,Scenario_DT!L$18-3))*(Scenario_DT!L$12+$O529)-Scenario_DT!L$13)*(1-Scenario_DT!L$14)+Scenario_DT!L$13-Scenario_DT!L$15)*Scenario_DT!L$16</f>
        <v>2526.4811564995348</v>
      </c>
      <c r="V529" s="28">
        <f>((Scenario_DT!M$11*(IF(Scenario_DT!M$18=1,1,1+$M529/Scenario_DT!$C$19)*(1+$N529)^MAX(0,Scenario_DT!M$18-3))*(Scenario_DT!M$12+$O529)-Scenario_DT!M$13)*(1-Scenario_DT!M$14)+Scenario_DT!M$13-Scenario_DT!M$15)*Scenario_DT!M$16</f>
        <v>2662.7375147136922</v>
      </c>
      <c r="W529" s="28">
        <f>((Scenario_DT!N$11*(IF(Scenario_DT!N$18=1,1,1+$M529/Scenario_DT!$C$19)*(1+$N529)^MAX(0,Scenario_DT!N$18-3))*(Scenario_DT!N$12+$O529)-Scenario_DT!N$13)*(1-Scenario_DT!N$14)+Scenario_DT!N$13-Scenario_DT!N$15)*Scenario_DT!N$16</f>
        <v>2806.3409481188651</v>
      </c>
      <c r="X529" s="28">
        <f>((Scenario_DT!O$11*(IF(Scenario_DT!O$18=1,1,1+$M529/Scenario_DT!$C$19)*(1+$N529)^MAX(0,Scenario_DT!O$18-3))*(Scenario_DT!O$12+$O529)-Scenario_DT!O$13)*(1-Scenario_DT!O$14)+Scenario_DT!O$13-Scenario_DT!O$15)*Scenario_DT!O$16</f>
        <v>2957.6903009791658</v>
      </c>
      <c r="Y529" s="28">
        <f>((Scenario_DT!P$11*(IF(Scenario_DT!P$18=1,1,1+$M529/Scenario_DT!$C$19)*(1+$N529)^MAX(0,Scenario_DT!P$18-3))*(Scenario_DT!P$12+$O529)-Scenario_DT!P$13)*(1-Scenario_DT!P$14)+Scenario_DT!P$13-Scenario_DT!P$15)*Scenario_DT!P$16</f>
        <v>3117.2060857488382</v>
      </c>
      <c r="Z529" s="28">
        <f>((Scenario_DT!Q$11*(IF(Scenario_DT!Q$18=1,1,1+$M529/Scenario_DT!$C$19)*(1+$N529)^MAX(0,Scenario_DT!Q$18-3))*(Scenario_DT!Q$12+$O529)-Scenario_DT!Q$13)*(1-Scenario_DT!Q$14)+Scenario_DT!Q$13-Scenario_DT!Q$15)*Scenario_DT!Q$16</f>
        <v>3285.331659942452</v>
      </c>
      <c r="AA529" s="28">
        <f>((Scenario_DT!R$11*(IF(Scenario_DT!R$18=1,1,1+$M529/Scenario_DT!$C$19)*(1+$N529)^MAX(0,Scenario_DT!R$18-3))*(Scenario_DT!R$12+$O529)-Scenario_DT!R$13)*(1-Scenario_DT!R$14)+Scenario_DT!R$13-Scenario_DT!R$15)*Scenario_DT!R$16</f>
        <v>3462.5344669005881</v>
      </c>
      <c r="AB529" s="17">
        <f>(Scenario_DT!$R$11*(1+$M529/Scenario_DT!$C$19)*(1+$N529)^7*(Scenario_DT!$R$12+$O529)*(1+MIN(DCF_FCFF!$C$26+$Q529,(DCF_FCFF!$C$25+$P529)-0.02))*(1-DCF_FCFF!$C$27)*(1-DCF_FCFF!$C$28)/((DCF_FCFF!$C$25+$P529)-MIN(DCF_FCFF!$C$26+$Q529,(DCF_FCFF!$C$25+$P529)-0.02)))*(1+(DCF_FCFF!$C$25+$P529))^(-(Inputs!$C$9+9))</f>
        <v>37422.528211532233</v>
      </c>
      <c r="AC529" s="17">
        <f>SUMPRODUCT(R529:AA529*(1+(DCF_FCFF!$C$25+$P529))^(-Scenario_DT!$I$17:$R$17))+AB529</f>
        <v>54724.171383875655</v>
      </c>
      <c r="AD529" s="68">
        <f>((AC529-DCF_FCFF!$C$48)*(1-DCF_FCFF!$C$50)+DCF_FCFF!$C$57+DCF_FCFF!$C$58)/DCF_FCFF!$C$60</f>
        <v>428.84022317879294</v>
      </c>
      <c r="AE529" s="6"/>
      <c r="AF529" s="6"/>
      <c r="AG529" s="6"/>
    </row>
    <row r="530" spans="1:33" x14ac:dyDescent="0.3">
      <c r="A530" s="6"/>
      <c r="B530" s="72">
        <v>499</v>
      </c>
      <c r="C530" s="73">
        <v>0.95909606337111097</v>
      </c>
      <c r="D530" s="73">
        <v>0.40213807490355402</v>
      </c>
      <c r="E530" s="73">
        <v>5.0944089003022303E-2</v>
      </c>
      <c r="F530" s="73">
        <v>0.92330269025787903</v>
      </c>
      <c r="G530" s="73">
        <v>0.88366628157248295</v>
      </c>
      <c r="H530" s="15">
        <f t="shared" si="71"/>
        <v>1.7402913437064824</v>
      </c>
      <c r="I530" s="15">
        <f t="shared" si="72"/>
        <v>-0.24781680773422379</v>
      </c>
      <c r="J530" s="15">
        <f t="shared" si="73"/>
        <v>-1.6357678741276078</v>
      </c>
      <c r="K530" s="15">
        <f t="shared" si="74"/>
        <v>1.4276430720074935</v>
      </c>
      <c r="L530" s="15">
        <f t="shared" si="75"/>
        <v>1.1935157774217244</v>
      </c>
      <c r="M530" s="18">
        <f t="shared" si="76"/>
        <v>3.4805826874129649E-2</v>
      </c>
      <c r="N530" s="18">
        <f t="shared" si="77"/>
        <v>5.2442401669651161E-3</v>
      </c>
      <c r="O530" s="18">
        <f t="shared" si="78"/>
        <v>-1.9629214489531293E-2</v>
      </c>
      <c r="P530" s="18">
        <f t="shared" si="79"/>
        <v>8.5658584320449614E-3</v>
      </c>
      <c r="Q530" s="18">
        <f t="shared" si="80"/>
        <v>4.7740631096868979E-3</v>
      </c>
      <c r="R530" s="28">
        <f>((Scenario_DT!I$11*(IF(Scenario_DT!I$18=1,1,1+$M530/Scenario_DT!$C$19)*(1+$N530)^MAX(0,Scenario_DT!I$18-3))*(Scenario_DT!I$12+$O530)-Scenario_DT!I$13)*(1-Scenario_DT!I$14)+Scenario_DT!I$13-Scenario_DT!I$15)*Scenario_DT!I$16</f>
        <v>883.30945753032017</v>
      </c>
      <c r="S530" s="28">
        <f>((Scenario_DT!J$11*(IF(Scenario_DT!J$18=1,1,1+$M530/Scenario_DT!$C$19)*(1+$N530)^MAX(0,Scenario_DT!J$18-3))*(Scenario_DT!J$12+$O530)-Scenario_DT!J$13)*(1-Scenario_DT!J$14)+Scenario_DT!J$13-Scenario_DT!J$15)*Scenario_DT!J$16</f>
        <v>1852.0533391278245</v>
      </c>
      <c r="T530" s="28">
        <f>((Scenario_DT!K$11*(IF(Scenario_DT!K$18=1,1,1+$M530/Scenario_DT!$C$19)*(1+$N530)^MAX(0,Scenario_DT!K$18-3))*(Scenario_DT!K$12+$O530)-Scenario_DT!K$13)*(1-Scenario_DT!K$14)+Scenario_DT!K$13-Scenario_DT!K$15)*Scenario_DT!K$16</f>
        <v>2118.5532914286132</v>
      </c>
      <c r="U530" s="28">
        <f>((Scenario_DT!L$11*(IF(Scenario_DT!L$18=1,1,1+$M530/Scenario_DT!$C$19)*(1+$N530)^MAX(0,Scenario_DT!L$18-3))*(Scenario_DT!L$12+$O530)-Scenario_DT!L$13)*(1-Scenario_DT!L$14)+Scenario_DT!L$13-Scenario_DT!L$15)*Scenario_DT!L$16</f>
        <v>2534.254214569648</v>
      </c>
      <c r="V530" s="28">
        <f>((Scenario_DT!M$11*(IF(Scenario_DT!M$18=1,1,1+$M530/Scenario_DT!$C$19)*(1+$N530)^MAX(0,Scenario_DT!M$18-3))*(Scenario_DT!M$12+$O530)-Scenario_DT!M$13)*(1-Scenario_DT!M$14)+Scenario_DT!M$13-Scenario_DT!M$15)*Scenario_DT!M$16</f>
        <v>2674.293165857287</v>
      </c>
      <c r="W530" s="28">
        <f>((Scenario_DT!N$11*(IF(Scenario_DT!N$18=1,1,1+$M530/Scenario_DT!$C$19)*(1+$N530)^MAX(0,Scenario_DT!N$18-3))*(Scenario_DT!N$12+$O530)-Scenario_DT!N$13)*(1-Scenario_DT!N$14)+Scenario_DT!N$13-Scenario_DT!N$15)*Scenario_DT!N$16</f>
        <v>2822.0707449736897</v>
      </c>
      <c r="X530" s="28">
        <f>((Scenario_DT!O$11*(IF(Scenario_DT!O$18=1,1,1+$M530/Scenario_DT!$C$19)*(1+$N530)^MAX(0,Scenario_DT!O$18-3))*(Scenario_DT!O$12+$O530)-Scenario_DT!O$13)*(1-Scenario_DT!O$14)+Scenario_DT!O$13-Scenario_DT!O$15)*Scenario_DT!O$16</f>
        <v>2978.0173702674065</v>
      </c>
      <c r="Y530" s="28">
        <f>((Scenario_DT!P$11*(IF(Scenario_DT!P$18=1,1,1+$M530/Scenario_DT!$C$19)*(1+$N530)^MAX(0,Scenario_DT!P$18-3))*(Scenario_DT!P$12+$O530)-Scenario_DT!P$13)*(1-Scenario_DT!P$14)+Scenario_DT!P$13-Scenario_DT!P$15)*Scenario_DT!P$16</f>
        <v>3142.5874140817455</v>
      </c>
      <c r="Z530" s="28">
        <f>((Scenario_DT!Q$11*(IF(Scenario_DT!Q$18=1,1,1+$M530/Scenario_DT!$C$19)*(1+$N530)^MAX(0,Scenario_DT!Q$18-3))*(Scenario_DT!Q$12+$O530)-Scenario_DT!Q$13)*(1-Scenario_DT!Q$14)+Scenario_DT!Q$13-Scenario_DT!Q$15)*Scenario_DT!Q$16</f>
        <v>3316.2605353974786</v>
      </c>
      <c r="AA530" s="28">
        <f>((Scenario_DT!R$11*(IF(Scenario_DT!R$18=1,1,1+$M530/Scenario_DT!$C$19)*(1+$N530)^MAX(0,Scenario_DT!R$18-3))*(Scenario_DT!R$12+$O530)-Scenario_DT!R$13)*(1-Scenario_DT!R$14)+Scenario_DT!R$13-Scenario_DT!R$15)*Scenario_DT!R$16</f>
        <v>3499.543086583255</v>
      </c>
      <c r="AB530" s="17">
        <f>(Scenario_DT!$R$11*(1+$M530/Scenario_DT!$C$19)*(1+$N530)^7*(Scenario_DT!$R$12+$O530)*(1+MIN(DCF_FCFF!$C$26+$Q530,(DCF_FCFF!$C$25+$P530)-0.02))*(1-DCF_FCFF!$C$27)*(1-DCF_FCFF!$C$28)/((DCF_FCFF!$C$25+$P530)-MIN(DCF_FCFF!$C$26+$Q530,(DCF_FCFF!$C$25+$P530)-0.02)))*(1+(DCF_FCFF!$C$25+$P530))^(-(Inputs!$C$9+9))</f>
        <v>25599.589002860928</v>
      </c>
      <c r="AC530" s="17">
        <f>SUMPRODUCT(R530:AA530*(1+(DCF_FCFF!$C$25+$P530))^(-Scenario_DT!$I$17:$R$17))+AB530</f>
        <v>41817.449394873336</v>
      </c>
      <c r="AD530" s="68">
        <f>((AC530-DCF_FCFF!$C$48)*(1-DCF_FCFF!$C$50)+DCF_FCFF!$C$57+DCF_FCFF!$C$58)/DCF_FCFF!$C$60</f>
        <v>304.95158706207127</v>
      </c>
      <c r="AE530" s="6"/>
      <c r="AF530" s="6"/>
      <c r="AG530" s="6"/>
    </row>
    <row r="531" spans="1:33" x14ac:dyDescent="0.3">
      <c r="A531" s="6"/>
      <c r="B531" s="72">
        <v>500</v>
      </c>
      <c r="C531" s="73">
        <v>0.52214144720900202</v>
      </c>
      <c r="D531" s="73">
        <v>0.55225312034400997</v>
      </c>
      <c r="E531" s="73">
        <v>0.21174110277612501</v>
      </c>
      <c r="F531" s="73">
        <v>0.81945075554463698</v>
      </c>
      <c r="G531" s="73">
        <v>0.49860003839212602</v>
      </c>
      <c r="H531" s="15">
        <f t="shared" si="71"/>
        <v>5.5528901268597865E-2</v>
      </c>
      <c r="I531" s="15">
        <f t="shared" si="72"/>
        <v>0.13135591732278884</v>
      </c>
      <c r="J531" s="15">
        <f t="shared" si="73"/>
        <v>-0.80039460540286667</v>
      </c>
      <c r="K531" s="15">
        <f t="shared" si="74"/>
        <v>0.9132739319257076</v>
      </c>
      <c r="L531" s="15">
        <f t="shared" si="75"/>
        <v>-3.5091905519548982E-3</v>
      </c>
      <c r="M531" s="18">
        <f t="shared" si="76"/>
        <v>1.1105780253719572E-3</v>
      </c>
      <c r="N531" s="18">
        <f t="shared" si="77"/>
        <v>1.1321760957859397E-3</v>
      </c>
      <c r="O531" s="18">
        <f t="shared" si="78"/>
        <v>-9.6047352648344006E-3</v>
      </c>
      <c r="P531" s="18">
        <f t="shared" si="79"/>
        <v>5.4796435915542459E-3</v>
      </c>
      <c r="Q531" s="18">
        <f t="shared" si="80"/>
        <v>-1.4036762207819593E-5</v>
      </c>
      <c r="R531" s="28">
        <f>((Scenario_DT!I$11*(IF(Scenario_DT!I$18=1,1,1+$M531/Scenario_DT!$C$19)*(1+$N531)^MAX(0,Scenario_DT!I$18-3))*(Scenario_DT!I$12+$O531)-Scenario_DT!I$13)*(1-Scenario_DT!I$14)+Scenario_DT!I$13-Scenario_DT!I$15)*Scenario_DT!I$16</f>
        <v>897.44289443834043</v>
      </c>
      <c r="S531" s="28">
        <f>((Scenario_DT!J$11*(IF(Scenario_DT!J$18=1,1,1+$M531/Scenario_DT!$C$19)*(1+$N531)^MAX(0,Scenario_DT!J$18-3))*(Scenario_DT!J$12+$O531)-Scenario_DT!J$13)*(1-Scenario_DT!J$14)+Scenario_DT!J$13-Scenario_DT!J$15)*Scenario_DT!J$16</f>
        <v>1804.6858991596437</v>
      </c>
      <c r="T531" s="28">
        <f>((Scenario_DT!K$11*(IF(Scenario_DT!K$18=1,1,1+$M531/Scenario_DT!$C$19)*(1+$N531)^MAX(0,Scenario_DT!K$18-3))*(Scenario_DT!K$12+$O531)-Scenario_DT!K$13)*(1-Scenario_DT!K$14)+Scenario_DT!K$13-Scenario_DT!K$15)*Scenario_DT!K$16</f>
        <v>2068.3194026179676</v>
      </c>
      <c r="U531" s="28">
        <f>((Scenario_DT!L$11*(IF(Scenario_DT!L$18=1,1,1+$M531/Scenario_DT!$C$19)*(1+$N531)^MAX(0,Scenario_DT!L$18-3))*(Scenario_DT!L$12+$O531)-Scenario_DT!L$13)*(1-Scenario_DT!L$14)+Scenario_DT!L$13-Scenario_DT!L$15)*Scenario_DT!L$16</f>
        <v>2470.4209592809079</v>
      </c>
      <c r="V531" s="28">
        <f>((Scenario_DT!M$11*(IF(Scenario_DT!M$18=1,1,1+$M531/Scenario_DT!$C$19)*(1+$N531)^MAX(0,Scenario_DT!M$18-3))*(Scenario_DT!M$12+$O531)-Scenario_DT!M$13)*(1-Scenario_DT!M$14)+Scenario_DT!M$13-Scenario_DT!M$15)*Scenario_DT!M$16</f>
        <v>2596.1774371914207</v>
      </c>
      <c r="W531" s="28">
        <f>((Scenario_DT!N$11*(IF(Scenario_DT!N$18=1,1,1+$M531/Scenario_DT!$C$19)*(1+$N531)^MAX(0,Scenario_DT!N$18-3))*(Scenario_DT!N$12+$O531)-Scenario_DT!N$13)*(1-Scenario_DT!N$14)+Scenario_DT!N$13-Scenario_DT!N$15)*Scenario_DT!N$16</f>
        <v>2728.3300409764615</v>
      </c>
      <c r="X531" s="28">
        <f>((Scenario_DT!O$11*(IF(Scenario_DT!O$18=1,1,1+$M531/Scenario_DT!$C$19)*(1+$N531)^MAX(0,Scenario_DT!O$18-3))*(Scenario_DT!O$12+$O531)-Scenario_DT!O$13)*(1-Scenario_DT!O$14)+Scenario_DT!O$13-Scenario_DT!O$15)*Scenario_DT!O$16</f>
        <v>2867.2065313238968</v>
      </c>
      <c r="Y531" s="28">
        <f>((Scenario_DT!P$11*(IF(Scenario_DT!P$18=1,1,1+$M531/Scenario_DT!$C$19)*(1+$N531)^MAX(0,Scenario_DT!P$18-3))*(Scenario_DT!P$12+$O531)-Scenario_DT!P$13)*(1-Scenario_DT!P$14)+Scenario_DT!P$13-Scenario_DT!P$15)*Scenario_DT!P$16</f>
        <v>3013.1514842942292</v>
      </c>
      <c r="Z531" s="28">
        <f>((Scenario_DT!Q$11*(IF(Scenario_DT!Q$18=1,1,1+$M531/Scenario_DT!$C$19)*(1+$N531)^MAX(0,Scenario_DT!Q$18-3))*(Scenario_DT!Q$12+$O531)-Scenario_DT!Q$13)*(1-Scenario_DT!Q$14)+Scenario_DT!Q$13-Scenario_DT!Q$15)*Scenario_DT!Q$16</f>
        <v>3166.5271539883529</v>
      </c>
      <c r="AA531" s="28">
        <f>((Scenario_DT!R$11*(IF(Scenario_DT!R$18=1,1,1+$M531/Scenario_DT!$C$19)*(1+$N531)^MAX(0,Scenario_DT!R$18-3))*(Scenario_DT!R$12+$O531)-Scenario_DT!R$13)*(1-Scenario_DT!R$14)+Scenario_DT!R$13-Scenario_DT!R$15)*Scenario_DT!R$16</f>
        <v>3327.7143794619287</v>
      </c>
      <c r="AB531" s="17">
        <f>(Scenario_DT!$R$11*(1+$M531/Scenario_DT!$C$19)*(1+$N531)^7*(Scenario_DT!$R$12+$O531)*(1+MIN(DCF_FCFF!$C$26+$Q531,(DCF_FCFF!$C$25+$P531)-0.02))*(1-DCF_FCFF!$C$27)*(1-DCF_FCFF!$C$28)/((DCF_FCFF!$C$25+$P531)-MIN(DCF_FCFF!$C$26+$Q531,(DCF_FCFF!$C$25+$P531)-0.02)))*(1+(DCF_FCFF!$C$25+$P531))^(-(Inputs!$C$9+9))</f>
        <v>24137.367469342586</v>
      </c>
      <c r="AC531" s="17">
        <f>SUMPRODUCT(R531:AA531*(1+(DCF_FCFF!$C$25+$P531))^(-Scenario_DT!$I$17:$R$17))+AB531</f>
        <v>40052.374593498978</v>
      </c>
      <c r="AD531" s="68">
        <f>((AC531-DCF_FCFF!$C$48)*(1-DCF_FCFF!$C$50)+DCF_FCFF!$C$57+DCF_FCFF!$C$58)/DCF_FCFF!$C$60</f>
        <v>288.00904270630139</v>
      </c>
      <c r="AE531" s="6"/>
      <c r="AF531" s="6"/>
      <c r="AG531" s="6"/>
    </row>
  </sheetData>
  <pageMargins left="0.75" right="0.75" top="1" bottom="1" header="0.511811023622047" footer="0.511811023622047"/>
  <pageSetup fitToHeight="0" orientation="landscape" horizontalDpi="300" verticalDpi="30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I42"/>
  <sheetViews>
    <sheetView zoomScale="90" zoomScaleNormal="90" workbookViewId="0"/>
  </sheetViews>
  <sheetFormatPr defaultColWidth="8.6640625" defaultRowHeight="14.4" x14ac:dyDescent="0.3"/>
  <cols>
    <col min="1" max="1" width="2" customWidth="1"/>
    <col min="2" max="2" width="58" customWidth="1"/>
    <col min="3" max="3" width="14" customWidth="1"/>
    <col min="4" max="8" width="12" customWidth="1"/>
    <col min="9" max="9" width="70" customWidth="1"/>
  </cols>
  <sheetData>
    <row r="1" spans="1:9" ht="24" customHeight="1" x14ac:dyDescent="0.3">
      <c r="A1" s="2"/>
      <c r="B1" s="4" t="s">
        <v>918</v>
      </c>
      <c r="C1" s="2"/>
      <c r="D1" s="2"/>
      <c r="E1" s="2"/>
      <c r="F1" s="2"/>
      <c r="G1" s="2"/>
      <c r="H1" s="2"/>
      <c r="I1" s="2"/>
    </row>
    <row r="2" spans="1:9" x14ac:dyDescent="0.3">
      <c r="A2" s="2"/>
      <c r="B2" s="14" t="s">
        <v>919</v>
      </c>
      <c r="C2" s="2"/>
      <c r="D2" s="2"/>
      <c r="E2" s="2"/>
      <c r="F2" s="2"/>
      <c r="G2" s="2"/>
      <c r="H2" s="2"/>
      <c r="I2" s="2"/>
    </row>
    <row r="3" spans="1:9" x14ac:dyDescent="0.3">
      <c r="A3" s="6"/>
      <c r="B3" s="6"/>
      <c r="C3" s="6"/>
      <c r="D3" s="6"/>
      <c r="E3" s="6"/>
      <c r="F3" s="6"/>
      <c r="G3" s="6"/>
      <c r="H3" s="6"/>
      <c r="I3" s="6"/>
    </row>
    <row r="4" spans="1:9" x14ac:dyDescent="0.3">
      <c r="A4" s="6"/>
      <c r="B4" s="7" t="s">
        <v>920</v>
      </c>
      <c r="C4" s="7"/>
      <c r="D4" s="7"/>
      <c r="E4" s="7"/>
      <c r="F4" s="7"/>
      <c r="G4" s="7"/>
      <c r="H4" s="7"/>
      <c r="I4" s="7"/>
    </row>
    <row r="5" spans="1:9" x14ac:dyDescent="0.3">
      <c r="A5" s="6"/>
      <c r="B5" s="10" t="s">
        <v>921</v>
      </c>
      <c r="C5" s="38">
        <v>4000</v>
      </c>
      <c r="D5" s="6"/>
      <c r="E5" s="6"/>
      <c r="F5" s="6"/>
      <c r="G5" s="6"/>
      <c r="H5" s="6"/>
      <c r="I5" s="11" t="s">
        <v>922</v>
      </c>
    </row>
    <row r="6" spans="1:9" x14ac:dyDescent="0.3">
      <c r="A6" s="6"/>
      <c r="B6" s="10" t="s">
        <v>923</v>
      </c>
      <c r="C6" s="38">
        <v>7000</v>
      </c>
      <c r="D6" s="6"/>
      <c r="E6" s="6"/>
      <c r="F6" s="6"/>
      <c r="G6" s="6"/>
      <c r="H6" s="6"/>
      <c r="I6" s="11" t="s">
        <v>924</v>
      </c>
    </row>
    <row r="7" spans="1:9" x14ac:dyDescent="0.3">
      <c r="A7" s="6"/>
      <c r="B7" s="10" t="s">
        <v>925</v>
      </c>
      <c r="C7" s="38">
        <v>100</v>
      </c>
      <c r="D7" s="6"/>
      <c r="E7" s="6"/>
      <c r="F7" s="6"/>
      <c r="G7" s="6"/>
      <c r="H7" s="6"/>
      <c r="I7" s="11" t="s">
        <v>926</v>
      </c>
    </row>
    <row r="8" spans="1:9" x14ac:dyDescent="0.3">
      <c r="A8" s="6"/>
      <c r="B8" s="10" t="s">
        <v>927</v>
      </c>
      <c r="C8" s="35">
        <v>0.95</v>
      </c>
      <c r="D8" s="6"/>
      <c r="E8" s="6"/>
      <c r="F8" s="6"/>
      <c r="G8" s="6"/>
      <c r="H8" s="6"/>
      <c r="I8" s="11" t="s">
        <v>928</v>
      </c>
    </row>
    <row r="9" spans="1:9" x14ac:dyDescent="0.3">
      <c r="A9" s="6"/>
      <c r="B9" s="10" t="s">
        <v>929</v>
      </c>
      <c r="C9" s="35">
        <v>0.85</v>
      </c>
      <c r="D9" s="6"/>
      <c r="E9" s="6"/>
      <c r="F9" s="6"/>
      <c r="G9" s="6"/>
      <c r="H9" s="6"/>
      <c r="I9" s="11" t="s">
        <v>930</v>
      </c>
    </row>
    <row r="10" spans="1:9" x14ac:dyDescent="0.3">
      <c r="A10" s="6"/>
      <c r="B10" s="10" t="s">
        <v>931</v>
      </c>
      <c r="C10" s="36">
        <v>7.4999999999999997E-2</v>
      </c>
      <c r="D10" s="6"/>
      <c r="E10" s="6"/>
      <c r="F10" s="6"/>
      <c r="G10" s="6"/>
      <c r="H10" s="6"/>
      <c r="I10" s="11"/>
    </row>
    <row r="11" spans="1:9" x14ac:dyDescent="0.3">
      <c r="A11" s="6"/>
      <c r="B11" s="10" t="s">
        <v>932</v>
      </c>
      <c r="C11" s="40">
        <v>3</v>
      </c>
      <c r="D11" s="6"/>
      <c r="E11" s="6"/>
      <c r="F11" s="6"/>
      <c r="G11" s="6"/>
      <c r="H11" s="6"/>
      <c r="I11" s="11" t="s">
        <v>214</v>
      </c>
    </row>
    <row r="12" spans="1:9" x14ac:dyDescent="0.3">
      <c r="A12" s="6"/>
      <c r="B12" s="10" t="s">
        <v>933</v>
      </c>
      <c r="C12" s="40">
        <v>5</v>
      </c>
      <c r="D12" s="6"/>
      <c r="E12" s="6"/>
      <c r="F12" s="6"/>
      <c r="G12" s="6"/>
      <c r="H12" s="6"/>
      <c r="I12" s="11" t="s">
        <v>934</v>
      </c>
    </row>
    <row r="13" spans="1:9" x14ac:dyDescent="0.3">
      <c r="A13" s="6"/>
      <c r="B13" s="10" t="s">
        <v>935</v>
      </c>
      <c r="C13" s="35">
        <v>0.2</v>
      </c>
      <c r="D13" s="6"/>
      <c r="E13" s="6"/>
      <c r="F13" s="6"/>
      <c r="G13" s="6"/>
      <c r="H13" s="6"/>
      <c r="I13" s="11" t="s">
        <v>936</v>
      </c>
    </row>
    <row r="14" spans="1:9" x14ac:dyDescent="0.3">
      <c r="A14" s="6"/>
      <c r="B14" s="10" t="s">
        <v>937</v>
      </c>
      <c r="C14" s="18">
        <f>WACC!$C$5</f>
        <v>7.2300000000000003E-2</v>
      </c>
      <c r="D14" s="6"/>
      <c r="E14" s="6"/>
      <c r="F14" s="6"/>
      <c r="G14" s="6"/>
      <c r="H14" s="6"/>
      <c r="I14" s="11" t="s">
        <v>938</v>
      </c>
    </row>
    <row r="15" spans="1:9" x14ac:dyDescent="0.3">
      <c r="A15" s="6"/>
      <c r="B15" s="10" t="s">
        <v>939</v>
      </c>
      <c r="C15" s="36">
        <v>7.0000000000000007E-2</v>
      </c>
      <c r="D15" s="6"/>
      <c r="E15" s="6"/>
      <c r="F15" s="6"/>
      <c r="G15" s="6"/>
      <c r="H15" s="6"/>
      <c r="I15" s="11" t="s">
        <v>940</v>
      </c>
    </row>
    <row r="16" spans="1:9" x14ac:dyDescent="0.3">
      <c r="A16" s="6"/>
      <c r="B16" s="10" t="s">
        <v>941</v>
      </c>
      <c r="C16" s="35">
        <v>0.85</v>
      </c>
      <c r="D16" s="6"/>
      <c r="E16" s="6"/>
      <c r="F16" s="6"/>
      <c r="G16" s="6"/>
      <c r="H16" s="6"/>
      <c r="I16" s="11" t="s">
        <v>942</v>
      </c>
    </row>
    <row r="17" spans="1:9" x14ac:dyDescent="0.3">
      <c r="A17" s="6"/>
      <c r="B17" s="10" t="s">
        <v>943</v>
      </c>
      <c r="C17" s="17">
        <f>C7*12*C8*C9/C10</f>
        <v>12920</v>
      </c>
      <c r="D17" s="6"/>
      <c r="E17" s="6"/>
      <c r="F17" s="6"/>
      <c r="G17" s="6"/>
      <c r="H17" s="6"/>
      <c r="I17" s="11"/>
    </row>
    <row r="18" spans="1:9" x14ac:dyDescent="0.3">
      <c r="A18" s="6"/>
      <c r="B18" s="10" t="s">
        <v>944</v>
      </c>
      <c r="C18" s="17">
        <f>C5*C17/10000/(1+WACC!$C$44)^C11</f>
        <v>3986.2815383403836</v>
      </c>
      <c r="D18" s="6"/>
      <c r="E18" s="6"/>
      <c r="F18" s="6"/>
      <c r="G18" s="6"/>
      <c r="H18" s="6"/>
      <c r="I18" s="11" t="s">
        <v>945</v>
      </c>
    </row>
    <row r="19" spans="1:9" x14ac:dyDescent="0.3">
      <c r="A19" s="6"/>
      <c r="B19" s="10" t="s">
        <v>946</v>
      </c>
      <c r="C19" s="17">
        <f>C5*C6/10000</f>
        <v>2800</v>
      </c>
      <c r="D19" s="6"/>
      <c r="E19" s="6"/>
      <c r="F19" s="6"/>
      <c r="G19" s="6"/>
      <c r="H19" s="6"/>
      <c r="I19" s="11"/>
    </row>
    <row r="20" spans="1:9" x14ac:dyDescent="0.3">
      <c r="A20" s="6"/>
      <c r="B20" s="10" t="s">
        <v>947</v>
      </c>
      <c r="C20" s="17">
        <f>C18-C19</f>
        <v>1186.2815383403836</v>
      </c>
      <c r="D20" s="6"/>
      <c r="E20" s="6"/>
      <c r="F20" s="6"/>
      <c r="G20" s="6"/>
      <c r="H20" s="6"/>
      <c r="I20" s="11"/>
    </row>
    <row r="21" spans="1:9" x14ac:dyDescent="0.3">
      <c r="A21" s="6"/>
      <c r="B21" s="10" t="s">
        <v>948</v>
      </c>
      <c r="C21" s="33">
        <f>(LN(C18/C19)+(C14-C15+C13^2/2)*C12)/(C13*SQRT(C12))</f>
        <v>1.0391889660509297</v>
      </c>
      <c r="D21" s="6"/>
      <c r="E21" s="6"/>
      <c r="F21" s="6"/>
      <c r="G21" s="6"/>
      <c r="H21" s="6"/>
      <c r="I21" s="11"/>
    </row>
    <row r="22" spans="1:9" x14ac:dyDescent="0.3">
      <c r="A22" s="6"/>
      <c r="B22" s="10" t="s">
        <v>949</v>
      </c>
      <c r="C22" s="33">
        <f>C21-C13*SQRT(C12)</f>
        <v>0.59197537055097171</v>
      </c>
      <c r="D22" s="6"/>
      <c r="E22" s="6"/>
      <c r="F22" s="6"/>
      <c r="G22" s="6"/>
      <c r="H22" s="6"/>
      <c r="I22" s="11"/>
    </row>
    <row r="23" spans="1:9" x14ac:dyDescent="0.3">
      <c r="A23" s="6"/>
      <c r="B23" s="10" t="s">
        <v>950</v>
      </c>
      <c r="C23" s="17">
        <f>C18*EXP(-C15*C12)*NORMSDIST(C21)-C19*EXP(-C14*C12)*NORMSDIST(C22)</f>
        <v>979.13596511464425</v>
      </c>
      <c r="D23" s="6"/>
      <c r="E23" s="6"/>
      <c r="F23" s="6"/>
      <c r="G23" s="6"/>
      <c r="H23" s="6"/>
      <c r="I23" s="11"/>
    </row>
    <row r="24" spans="1:9" x14ac:dyDescent="0.3">
      <c r="A24" s="6"/>
      <c r="B24" s="10" t="s">
        <v>951</v>
      </c>
      <c r="C24" s="17">
        <f>C23-MAX(C20,0)</f>
        <v>-207.14557322573933</v>
      </c>
      <c r="D24" s="6"/>
      <c r="E24" s="6"/>
      <c r="F24" s="6"/>
      <c r="G24" s="6"/>
      <c r="H24" s="6"/>
      <c r="I24" s="11" t="s">
        <v>952</v>
      </c>
    </row>
    <row r="25" spans="1:9" x14ac:dyDescent="0.3">
      <c r="A25" s="6"/>
      <c r="B25" s="10" t="s">
        <v>953</v>
      </c>
      <c r="C25" s="17">
        <f>MAX(C23,0)*C16</f>
        <v>832.26557034744758</v>
      </c>
      <c r="D25" s="6"/>
      <c r="E25" s="6"/>
      <c r="F25" s="6"/>
      <c r="G25" s="6"/>
      <c r="H25" s="6"/>
      <c r="I25" s="11"/>
    </row>
    <row r="26" spans="1:9" x14ac:dyDescent="0.3">
      <c r="A26" s="6"/>
      <c r="B26" s="6"/>
      <c r="C26" s="6"/>
      <c r="D26" s="6"/>
      <c r="E26" s="6"/>
      <c r="F26" s="6"/>
      <c r="G26" s="6"/>
      <c r="H26" s="6"/>
      <c r="I26" s="6"/>
    </row>
    <row r="27" spans="1:9" x14ac:dyDescent="0.3">
      <c r="A27" s="6"/>
      <c r="B27" s="7" t="s">
        <v>954</v>
      </c>
      <c r="C27" s="7"/>
      <c r="D27" s="7"/>
      <c r="E27" s="7"/>
      <c r="F27" s="7"/>
      <c r="G27" s="7"/>
      <c r="H27" s="7"/>
      <c r="I27" s="7"/>
    </row>
    <row r="28" spans="1:9" x14ac:dyDescent="0.3">
      <c r="A28" s="6"/>
      <c r="B28" s="11" t="s">
        <v>955</v>
      </c>
      <c r="C28" s="40">
        <v>3</v>
      </c>
      <c r="D28" s="40">
        <v>5</v>
      </c>
      <c r="E28" s="40">
        <v>7</v>
      </c>
      <c r="F28" s="40">
        <v>10</v>
      </c>
      <c r="G28" s="6"/>
      <c r="H28" s="6"/>
      <c r="I28" s="6"/>
    </row>
    <row r="29" spans="1:9" x14ac:dyDescent="0.3">
      <c r="A29" s="6"/>
      <c r="B29" s="35">
        <v>0.15</v>
      </c>
      <c r="C29" s="17">
        <f t="shared" ref="C29:F32" si="0">($C$18*EXP(-$C$15*C$28)*NORMSDIST(((LN($C$18/$C$19)+($C$14-$C$15+$B29^2/2)*C$28)/($B29*SQRT(C$28))))-$C$19*EXP(-$C$14*C$28)*NORMSDIST(((LN($C$18/$C$19)+($C$14-$C$15+$B29^2/2)*C$28)/($B29*SQRT(C$28)))-$B29*SQRT(C$28)))*$C$16</f>
        <v>853.0033096183729</v>
      </c>
      <c r="D29" s="17">
        <f t="shared" si="0"/>
        <v>776.25509988259114</v>
      </c>
      <c r="E29" s="17">
        <f t="shared" si="0"/>
        <v>705.23976677964856</v>
      </c>
      <c r="F29" s="17">
        <f t="shared" si="0"/>
        <v>606.72881590416841</v>
      </c>
      <c r="G29" s="6"/>
      <c r="H29" s="6"/>
      <c r="I29" s="6"/>
    </row>
    <row r="30" spans="1:9" x14ac:dyDescent="0.3">
      <c r="A30" s="6"/>
      <c r="B30" s="35">
        <v>0.2</v>
      </c>
      <c r="C30" s="17">
        <f t="shared" si="0"/>
        <v>891.37942952755316</v>
      </c>
      <c r="D30" s="17">
        <f t="shared" si="0"/>
        <v>832.26557034744758</v>
      </c>
      <c r="E30" s="17">
        <f t="shared" si="0"/>
        <v>769.38642144870983</v>
      </c>
      <c r="F30" s="17">
        <f t="shared" si="0"/>
        <v>673.59368291795511</v>
      </c>
      <c r="G30" s="6"/>
      <c r="H30" s="6"/>
      <c r="I30" s="6"/>
    </row>
    <row r="31" spans="1:9" x14ac:dyDescent="0.3">
      <c r="A31" s="6"/>
      <c r="B31" s="35">
        <v>0.25</v>
      </c>
      <c r="C31" s="17">
        <f t="shared" si="0"/>
        <v>941.91525302373554</v>
      </c>
      <c r="D31" s="17">
        <f t="shared" si="0"/>
        <v>898.18224189225361</v>
      </c>
      <c r="E31" s="17">
        <f t="shared" si="0"/>
        <v>841.09045291184896</v>
      </c>
      <c r="F31" s="17">
        <f t="shared" si="0"/>
        <v>745.22639743071159</v>
      </c>
      <c r="G31" s="6"/>
      <c r="H31" s="6"/>
      <c r="I31" s="6"/>
    </row>
    <row r="32" spans="1:9" x14ac:dyDescent="0.3">
      <c r="A32" s="6"/>
      <c r="B32" s="35">
        <v>0.3</v>
      </c>
      <c r="C32" s="17">
        <f t="shared" si="0"/>
        <v>999.6798043923028</v>
      </c>
      <c r="D32" s="17">
        <f t="shared" si="0"/>
        <v>969.06963448071622</v>
      </c>
      <c r="E32" s="17">
        <f t="shared" si="0"/>
        <v>915.93871640259681</v>
      </c>
      <c r="F32" s="17">
        <f t="shared" si="0"/>
        <v>818.00596508260617</v>
      </c>
      <c r="G32" s="6"/>
      <c r="H32" s="6"/>
      <c r="I32" s="6"/>
    </row>
    <row r="33" spans="1:9" x14ac:dyDescent="0.3">
      <c r="A33" s="6"/>
      <c r="B33" s="6"/>
      <c r="C33" s="6"/>
      <c r="D33" s="6"/>
      <c r="E33" s="6"/>
      <c r="F33" s="6"/>
      <c r="G33" s="6"/>
      <c r="H33" s="6"/>
      <c r="I33" s="6"/>
    </row>
    <row r="34" spans="1:9" x14ac:dyDescent="0.3">
      <c r="A34" s="6"/>
      <c r="B34" s="7" t="s">
        <v>956</v>
      </c>
      <c r="C34" s="7"/>
      <c r="D34" s="7"/>
      <c r="E34" s="7"/>
      <c r="F34" s="7"/>
      <c r="G34" s="7"/>
      <c r="H34" s="7"/>
      <c r="I34" s="7"/>
    </row>
    <row r="35" spans="1:9" x14ac:dyDescent="0.3">
      <c r="A35" s="6"/>
      <c r="B35" s="10" t="s">
        <v>957</v>
      </c>
      <c r="C35" s="17">
        <f>Scenario_DT!C43</f>
        <v>4300</v>
      </c>
      <c r="D35" s="6"/>
      <c r="E35" s="6"/>
      <c r="F35" s="6"/>
      <c r="G35" s="6"/>
      <c r="H35" s="6"/>
      <c r="I35" s="11"/>
    </row>
    <row r="36" spans="1:9" x14ac:dyDescent="0.3">
      <c r="A36" s="6"/>
      <c r="B36" s="10" t="s">
        <v>958</v>
      </c>
      <c r="C36" s="36">
        <v>3.5900000000000001E-2</v>
      </c>
      <c r="D36" s="6"/>
      <c r="E36" s="6"/>
      <c r="F36" s="6"/>
      <c r="G36" s="6"/>
      <c r="H36" s="6"/>
      <c r="I36" s="11" t="s">
        <v>959</v>
      </c>
    </row>
    <row r="37" spans="1:9" x14ac:dyDescent="0.3">
      <c r="A37" s="6"/>
      <c r="B37" s="10" t="s">
        <v>960</v>
      </c>
      <c r="C37" s="35">
        <v>0.7</v>
      </c>
      <c r="D37" s="6"/>
      <c r="E37" s="6"/>
      <c r="F37" s="6"/>
      <c r="G37" s="6"/>
      <c r="H37" s="6"/>
      <c r="I37" s="11" t="s">
        <v>214</v>
      </c>
    </row>
    <row r="38" spans="1:9" x14ac:dyDescent="0.3">
      <c r="A38" s="6"/>
      <c r="B38" s="10" t="s">
        <v>961</v>
      </c>
      <c r="C38" s="17">
        <f>C35*C36*C37</f>
        <v>108.059</v>
      </c>
      <c r="D38" s="6"/>
      <c r="E38" s="6"/>
      <c r="F38" s="6"/>
      <c r="G38" s="6"/>
      <c r="H38" s="6"/>
      <c r="I38" s="11" t="s">
        <v>962</v>
      </c>
    </row>
    <row r="39" spans="1:9" x14ac:dyDescent="0.3">
      <c r="A39" s="6"/>
      <c r="B39" s="6"/>
      <c r="C39" s="6"/>
      <c r="D39" s="6"/>
      <c r="E39" s="6"/>
      <c r="F39" s="6"/>
      <c r="G39" s="6"/>
      <c r="H39" s="6"/>
      <c r="I39" s="6"/>
    </row>
    <row r="40" spans="1:9" x14ac:dyDescent="0.3">
      <c r="A40" s="6"/>
      <c r="B40" s="7" t="s">
        <v>963</v>
      </c>
      <c r="C40" s="7"/>
      <c r="D40" s="7"/>
      <c r="E40" s="7"/>
      <c r="F40" s="7"/>
      <c r="G40" s="7"/>
      <c r="H40" s="7"/>
      <c r="I40" s="7"/>
    </row>
    <row r="41" spans="1:9" x14ac:dyDescent="0.3">
      <c r="A41" s="6"/>
      <c r="B41" s="10" t="s">
        <v>964</v>
      </c>
      <c r="C41" s="15">
        <f>(C25+C38)/Inputs!$C$11</f>
        <v>11.330838021131049</v>
      </c>
      <c r="D41" s="6"/>
      <c r="E41" s="6"/>
      <c r="F41" s="6"/>
      <c r="G41" s="6"/>
      <c r="H41" s="6"/>
      <c r="I41" s="11"/>
    </row>
    <row r="42" spans="1:9" x14ac:dyDescent="0.3">
      <c r="A42" s="6"/>
      <c r="B42" s="10" t="s">
        <v>965</v>
      </c>
      <c r="C42" s="62">
        <f>C41*(1-Inputs!$C$68)*Inputs!$C$67</f>
        <v>5.6654190105655244</v>
      </c>
      <c r="D42" s="6"/>
      <c r="E42" s="6"/>
      <c r="F42" s="6"/>
      <c r="G42" s="6"/>
      <c r="H42" s="6"/>
      <c r="I42" s="11" t="s">
        <v>966</v>
      </c>
    </row>
  </sheetData>
  <pageMargins left="0.75" right="0.75" top="1" bottom="1" header="0.511811023622047" footer="0.511811023622047"/>
  <pageSetup fitToHeight="0" orientation="landscape"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29"/>
  <sheetViews>
    <sheetView tabSelected="1" zoomScale="90" zoomScaleNormal="90" workbookViewId="0">
      <selection activeCell="D23" sqref="D23"/>
    </sheetView>
  </sheetViews>
  <sheetFormatPr defaultColWidth="8.6640625" defaultRowHeight="14.4" x14ac:dyDescent="0.3"/>
  <cols>
    <col min="1" max="1" width="2" customWidth="1"/>
    <col min="2" max="2" width="70" customWidth="1"/>
    <col min="3" max="4" width="16" customWidth="1"/>
    <col min="5" max="6" width="12" customWidth="1"/>
    <col min="7" max="7" width="60" customWidth="1"/>
  </cols>
  <sheetData>
    <row r="1" spans="1:7" ht="24" customHeight="1" x14ac:dyDescent="0.3">
      <c r="A1" s="2"/>
      <c r="B1" s="4" t="s">
        <v>967</v>
      </c>
      <c r="C1" s="2"/>
      <c r="D1" s="2"/>
      <c r="E1" s="2"/>
      <c r="F1" s="2"/>
      <c r="G1" s="2"/>
    </row>
    <row r="2" spans="1:7" x14ac:dyDescent="0.3">
      <c r="A2" s="2"/>
      <c r="B2" s="14" t="s">
        <v>968</v>
      </c>
      <c r="C2" s="2"/>
      <c r="D2" s="2"/>
      <c r="E2" s="2"/>
      <c r="F2" s="2"/>
      <c r="G2" s="2"/>
    </row>
    <row r="3" spans="1:7" x14ac:dyDescent="0.3">
      <c r="A3" s="6"/>
      <c r="B3" s="6"/>
      <c r="C3" s="6"/>
      <c r="D3" s="6"/>
      <c r="E3" s="6"/>
      <c r="F3" s="6"/>
      <c r="G3" s="6"/>
    </row>
    <row r="4" spans="1:7" x14ac:dyDescent="0.3">
      <c r="A4" s="6"/>
      <c r="B4" s="8" t="s">
        <v>969</v>
      </c>
      <c r="C4" s="8" t="s">
        <v>970</v>
      </c>
      <c r="D4" s="8" t="s">
        <v>971</v>
      </c>
      <c r="E4" s="8" t="s">
        <v>972</v>
      </c>
      <c r="F4" s="8" t="s">
        <v>973</v>
      </c>
      <c r="G4" s="8" t="s">
        <v>974</v>
      </c>
    </row>
    <row r="5" spans="1:7" x14ac:dyDescent="0.3">
      <c r="A5" s="6"/>
      <c r="B5" s="10" t="s">
        <v>975</v>
      </c>
      <c r="C5" s="15">
        <f>Rev_Build!$Z$35</f>
        <v>3936.7405140614114</v>
      </c>
      <c r="D5" s="15">
        <v>3936.7405140614101</v>
      </c>
      <c r="E5" s="73">
        <v>0.05</v>
      </c>
      <c r="F5" s="74" t="str">
        <f t="shared" ref="F5:F21" si="0">IF(ABS(C5-D5)&lt;=E5,"PASS","CHECK")</f>
        <v>PASS</v>
      </c>
      <c r="G5" s="11" t="s">
        <v>976</v>
      </c>
    </row>
    <row r="6" spans="1:7" x14ac:dyDescent="0.3">
      <c r="A6" s="6"/>
      <c r="B6" s="10" t="s">
        <v>977</v>
      </c>
      <c r="C6" s="15">
        <f>Rev_Build!$Z$52</f>
        <v>4143.6326245749278</v>
      </c>
      <c r="D6" s="15">
        <v>4143.6326245749297</v>
      </c>
      <c r="E6" s="73">
        <v>0.05</v>
      </c>
      <c r="F6" s="74" t="str">
        <f t="shared" si="0"/>
        <v>PASS</v>
      </c>
      <c r="G6" s="11"/>
    </row>
    <row r="7" spans="1:7" x14ac:dyDescent="0.3">
      <c r="A7" s="6"/>
      <c r="B7" s="10" t="s">
        <v>978</v>
      </c>
      <c r="C7" s="15">
        <f>Rev_Build!$Z$69</f>
        <v>4352.1901026887917</v>
      </c>
      <c r="D7" s="15">
        <v>4352.1901026887899</v>
      </c>
      <c r="E7" s="73">
        <v>0.05</v>
      </c>
      <c r="F7" s="74" t="str">
        <f t="shared" si="0"/>
        <v>PASS</v>
      </c>
      <c r="G7" s="11"/>
    </row>
    <row r="8" spans="1:7" x14ac:dyDescent="0.3">
      <c r="A8" s="6"/>
      <c r="B8" s="10" t="s">
        <v>979</v>
      </c>
      <c r="C8" s="15">
        <f>Fin_Proj!I29</f>
        <v>2776.0208627531651</v>
      </c>
      <c r="D8" s="15">
        <v>2776.0208627531701</v>
      </c>
      <c r="E8" s="73">
        <v>0.05</v>
      </c>
      <c r="F8" s="74" t="str">
        <f t="shared" si="0"/>
        <v>PASS</v>
      </c>
      <c r="G8" s="11"/>
    </row>
    <row r="9" spans="1:7" x14ac:dyDescent="0.3">
      <c r="A9" s="6"/>
      <c r="B9" s="10" t="s">
        <v>980</v>
      </c>
      <c r="C9" s="15">
        <f>Fin_Proj!J29</f>
        <v>3005.6346487717296</v>
      </c>
      <c r="D9" s="15">
        <v>3005.6346487717301</v>
      </c>
      <c r="E9" s="73">
        <v>0.05</v>
      </c>
      <c r="F9" s="74" t="str">
        <f t="shared" si="0"/>
        <v>PASS</v>
      </c>
      <c r="G9" s="11"/>
    </row>
    <row r="10" spans="1:7" x14ac:dyDescent="0.3">
      <c r="A10" s="6"/>
      <c r="B10" s="10" t="s">
        <v>981</v>
      </c>
      <c r="C10" s="15">
        <f>Fin_Proj!K29</f>
        <v>3200.1394055053397</v>
      </c>
      <c r="D10" s="15">
        <v>3200.1394055053402</v>
      </c>
      <c r="E10" s="73">
        <v>0.05</v>
      </c>
      <c r="F10" s="74" t="str">
        <f t="shared" si="0"/>
        <v>PASS</v>
      </c>
      <c r="G10" s="11"/>
    </row>
    <row r="11" spans="1:7" x14ac:dyDescent="0.3">
      <c r="A11" s="6"/>
      <c r="B11" s="10" t="s">
        <v>982</v>
      </c>
      <c r="C11" s="15">
        <f>Fin_Proj!I44</f>
        <v>900.76902638774516</v>
      </c>
      <c r="D11" s="15">
        <v>900.76902638774698</v>
      </c>
      <c r="E11" s="73">
        <v>0.05</v>
      </c>
      <c r="F11" s="74" t="str">
        <f t="shared" si="0"/>
        <v>PASS</v>
      </c>
      <c r="G11" s="11"/>
    </row>
    <row r="12" spans="1:7" x14ac:dyDescent="0.3">
      <c r="A12" s="6"/>
      <c r="B12" s="10" t="s">
        <v>983</v>
      </c>
      <c r="C12" s="15">
        <f>Fin_Proj!K44</f>
        <v>963.55250300225737</v>
      </c>
      <c r="D12" s="15">
        <v>963.55250300225498</v>
      </c>
      <c r="E12" s="73">
        <v>0.05</v>
      </c>
      <c r="F12" s="74" t="str">
        <f t="shared" si="0"/>
        <v>PASS</v>
      </c>
      <c r="G12" s="11"/>
    </row>
    <row r="13" spans="1:7" x14ac:dyDescent="0.3">
      <c r="A13" s="6"/>
      <c r="B13" s="10" t="s">
        <v>984</v>
      </c>
      <c r="C13" s="15">
        <f>Fin_Proj!I31</f>
        <v>580</v>
      </c>
      <c r="D13" s="15">
        <v>580</v>
      </c>
      <c r="E13" s="73">
        <v>0.05</v>
      </c>
      <c r="F13" s="74" t="str">
        <f t="shared" si="0"/>
        <v>PASS</v>
      </c>
      <c r="G13" s="11"/>
    </row>
    <row r="14" spans="1:7" x14ac:dyDescent="0.3">
      <c r="A14" s="6"/>
      <c r="B14" s="10" t="s">
        <v>985</v>
      </c>
      <c r="C14" s="15">
        <f>EVA!C34</f>
        <v>42920.008047678522</v>
      </c>
      <c r="D14" s="15">
        <f>EVA!C35</f>
        <v>42920.00804767853</v>
      </c>
      <c r="E14" s="73">
        <v>0.5</v>
      </c>
      <c r="F14" s="74" t="str">
        <f t="shared" si="0"/>
        <v>PASS</v>
      </c>
      <c r="G14" s="11" t="s">
        <v>986</v>
      </c>
    </row>
    <row r="15" spans="1:7" x14ac:dyDescent="0.3">
      <c r="A15" s="6"/>
      <c r="B15" s="10" t="s">
        <v>987</v>
      </c>
      <c r="C15" s="15">
        <f>DCF_FCFF!E78</f>
        <v>331.89843467402909</v>
      </c>
      <c r="D15" s="15">
        <f>DCF_FCFF!$C$61</f>
        <v>331.89843467402915</v>
      </c>
      <c r="E15" s="73">
        <v>0.01</v>
      </c>
      <c r="F15" s="74" t="str">
        <f t="shared" si="0"/>
        <v>PASS</v>
      </c>
      <c r="G15" s="11" t="s">
        <v>988</v>
      </c>
    </row>
    <row r="16" spans="1:7" x14ac:dyDescent="0.3">
      <c r="A16" s="6"/>
      <c r="B16" s="10" t="s">
        <v>989</v>
      </c>
      <c r="C16" s="15">
        <f>DDM_NDCF!E29</f>
        <v>387.8540199054367</v>
      </c>
      <c r="D16" s="15">
        <f>DDM_NDCF!$C$18</f>
        <v>387.8540199054367</v>
      </c>
      <c r="E16" s="73">
        <v>0.01</v>
      </c>
      <c r="F16" s="74" t="str">
        <f t="shared" si="0"/>
        <v>PASS</v>
      </c>
      <c r="G16" s="11"/>
    </row>
    <row r="17" spans="1:7" x14ac:dyDescent="0.3">
      <c r="A17" s="6"/>
      <c r="B17" s="10" t="s">
        <v>990</v>
      </c>
      <c r="C17" s="15">
        <f>Scenario_DT!$U$7</f>
        <v>331.89843467402909</v>
      </c>
      <c r="D17" s="15">
        <f>DCF_FCFF!$C$61</f>
        <v>331.89843467402915</v>
      </c>
      <c r="E17" s="73">
        <v>0.01</v>
      </c>
      <c r="F17" s="74" t="str">
        <f t="shared" si="0"/>
        <v>PASS</v>
      </c>
      <c r="G17" s="11" t="s">
        <v>991</v>
      </c>
    </row>
    <row r="18" spans="1:7" x14ac:dyDescent="0.3">
      <c r="A18" s="6"/>
      <c r="B18" s="10" t="s">
        <v>992</v>
      </c>
      <c r="C18" s="15">
        <f>Monte_Carlo!AD31</f>
        <v>331.89843467402909</v>
      </c>
      <c r="D18" s="15">
        <f>DCF_FCFF!$C$61</f>
        <v>331.89843467402915</v>
      </c>
      <c r="E18" s="73">
        <v>0.01</v>
      </c>
      <c r="F18" s="74" t="str">
        <f t="shared" si="0"/>
        <v>PASS</v>
      </c>
      <c r="G18" s="11"/>
    </row>
    <row r="19" spans="1:7" x14ac:dyDescent="0.3">
      <c r="A19" s="6"/>
      <c r="B19" s="10" t="s">
        <v>993</v>
      </c>
      <c r="C19" s="15">
        <f>Fin_Proj!I86</f>
        <v>22.6</v>
      </c>
      <c r="D19" s="15">
        <f>Inputs!$C$55</f>
        <v>22.6</v>
      </c>
      <c r="E19" s="73">
        <v>5.0000000000000001E-3</v>
      </c>
      <c r="F19" s="74" t="str">
        <f t="shared" si="0"/>
        <v>PASS</v>
      </c>
      <c r="G19" s="11" t="s">
        <v>994</v>
      </c>
    </row>
    <row r="20" spans="1:7" x14ac:dyDescent="0.3">
      <c r="A20" s="6"/>
      <c r="B20" s="10" t="s">
        <v>995</v>
      </c>
      <c r="C20" s="15">
        <f>Inputs!$C$63+Inputs!$C$64+Inputs!$C$65+Inputs!$C$66</f>
        <v>1</v>
      </c>
      <c r="D20" s="15">
        <v>1</v>
      </c>
      <c r="E20" s="73">
        <v>1E-4</v>
      </c>
      <c r="F20" s="74" t="str">
        <f t="shared" si="0"/>
        <v>PASS</v>
      </c>
      <c r="G20" s="11"/>
    </row>
    <row r="21" spans="1:7" x14ac:dyDescent="0.3">
      <c r="A21" s="6"/>
      <c r="B21" s="10" t="s">
        <v>996</v>
      </c>
      <c r="C21" s="15">
        <f>Scenario_DT!U22</f>
        <v>1</v>
      </c>
      <c r="D21" s="15">
        <v>1</v>
      </c>
      <c r="E21" s="73">
        <v>1E-4</v>
      </c>
      <c r="F21" s="74" t="str">
        <f t="shared" si="0"/>
        <v>PASS</v>
      </c>
      <c r="G21" s="11"/>
    </row>
    <row r="22" spans="1:7" x14ac:dyDescent="0.3">
      <c r="A22" s="6"/>
      <c r="B22" s="10" t="s">
        <v>997</v>
      </c>
      <c r="C22" s="15">
        <f>DCF_FCFF!C72</f>
        <v>-1.3600000000000001E-2</v>
      </c>
      <c r="D22" s="15">
        <v>0</v>
      </c>
      <c r="E22" s="73">
        <v>1E-4</v>
      </c>
      <c r="F22" s="74" t="str">
        <f>IF(C22&lt;=D22+E22,"PASS","CHECK")</f>
        <v>PASS</v>
      </c>
      <c r="G22" s="11" t="s">
        <v>998</v>
      </c>
    </row>
    <row r="23" spans="1:7" x14ac:dyDescent="0.3">
      <c r="A23" s="6"/>
      <c r="B23" s="10" t="s">
        <v>999</v>
      </c>
      <c r="C23" s="15">
        <f>DCF_FCFF!C25-DCF_FCFF!C26</f>
        <v>5.0397496149E-2</v>
      </c>
      <c r="D23" s="15">
        <v>0.02</v>
      </c>
      <c r="E23" s="73">
        <v>1E-4</v>
      </c>
      <c r="F23" s="74" t="str">
        <f>IF(C23&gt;=D23-E23,"PASS","CHECK")</f>
        <v>PASS</v>
      </c>
      <c r="G23" s="11" t="s">
        <v>1000</v>
      </c>
    </row>
    <row r="24" spans="1:7" x14ac:dyDescent="0.3">
      <c r="A24" s="6"/>
      <c r="B24" s="10" t="s">
        <v>1001</v>
      </c>
      <c r="C24" s="15">
        <f>DCF_FCFF!C37</f>
        <v>7.3205782598527683E-2</v>
      </c>
      <c r="D24" s="15">
        <v>7.4999999999999997E-2</v>
      </c>
      <c r="E24" s="73">
        <v>0.01</v>
      </c>
      <c r="F24" s="74" t="str">
        <f>IF(ABS(C24-D24)&lt;=E24,"PASS","CHECK")</f>
        <v>PASS</v>
      </c>
      <c r="G24" s="11" t="s">
        <v>1002</v>
      </c>
    </row>
    <row r="25" spans="1:7" x14ac:dyDescent="0.3">
      <c r="A25" s="6"/>
      <c r="B25" s="10" t="s">
        <v>1003</v>
      </c>
      <c r="C25" s="15">
        <f>Inputs!$C$34/DCF_FCFF!C43</f>
        <v>0.31508428862765692</v>
      </c>
      <c r="D25" s="15">
        <v>0.35</v>
      </c>
      <c r="E25" s="73">
        <v>1E-4</v>
      </c>
      <c r="F25" s="74" t="str">
        <f>IF(C25&lt;=D25+E25,"PASS","CHECK")</f>
        <v>PASS</v>
      </c>
      <c r="G25" s="11" t="s">
        <v>1004</v>
      </c>
    </row>
    <row r="26" spans="1:7" x14ac:dyDescent="0.3">
      <c r="A26" s="6"/>
      <c r="B26" s="10" t="s">
        <v>1005</v>
      </c>
      <c r="C26" s="15">
        <f>Inputs!$C$34</f>
        <v>14060.5648</v>
      </c>
      <c r="D26" s="15">
        <v>15363</v>
      </c>
      <c r="E26" s="73">
        <v>2500</v>
      </c>
      <c r="F26" s="74" t="str">
        <f>IF(ABS(C26-D26)&lt;=E26,"PASS","CHECK")</f>
        <v>PASS</v>
      </c>
      <c r="G26" s="11" t="s">
        <v>1006</v>
      </c>
    </row>
    <row r="27" spans="1:7" x14ac:dyDescent="0.3">
      <c r="A27" s="6"/>
      <c r="B27" s="10" t="s">
        <v>1007</v>
      </c>
      <c r="C27" s="15">
        <f>Relative!K16</f>
        <v>44301.977801326808</v>
      </c>
      <c r="D27" s="15">
        <f>DCF_FCFF!C43</f>
        <v>44624.772822664367</v>
      </c>
      <c r="E27" s="73">
        <v>12000</v>
      </c>
      <c r="F27" s="74" t="str">
        <f>IF(ABS(C27-D27)&lt;=E27,"PASS","CHECK")</f>
        <v>PASS</v>
      </c>
      <c r="G27" s="11" t="s">
        <v>1008</v>
      </c>
    </row>
    <row r="28" spans="1:7" x14ac:dyDescent="0.3">
      <c r="A28" s="6"/>
      <c r="B28" s="6"/>
      <c r="C28" s="6"/>
      <c r="D28" s="6"/>
      <c r="E28" s="6"/>
      <c r="F28" s="6"/>
      <c r="G28" s="6"/>
    </row>
    <row r="29" spans="1:7" x14ac:dyDescent="0.3">
      <c r="A29" s="6"/>
      <c r="B29" s="23" t="s">
        <v>1009</v>
      </c>
      <c r="C29" s="6"/>
      <c r="D29" s="6"/>
      <c r="E29" s="6"/>
      <c r="F29" s="74" t="str">
        <f>IF(COUNTIF(F5:F27,"CHECK")=0,"ALL PASS","REVIEW")</f>
        <v>ALL PASS</v>
      </c>
      <c r="G29" s="6"/>
    </row>
  </sheetData>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Cover</vt:lpstr>
      <vt:lpstr>Summary</vt:lpstr>
      <vt:lpstr>Inputs</vt:lpstr>
      <vt:lpstr>Hist_Quality</vt:lpstr>
      <vt:lpstr>Rev_Build</vt:lpstr>
      <vt:lpstr>Fin_Proj</vt:lpstr>
      <vt:lpstr>WACC</vt:lpstr>
      <vt:lpstr>DCF_FCFF</vt:lpstr>
      <vt:lpstr>DDM_NDCF</vt:lpstr>
      <vt:lpstr>Relative</vt:lpstr>
      <vt:lpstr>NAV_Asset</vt:lpstr>
      <vt:lpstr>EVA</vt:lpstr>
      <vt:lpstr>Scenario_DT</vt:lpstr>
      <vt:lpstr>Monte_Carlo</vt:lpstr>
      <vt:lpstr>Real_Options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 L Aakash</cp:lastModifiedBy>
  <cp:revision>1</cp:revision>
  <dcterms:created xsi:type="dcterms:W3CDTF">2026-10-11T18:46:10Z</dcterms:created>
  <dcterms:modified xsi:type="dcterms:W3CDTF">2026-10-11T18:48:34Z</dcterms:modified>
  <dc:language>en-US</dc:language>
</cp:coreProperties>
</file>